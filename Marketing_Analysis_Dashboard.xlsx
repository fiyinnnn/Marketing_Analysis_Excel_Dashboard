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Ex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cf6c141015a991/Documents/"/>
    </mc:Choice>
  </mc:AlternateContent>
  <xr:revisionPtr revIDLastSave="4" documentId="13_ncr:1_{772DBC57-7157-4B67-90E7-314CBBF38EDD}" xr6:coauthVersionLast="47" xr6:coauthVersionMax="47" xr10:uidLastSave="{CC3D759B-2B06-4811-B8F1-094E849A1711}"/>
  <bookViews>
    <workbookView xWindow="-120" yWindow="-120" windowWidth="20730" windowHeight="11040" xr2:uid="{69066740-F26C-4C56-A7C2-9E4B0AA2E23D}"/>
  </bookViews>
  <sheets>
    <sheet name="DASHBOARD" sheetId="16" r:id="rId1"/>
    <sheet name="MORE" sheetId="17" r:id="rId2"/>
    <sheet name="gender_breakdown" sheetId="2" state="hidden" r:id="rId3"/>
    <sheet name="Preferred Categories" sheetId="6" state="hidden" r:id="rId4"/>
    <sheet name="KPI's" sheetId="15" state="hidden" r:id="rId5"/>
    <sheet name="Age Distribution" sheetId="3" state="hidden" r:id="rId6"/>
    <sheet name="Income_vs_spending score" sheetId="5" state="hidden" r:id="rId7"/>
    <sheet name="Spending_score_segments" sheetId="7" state="hidden" r:id="rId8"/>
    <sheet name="Income_vs_Last Purchase Amount" sheetId="13" state="hidden" r:id="rId9"/>
    <sheet name="Purchase Frequency Distribution" sheetId="8" state="hidden" r:id="rId10"/>
    <sheet name="Top 10 Customers" sheetId="12" state="hidden" r:id="rId11"/>
  </sheets>
  <definedNames>
    <definedName name="_xlchart.v1.0" hidden="1">'Age Distribution'!$B$1</definedName>
    <definedName name="_xlchart.v1.1" hidden="1">'Age Distribution'!$B$2:$B$1001</definedName>
    <definedName name="_xlchart.v1.2" hidden="1">'Purchase Frequency Distribution'!$G$2:$G$1001</definedName>
    <definedName name="_xlchart.v1.3" hidden="1">'Age Distribution'!$B$1</definedName>
    <definedName name="_xlchart.v1.4" hidden="1">'Age Distribution'!$B$2:$B$1001</definedName>
    <definedName name="_xlchart.v1.5" hidden="1">'Purchase Frequency Distribution'!$G$2:$G$1001</definedName>
    <definedName name="ExternalData_1" localSheetId="5" hidden="1">'Age Distribution'!$A$1:$I$1001</definedName>
    <definedName name="ExternalData_1" localSheetId="8" hidden="1">'Income_vs_Last Purchase Amount'!$A$1:$I$1001</definedName>
    <definedName name="ExternalData_1" localSheetId="6" hidden="1">'Income_vs_spending score'!$A$1:$I$1001</definedName>
    <definedName name="ExternalData_1" localSheetId="4" hidden="1">'KPI''s'!$A$1:$I$1001</definedName>
    <definedName name="ExternalData_1" localSheetId="9" hidden="1">'Purchase Frequency Distribution'!$A$1:$I$1001</definedName>
    <definedName name="ExternalData_1" localSheetId="7" hidden="1">Spending_score_segments!$A$1:$I$1001</definedName>
    <definedName name="ExternalData_1" localSheetId="10" hidden="1">'Top 10 Customers'!$A$1:$I$1001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segmentation_data_bb02e2c7-f6de-43ff-b372-342341e5d06f" name="customer_segmentation_data" connection="Query - customer_segmentation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7" l="1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L2" i="15" l="1"/>
  <c r="L6" i="15" a="1"/>
  <c r="L6" i="15" s="1"/>
  <c r="L5" i="15"/>
  <c r="L4" i="15"/>
  <c r="L3" i="15"/>
  <c r="N4" i="7"/>
  <c r="N3" i="7"/>
  <c r="N2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9E6617-BFEB-40F5-B755-B451C89E43A0}" keepAlive="1" name="ModelConnection_ExternalData_1" description="Data Model" type="5" refreshedVersion="8" minRefreshableVersion="5" saveData="1">
    <dbPr connection="Data Model Connection" command="customer_segmentation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6A2E8FD-BBF6-4C7C-99ED-6A1040244297}" keepAlive="1" name="ModelConnection_ExternalData_11" description="Data Model" type="5" refreshedVersion="8" minRefreshableVersion="5" saveData="1">
    <dbPr connection="Data Model Connection" command="customer_segmentation_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3F25B2ED-67D7-4C95-92D8-1F1DAD6A9C8B}" keepAlive="1" name="ModelConnection_ExternalData_12" description="Data Model" type="5" refreshedVersion="8" minRefreshableVersion="5" saveData="1">
    <dbPr connection="Data Model Connection" command="customer_segmentation_data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A92B0B98-10C8-453A-B5EE-BA48A0760D6B}" keepAlive="1" name="ModelConnection_ExternalData_13" description="Data Model" type="5" refreshedVersion="8" minRefreshableVersion="5" saveData="1">
    <dbPr connection="Data Model Connection" command="customer_segmentation_data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0B3B2997-AD67-48A3-917D-6775FF735D66}" keepAlive="1" name="ModelConnection_ExternalData_14" description="Data Model" type="5" refreshedVersion="8" minRefreshableVersion="5" saveData="1">
    <dbPr connection="Data Model Connection" command="customer_segmentation_data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8355036D-9755-4FB4-887E-969BEF98BED8}" keepAlive="1" name="ModelConnection_ExternalData_15" description="Data Model" type="5" refreshedVersion="8" minRefreshableVersion="5" saveData="1">
    <dbPr connection="Data Model Connection" command="customer_segmentation_data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95C9ED97-EB25-4974-A4C9-7FD4F9FA8264}" keepAlive="1" name="ModelConnection_ExternalData_16" description="Data Model" type="5" refreshedVersion="8" minRefreshableVersion="5" saveData="1">
    <dbPr connection="Data Model Connection" command="customer_segmentation_data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816E2244-D799-451F-8AB1-32683F2152CA}" name="Query - customer_segmentation_data" description="Connection to the 'customer_segmentation_data' query in the workbook." type="100" refreshedVersion="8" minRefreshableVersion="5">
    <extLst>
      <ext xmlns:x15="http://schemas.microsoft.com/office/spreadsheetml/2010/11/main" uri="{DE250136-89BD-433C-8126-D09CA5730AF9}">
        <x15:connection id="fd71f89a-9361-4b9c-8e12-e94557ec9850"/>
      </ext>
    </extLst>
  </connection>
  <connection id="9" xr16:uid="{1DE50FC5-F9E7-4EAD-817C-360CF7E26F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<sst xmlns="http://schemas.openxmlformats.org/spreadsheetml/2006/main" count="14103" uniqueCount="46">
  <si>
    <t>Row Labels</t>
  </si>
  <si>
    <t>Grand Total</t>
  </si>
  <si>
    <t>Distinct Count of id</t>
  </si>
  <si>
    <t>id</t>
  </si>
  <si>
    <t>age</t>
  </si>
  <si>
    <t>gender</t>
  </si>
  <si>
    <t>income</t>
  </si>
  <si>
    <t>spending_score</t>
  </si>
  <si>
    <t>membership_years</t>
  </si>
  <si>
    <t>purchase_frequency</t>
  </si>
  <si>
    <t>preferred_category</t>
  </si>
  <si>
    <t>last_purchase_amount</t>
  </si>
  <si>
    <t>Male</t>
  </si>
  <si>
    <t>Home &amp; Garden</t>
  </si>
  <si>
    <t>Electronics</t>
  </si>
  <si>
    <t>Sports</t>
  </si>
  <si>
    <t>Groceries</t>
  </si>
  <si>
    <t>Clothing</t>
  </si>
  <si>
    <t>Female</t>
  </si>
  <si>
    <t>Income class</t>
  </si>
  <si>
    <t>income low</t>
  </si>
  <si>
    <t>spend low</t>
  </si>
  <si>
    <t>Income Medium</t>
  </si>
  <si>
    <t>Spend Medium</t>
  </si>
  <si>
    <t>Income High</t>
  </si>
  <si>
    <t>Spend High</t>
  </si>
  <si>
    <t>Spending class</t>
  </si>
  <si>
    <t>Spending Class</t>
  </si>
  <si>
    <t>Number</t>
  </si>
  <si>
    <t>Count</t>
  </si>
  <si>
    <t>Count of id</t>
  </si>
  <si>
    <t>Total  Customers</t>
  </si>
  <si>
    <t>Average Income of Customers</t>
  </si>
  <si>
    <t>Average Spending Score</t>
  </si>
  <si>
    <t xml:space="preserve">Average Purchase Frequency </t>
  </si>
  <si>
    <t>Most Popular Category</t>
  </si>
  <si>
    <t>KPI Summary</t>
  </si>
  <si>
    <t>&lt;33</t>
  </si>
  <si>
    <t>34&gt; &lt;66</t>
  </si>
  <si>
    <t>&gt;66</t>
  </si>
  <si>
    <t>Range</t>
  </si>
  <si>
    <t>High(&gt;66)</t>
  </si>
  <si>
    <t>Low(34&gt; &lt;66)</t>
  </si>
  <si>
    <t>Medium(&lt;33)</t>
  </si>
  <si>
    <t>MARKETING ANALYSIS DASHBOARD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</si>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</sst>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_-[$$-409]* #,##0.00_ ;_-[$$-409]* \-#,##0.00\ ;_-[$$-409]* &quot;-&quot;??_ ;_-@_ "/>
    <numFmt numFmtId="165" formatCode="_-[$$-409]* #,##0_ ;_-[$$-409]* \-#,##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rgb="FFE3B23C"/>
      <name val="Calibri"/>
      <family val="2"/>
      <scheme val="minor"/>
    </font>
    <font>
      <b/>
      <sz val="20"/>
      <color rgb="FFE3B23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6E675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A3959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7" applyNumberFormat="0" applyFill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1" applyNumberFormat="1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164" fontId="0" fillId="0" borderId="2" xfId="1" applyNumberFormat="1" applyFont="1" applyBorder="1"/>
    <xf numFmtId="1" fontId="0" fillId="0" borderId="2" xfId="1" applyNumberFormat="1" applyFont="1" applyBorder="1"/>
    <xf numFmtId="0" fontId="0" fillId="2" borderId="4" xfId="0" applyFill="1" applyBorder="1"/>
    <xf numFmtId="0" fontId="0" fillId="2" borderId="1" xfId="0" applyFill="1" applyBorder="1"/>
    <xf numFmtId="17" fontId="0" fillId="0" borderId="3" xfId="0" applyNumberFormat="1" applyBorder="1"/>
    <xf numFmtId="0" fontId="0" fillId="3" borderId="0" xfId="0" applyFill="1"/>
    <xf numFmtId="0" fontId="4" fillId="0" borderId="7" xfId="2" applyFont="1" applyAlignment="1">
      <alignment horizontal="center"/>
    </xf>
  </cellXfs>
  <cellStyles count="3">
    <cellStyle name="Currency" xfId="1" builtinId="4"/>
    <cellStyle name="Heading 1" xfId="2" builtinId="16" customBuiltin="1"/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165" formatCode="_-[$$-409]* #,##0_ ;_-[$$-409]* \-#,##0\ ;_-[$$-409]* &quot;-&quot;??_ ;_-@_ "/>
    </dxf>
    <dxf>
      <numFmt numFmtId="0" formatCode="General"/>
    </dxf>
    <dxf>
      <numFmt numFmtId="165" formatCode="_-[$$-409]* #,##0_ ;_-[$$-409]* \-#,##0\ ;_-[$$-409]* &quot;-&quot;??_ ;_-@_ "/>
    </dxf>
    <dxf>
      <numFmt numFmtId="0" formatCode="General"/>
    </dxf>
    <dxf>
      <numFmt numFmtId="165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165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423E37"/>
      <color rgb="FF6E675F"/>
      <color rgb="FFEDEBD7"/>
      <color rgb="FFA39594"/>
      <color rgb="FFE3B23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Income VS Spending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7.9367781434322895E-2"/>
          <c:y val="3.0469405610013035E-2"/>
          <c:w val="0.8762423303644421"/>
          <c:h val="0.76208657197593066"/>
        </c:manualLayout>
      </c:layout>
      <c:scatterChart>
        <c:scatterStyle val="lineMarker"/>
        <c:varyColors val="0"/>
        <c:ser>
          <c:idx val="0"/>
          <c:order val="0"/>
          <c:tx>
            <c:v>Low Income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E675F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>
                    <a:lumMod val="85000"/>
                    <a:lumOff val="1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'Income_vs_spending score'!$K$2:$K$1001</c:f>
              <c:numCache>
                <c:formatCode>_-[$$-409]* #,##0_ ;_-[$$-409]* \-#,##0\ ;_-[$$-409]* "-"??_ ;_-@_ 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49077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42404</c:v>
                </c:pt>
                <c:pt idx="7">
                  <c:v>#N/A</c:v>
                </c:pt>
                <c:pt idx="8">
                  <c:v>47990</c:v>
                </c:pt>
                <c:pt idx="9">
                  <c:v>#N/A</c:v>
                </c:pt>
                <c:pt idx="10">
                  <c:v>#N/A</c:v>
                </c:pt>
                <c:pt idx="11">
                  <c:v>48693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48445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42889</c:v>
                </c:pt>
                <c:pt idx="30">
                  <c:v>#N/A</c:v>
                </c:pt>
                <c:pt idx="31">
                  <c:v>46524</c:v>
                </c:pt>
                <c:pt idx="32">
                  <c:v>#N/A</c:v>
                </c:pt>
                <c:pt idx="33">
                  <c:v>#N/A</c:v>
                </c:pt>
                <c:pt idx="34">
                  <c:v>39113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38240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48641</c:v>
                </c:pt>
                <c:pt idx="44">
                  <c:v>#N/A</c:v>
                </c:pt>
                <c:pt idx="45">
                  <c:v>36763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38558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48329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45147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42855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31154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40590</c:v>
                </c:pt>
                <c:pt idx="106">
                  <c:v>#N/A</c:v>
                </c:pt>
                <c:pt idx="107">
                  <c:v>#N/A</c:v>
                </c:pt>
                <c:pt idx="108">
                  <c:v>49308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35565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43965</c:v>
                </c:pt>
                <c:pt idx="118">
                  <c:v>#N/A</c:v>
                </c:pt>
                <c:pt idx="119">
                  <c:v>43175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33604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34657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43316</c:v>
                </c:pt>
                <c:pt idx="139">
                  <c:v>#N/A</c:v>
                </c:pt>
                <c:pt idx="140">
                  <c:v>#N/A</c:v>
                </c:pt>
                <c:pt idx="141">
                  <c:v>46866</c:v>
                </c:pt>
                <c:pt idx="142">
                  <c:v>#N/A</c:v>
                </c:pt>
                <c:pt idx="143">
                  <c:v>48068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45551</c:v>
                </c:pt>
                <c:pt idx="148">
                  <c:v>#N/A</c:v>
                </c:pt>
                <c:pt idx="149">
                  <c:v>48768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34424</c:v>
                </c:pt>
                <c:pt idx="154">
                  <c:v>41849</c:v>
                </c:pt>
                <c:pt idx="155">
                  <c:v>#N/A</c:v>
                </c:pt>
                <c:pt idx="156">
                  <c:v>#N/A</c:v>
                </c:pt>
                <c:pt idx="157">
                  <c:v>35514</c:v>
                </c:pt>
                <c:pt idx="158">
                  <c:v>32860</c:v>
                </c:pt>
                <c:pt idx="159">
                  <c:v>42337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30570</c:v>
                </c:pt>
                <c:pt idx="167">
                  <c:v>48714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39407</c:v>
                </c:pt>
                <c:pt idx="173">
                  <c:v>39407</c:v>
                </c:pt>
                <c:pt idx="174">
                  <c:v>#N/A</c:v>
                </c:pt>
                <c:pt idx="175">
                  <c:v>#N/A</c:v>
                </c:pt>
                <c:pt idx="176">
                  <c:v>32030</c:v>
                </c:pt>
                <c:pt idx="177">
                  <c:v>#N/A</c:v>
                </c:pt>
                <c:pt idx="178">
                  <c:v>#N/A</c:v>
                </c:pt>
                <c:pt idx="179">
                  <c:v>36282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30004</c:v>
                </c:pt>
                <c:pt idx="196">
                  <c:v>47499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32144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43192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30102</c:v>
                </c:pt>
                <c:pt idx="220">
                  <c:v>33546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33087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35394</c:v>
                </c:pt>
                <c:pt idx="233">
                  <c:v>#N/A</c:v>
                </c:pt>
                <c:pt idx="234">
                  <c:v>30708</c:v>
                </c:pt>
                <c:pt idx="235">
                  <c:v>49346</c:v>
                </c:pt>
                <c:pt idx="236">
                  <c:v>#N/A</c:v>
                </c:pt>
                <c:pt idx="237">
                  <c:v>#N/A</c:v>
                </c:pt>
                <c:pt idx="238">
                  <c:v>33030</c:v>
                </c:pt>
                <c:pt idx="239">
                  <c:v>33987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49725</c:v>
                </c:pt>
                <c:pt idx="247">
                  <c:v>47458</c:v>
                </c:pt>
                <c:pt idx="248">
                  <c:v>36383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30121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32827</c:v>
                </c:pt>
                <c:pt idx="262">
                  <c:v>#N/A</c:v>
                </c:pt>
                <c:pt idx="263">
                  <c:v>38683</c:v>
                </c:pt>
                <c:pt idx="264">
                  <c:v>#N/A</c:v>
                </c:pt>
                <c:pt idx="265">
                  <c:v>#N/A</c:v>
                </c:pt>
                <c:pt idx="266">
                  <c:v>33065</c:v>
                </c:pt>
                <c:pt idx="267">
                  <c:v>#N/A</c:v>
                </c:pt>
                <c:pt idx="268">
                  <c:v>49970</c:v>
                </c:pt>
                <c:pt idx="269">
                  <c:v>37595</c:v>
                </c:pt>
                <c:pt idx="270">
                  <c:v>#N/A</c:v>
                </c:pt>
                <c:pt idx="271">
                  <c:v>#N/A</c:v>
                </c:pt>
                <c:pt idx="272">
                  <c:v>38012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48504</c:v>
                </c:pt>
                <c:pt idx="280">
                  <c:v>44725</c:v>
                </c:pt>
                <c:pt idx="281">
                  <c:v>37201</c:v>
                </c:pt>
                <c:pt idx="282">
                  <c:v>49342</c:v>
                </c:pt>
                <c:pt idx="283">
                  <c:v>32692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46695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33009</c:v>
                </c:pt>
                <c:pt idx="312">
                  <c:v>#N/A</c:v>
                </c:pt>
                <c:pt idx="313">
                  <c:v>#N/A</c:v>
                </c:pt>
                <c:pt idx="314">
                  <c:v>48225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31668</c:v>
                </c:pt>
                <c:pt idx="319">
                  <c:v>36022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37569</c:v>
                </c:pt>
                <c:pt idx="324">
                  <c:v>32276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49140</c:v>
                </c:pt>
                <c:pt idx="338">
                  <c:v>47482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49557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33706</c:v>
                </c:pt>
                <c:pt idx="353">
                  <c:v>42779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47099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30058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44048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34982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46738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46707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38785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47689</c:v>
                </c:pt>
                <c:pt idx="411">
                  <c:v>38250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47790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49020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30374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36843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47989</c:v>
                </c:pt>
                <c:pt idx="479">
                  <c:v>#N/A</c:v>
                </c:pt>
                <c:pt idx="480">
                  <c:v>#N/A</c:v>
                </c:pt>
                <c:pt idx="481">
                  <c:v>38652</c:v>
                </c:pt>
                <c:pt idx="482">
                  <c:v>30492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45024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30738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37547</c:v>
                </c:pt>
                <c:pt idx="507">
                  <c:v>#N/A</c:v>
                </c:pt>
                <c:pt idx="508">
                  <c:v>42089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45562</c:v>
                </c:pt>
                <c:pt idx="525">
                  <c:v>#N/A</c:v>
                </c:pt>
                <c:pt idx="526">
                  <c:v>32539</c:v>
                </c:pt>
                <c:pt idx="527">
                  <c:v>46368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48802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33018</c:v>
                </c:pt>
                <c:pt idx="539">
                  <c:v>#N/A</c:v>
                </c:pt>
                <c:pt idx="540">
                  <c:v>43138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40936</c:v>
                </c:pt>
                <c:pt idx="545">
                  <c:v>#N/A</c:v>
                </c:pt>
                <c:pt idx="546">
                  <c:v>#N/A</c:v>
                </c:pt>
                <c:pt idx="547">
                  <c:v>37993</c:v>
                </c:pt>
                <c:pt idx="548">
                  <c:v>#N/A</c:v>
                </c:pt>
                <c:pt idx="549">
                  <c:v>40385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48896</c:v>
                </c:pt>
                <c:pt idx="554">
                  <c:v>48383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37003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45781</c:v>
                </c:pt>
                <c:pt idx="585">
                  <c:v>#N/A</c:v>
                </c:pt>
                <c:pt idx="586">
                  <c:v>#N/A</c:v>
                </c:pt>
                <c:pt idx="587">
                  <c:v>44597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35122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40932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30969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38209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49607</c:v>
                </c:pt>
                <c:pt idx="612">
                  <c:v>45092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31806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45827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35218</c:v>
                </c:pt>
                <c:pt idx="637">
                  <c:v>#N/A</c:v>
                </c:pt>
                <c:pt idx="638">
                  <c:v>#N/A</c:v>
                </c:pt>
                <c:pt idx="639">
                  <c:v>35406</c:v>
                </c:pt>
                <c:pt idx="640">
                  <c:v>#N/A</c:v>
                </c:pt>
                <c:pt idx="641">
                  <c:v>#N/A</c:v>
                </c:pt>
                <c:pt idx="642">
                  <c:v>37713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42390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41072</c:v>
                </c:pt>
                <c:pt idx="663">
                  <c:v>#N/A</c:v>
                </c:pt>
                <c:pt idx="664">
                  <c:v>36577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43031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30523</c:v>
                </c:pt>
                <c:pt idx="677">
                  <c:v>44555</c:v>
                </c:pt>
                <c:pt idx="678">
                  <c:v>37014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45695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45136</c:v>
                </c:pt>
                <c:pt idx="688">
                  <c:v>#N/A</c:v>
                </c:pt>
                <c:pt idx="689">
                  <c:v>#N/A</c:v>
                </c:pt>
                <c:pt idx="690">
                  <c:v>40676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32512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41917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41544</c:v>
                </c:pt>
                <c:pt idx="744">
                  <c:v>#N/A</c:v>
                </c:pt>
                <c:pt idx="745">
                  <c:v>#N/A</c:v>
                </c:pt>
                <c:pt idx="746">
                  <c:v>42201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48155</c:v>
                </c:pt>
                <c:pt idx="760">
                  <c:v>#N/A</c:v>
                </c:pt>
                <c:pt idx="761">
                  <c:v>39509</c:v>
                </c:pt>
                <c:pt idx="762">
                  <c:v>#N/A</c:v>
                </c:pt>
                <c:pt idx="763">
                  <c:v>33665</c:v>
                </c:pt>
                <c:pt idx="764">
                  <c:v>#N/A</c:v>
                </c:pt>
                <c:pt idx="765">
                  <c:v>41542</c:v>
                </c:pt>
                <c:pt idx="766">
                  <c:v>#N/A</c:v>
                </c:pt>
                <c:pt idx="767">
                  <c:v>#N/A</c:v>
                </c:pt>
                <c:pt idx="768">
                  <c:v>39931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43069</c:v>
                </c:pt>
                <c:pt idx="778">
                  <c:v>46900</c:v>
                </c:pt>
                <c:pt idx="779">
                  <c:v>#N/A</c:v>
                </c:pt>
                <c:pt idx="780">
                  <c:v>40478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46610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48169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34901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40595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45458</c:v>
                </c:pt>
                <c:pt idx="810">
                  <c:v>#N/A</c:v>
                </c:pt>
                <c:pt idx="811">
                  <c:v>45164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40471</c:v>
                </c:pt>
                <c:pt idx="817">
                  <c:v>#N/A</c:v>
                </c:pt>
                <c:pt idx="818">
                  <c:v>#N/A</c:v>
                </c:pt>
                <c:pt idx="819">
                  <c:v>45839</c:v>
                </c:pt>
                <c:pt idx="820">
                  <c:v>45733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31451</c:v>
                </c:pt>
                <c:pt idx="834">
                  <c:v>49020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30751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46563</c:v>
                </c:pt>
                <c:pt idx="852">
                  <c:v>#N/A</c:v>
                </c:pt>
                <c:pt idx="853">
                  <c:v>43308</c:v>
                </c:pt>
                <c:pt idx="854">
                  <c:v>41730</c:v>
                </c:pt>
                <c:pt idx="855">
                  <c:v>#N/A</c:v>
                </c:pt>
                <c:pt idx="856">
                  <c:v>#N/A</c:v>
                </c:pt>
                <c:pt idx="857">
                  <c:v>31458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38271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42499</c:v>
                </c:pt>
                <c:pt idx="868">
                  <c:v>43545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45432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36140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41748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42378</c:v>
                </c:pt>
                <c:pt idx="927">
                  <c:v>#N/A</c:v>
                </c:pt>
                <c:pt idx="928">
                  <c:v>#N/A</c:v>
                </c:pt>
                <c:pt idx="929">
                  <c:v>30074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49336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46106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40858</c:v>
                </c:pt>
                <c:pt idx="948">
                  <c:v>35529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37310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34122</c:v>
                </c:pt>
                <c:pt idx="969">
                  <c:v>#N/A</c:v>
                </c:pt>
                <c:pt idx="970">
                  <c:v>48576</c:v>
                </c:pt>
                <c:pt idx="971">
                  <c:v>40790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41126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xVal>
          <c:yVal>
            <c:numRef>
              <c:f>'Income_vs_spending score'!$L$2:$L$1001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74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45</c:v>
                </c:pt>
                <c:pt idx="7">
                  <c:v>#N/A</c:v>
                </c:pt>
                <c:pt idx="8">
                  <c:v>3</c:v>
                </c:pt>
                <c:pt idx="9">
                  <c:v>#N/A</c:v>
                </c:pt>
                <c:pt idx="10">
                  <c:v>#N/A</c:v>
                </c:pt>
                <c:pt idx="11">
                  <c:v>36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91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12</c:v>
                </c:pt>
                <c:pt idx="30">
                  <c:v>#N/A</c:v>
                </c:pt>
                <c:pt idx="31">
                  <c:v>1</c:v>
                </c:pt>
                <c:pt idx="32">
                  <c:v>#N/A</c:v>
                </c:pt>
                <c:pt idx="33">
                  <c:v>#N/A</c:v>
                </c:pt>
                <c:pt idx="34">
                  <c:v>85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92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45</c:v>
                </c:pt>
                <c:pt idx="44">
                  <c:v>#N/A</c:v>
                </c:pt>
                <c:pt idx="45">
                  <c:v>50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71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6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93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66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40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91</c:v>
                </c:pt>
                <c:pt idx="106">
                  <c:v>#N/A</c:v>
                </c:pt>
                <c:pt idx="107">
                  <c:v>#N/A</c:v>
                </c:pt>
                <c:pt idx="108">
                  <c:v>29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83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83</c:v>
                </c:pt>
                <c:pt idx="118">
                  <c:v>#N/A</c:v>
                </c:pt>
                <c:pt idx="119">
                  <c:v>59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8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99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72</c:v>
                </c:pt>
                <c:pt idx="139">
                  <c:v>#N/A</c:v>
                </c:pt>
                <c:pt idx="140">
                  <c:v>#N/A</c:v>
                </c:pt>
                <c:pt idx="141">
                  <c:v>3</c:v>
                </c:pt>
                <c:pt idx="142">
                  <c:v>#N/A</c:v>
                </c:pt>
                <c:pt idx="143">
                  <c:v>57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100</c:v>
                </c:pt>
                <c:pt idx="148">
                  <c:v>#N/A</c:v>
                </c:pt>
                <c:pt idx="149">
                  <c:v>43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29</c:v>
                </c:pt>
                <c:pt idx="154">
                  <c:v>22</c:v>
                </c:pt>
                <c:pt idx="155">
                  <c:v>#N/A</c:v>
                </c:pt>
                <c:pt idx="156">
                  <c:v>#N/A</c:v>
                </c:pt>
                <c:pt idx="157">
                  <c:v>4</c:v>
                </c:pt>
                <c:pt idx="158">
                  <c:v>90</c:v>
                </c:pt>
                <c:pt idx="159">
                  <c:v>70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16</c:v>
                </c:pt>
                <c:pt idx="167">
                  <c:v>75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50</c:v>
                </c:pt>
                <c:pt idx="173">
                  <c:v>82</c:v>
                </c:pt>
                <c:pt idx="174">
                  <c:v>#N/A</c:v>
                </c:pt>
                <c:pt idx="175">
                  <c:v>#N/A</c:v>
                </c:pt>
                <c:pt idx="176">
                  <c:v>38</c:v>
                </c:pt>
                <c:pt idx="177">
                  <c:v>#N/A</c:v>
                </c:pt>
                <c:pt idx="178">
                  <c:v>#N/A</c:v>
                </c:pt>
                <c:pt idx="179">
                  <c:v>14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32</c:v>
                </c:pt>
                <c:pt idx="196">
                  <c:v>85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76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61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35</c:v>
                </c:pt>
                <c:pt idx="220">
                  <c:v>18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69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10</c:v>
                </c:pt>
                <c:pt idx="233">
                  <c:v>#N/A</c:v>
                </c:pt>
                <c:pt idx="234">
                  <c:v>4</c:v>
                </c:pt>
                <c:pt idx="235">
                  <c:v>70</c:v>
                </c:pt>
                <c:pt idx="236">
                  <c:v>#N/A</c:v>
                </c:pt>
                <c:pt idx="237">
                  <c:v>#N/A</c:v>
                </c:pt>
                <c:pt idx="238">
                  <c:v>61</c:v>
                </c:pt>
                <c:pt idx="239">
                  <c:v>60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59</c:v>
                </c:pt>
                <c:pt idx="247">
                  <c:v>14</c:v>
                </c:pt>
                <c:pt idx="248">
                  <c:v>5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39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69</c:v>
                </c:pt>
                <c:pt idx="262">
                  <c:v>#N/A</c:v>
                </c:pt>
                <c:pt idx="263">
                  <c:v>59</c:v>
                </c:pt>
                <c:pt idx="264">
                  <c:v>#N/A</c:v>
                </c:pt>
                <c:pt idx="265">
                  <c:v>#N/A</c:v>
                </c:pt>
                <c:pt idx="266">
                  <c:v>61</c:v>
                </c:pt>
                <c:pt idx="267">
                  <c:v>#N/A</c:v>
                </c:pt>
                <c:pt idx="268">
                  <c:v>53</c:v>
                </c:pt>
                <c:pt idx="269">
                  <c:v>88</c:v>
                </c:pt>
                <c:pt idx="270">
                  <c:v>#N/A</c:v>
                </c:pt>
                <c:pt idx="271">
                  <c:v>#N/A</c:v>
                </c:pt>
                <c:pt idx="272">
                  <c:v>55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27</c:v>
                </c:pt>
                <c:pt idx="280">
                  <c:v>40</c:v>
                </c:pt>
                <c:pt idx="281">
                  <c:v>60</c:v>
                </c:pt>
                <c:pt idx="282">
                  <c:v>77</c:v>
                </c:pt>
                <c:pt idx="283">
                  <c:v>18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99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82</c:v>
                </c:pt>
                <c:pt idx="312">
                  <c:v>#N/A</c:v>
                </c:pt>
                <c:pt idx="313">
                  <c:v>#N/A</c:v>
                </c:pt>
                <c:pt idx="314">
                  <c:v>24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43</c:v>
                </c:pt>
                <c:pt idx="319">
                  <c:v>11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18</c:v>
                </c:pt>
                <c:pt idx="324">
                  <c:v>73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23</c:v>
                </c:pt>
                <c:pt idx="338">
                  <c:v>100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22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64</c:v>
                </c:pt>
                <c:pt idx="353">
                  <c:v>81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74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91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20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7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36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61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55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46</c:v>
                </c:pt>
                <c:pt idx="411">
                  <c:v>63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67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100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28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46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70</c:v>
                </c:pt>
                <c:pt idx="479">
                  <c:v>#N/A</c:v>
                </c:pt>
                <c:pt idx="480">
                  <c:v>#N/A</c:v>
                </c:pt>
                <c:pt idx="481">
                  <c:v>40</c:v>
                </c:pt>
                <c:pt idx="482">
                  <c:v>47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38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38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72</c:v>
                </c:pt>
                <c:pt idx="507">
                  <c:v>#N/A</c:v>
                </c:pt>
                <c:pt idx="508">
                  <c:v>29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68</c:v>
                </c:pt>
                <c:pt idx="525">
                  <c:v>#N/A</c:v>
                </c:pt>
                <c:pt idx="526">
                  <c:v>22</c:v>
                </c:pt>
                <c:pt idx="527">
                  <c:v>11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68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46</c:v>
                </c:pt>
                <c:pt idx="539">
                  <c:v>#N/A</c:v>
                </c:pt>
                <c:pt idx="540">
                  <c:v>54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32</c:v>
                </c:pt>
                <c:pt idx="545">
                  <c:v>#N/A</c:v>
                </c:pt>
                <c:pt idx="546">
                  <c:v>#N/A</c:v>
                </c:pt>
                <c:pt idx="547">
                  <c:v>59</c:v>
                </c:pt>
                <c:pt idx="548">
                  <c:v>#N/A</c:v>
                </c:pt>
                <c:pt idx="549">
                  <c:v>64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28</c:v>
                </c:pt>
                <c:pt idx="554">
                  <c:v>57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57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93</c:v>
                </c:pt>
                <c:pt idx="585">
                  <c:v>#N/A</c:v>
                </c:pt>
                <c:pt idx="586">
                  <c:v>#N/A</c:v>
                </c:pt>
                <c:pt idx="587">
                  <c:v>3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72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5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32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79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7</c:v>
                </c:pt>
                <c:pt idx="612">
                  <c:v>54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79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18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47</c:v>
                </c:pt>
                <c:pt idx="637">
                  <c:v>#N/A</c:v>
                </c:pt>
                <c:pt idx="638">
                  <c:v>#N/A</c:v>
                </c:pt>
                <c:pt idx="639">
                  <c:v>45</c:v>
                </c:pt>
                <c:pt idx="640">
                  <c:v>#N/A</c:v>
                </c:pt>
                <c:pt idx="641">
                  <c:v>#N/A</c:v>
                </c:pt>
                <c:pt idx="642">
                  <c:v>11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27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14</c:v>
                </c:pt>
                <c:pt idx="663">
                  <c:v>#N/A</c:v>
                </c:pt>
                <c:pt idx="664">
                  <c:v>28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56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83</c:v>
                </c:pt>
                <c:pt idx="677">
                  <c:v>84</c:v>
                </c:pt>
                <c:pt idx="678">
                  <c:v>76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36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84</c:v>
                </c:pt>
                <c:pt idx="688">
                  <c:v>#N/A</c:v>
                </c:pt>
                <c:pt idx="689">
                  <c:v>#N/A</c:v>
                </c:pt>
                <c:pt idx="690">
                  <c:v>86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95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58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1</c:v>
                </c:pt>
                <c:pt idx="744">
                  <c:v>#N/A</c:v>
                </c:pt>
                <c:pt idx="745">
                  <c:v>#N/A</c:v>
                </c:pt>
                <c:pt idx="746">
                  <c:v>76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19</c:v>
                </c:pt>
                <c:pt idx="760">
                  <c:v>#N/A</c:v>
                </c:pt>
                <c:pt idx="761">
                  <c:v>10</c:v>
                </c:pt>
                <c:pt idx="762">
                  <c:v>#N/A</c:v>
                </c:pt>
                <c:pt idx="763">
                  <c:v>12</c:v>
                </c:pt>
                <c:pt idx="764">
                  <c:v>#N/A</c:v>
                </c:pt>
                <c:pt idx="765">
                  <c:v>21</c:v>
                </c:pt>
                <c:pt idx="766">
                  <c:v>#N/A</c:v>
                </c:pt>
                <c:pt idx="767">
                  <c:v>#N/A</c:v>
                </c:pt>
                <c:pt idx="768">
                  <c:v>43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55</c:v>
                </c:pt>
                <c:pt idx="778">
                  <c:v>70</c:v>
                </c:pt>
                <c:pt idx="779">
                  <c:v>#N/A</c:v>
                </c:pt>
                <c:pt idx="780">
                  <c:v>22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92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39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31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84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74</c:v>
                </c:pt>
                <c:pt idx="810">
                  <c:v>#N/A</c:v>
                </c:pt>
                <c:pt idx="811">
                  <c:v>54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28</c:v>
                </c:pt>
                <c:pt idx="817">
                  <c:v>#N/A</c:v>
                </c:pt>
                <c:pt idx="818">
                  <c:v>#N/A</c:v>
                </c:pt>
                <c:pt idx="819">
                  <c:v>55</c:v>
                </c:pt>
                <c:pt idx="820">
                  <c:v>69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75</c:v>
                </c:pt>
                <c:pt idx="834">
                  <c:v>75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99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86</c:v>
                </c:pt>
                <c:pt idx="852">
                  <c:v>#N/A</c:v>
                </c:pt>
                <c:pt idx="853">
                  <c:v>56</c:v>
                </c:pt>
                <c:pt idx="854">
                  <c:v>2</c:v>
                </c:pt>
                <c:pt idx="855">
                  <c:v>#N/A</c:v>
                </c:pt>
                <c:pt idx="856">
                  <c:v>#N/A</c:v>
                </c:pt>
                <c:pt idx="857">
                  <c:v>40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39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92</c:v>
                </c:pt>
                <c:pt idx="868">
                  <c:v>67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11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78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50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36</c:v>
                </c:pt>
                <c:pt idx="927">
                  <c:v>#N/A</c:v>
                </c:pt>
                <c:pt idx="928">
                  <c:v>#N/A</c:v>
                </c:pt>
                <c:pt idx="929">
                  <c:v>95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11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72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48</c:v>
                </c:pt>
                <c:pt idx="948">
                  <c:v>62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6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50</c:v>
                </c:pt>
                <c:pt idx="969">
                  <c:v>#N/A</c:v>
                </c:pt>
                <c:pt idx="970">
                  <c:v>29</c:v>
                </c:pt>
                <c:pt idx="971">
                  <c:v>36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37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A6-41EC-B092-B3E45EDB5DD5}"/>
            </c:ext>
          </c:extLst>
        </c:ser>
        <c:ser>
          <c:idx val="1"/>
          <c:order val="1"/>
          <c:tx>
            <c:v>Medium Income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B23C">
                  <a:alpha val="69000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>
                    <a:lumMod val="85000"/>
                    <a:lumOff val="1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'Income_vs_spending score'!$M$2:$M$1001</c:f>
              <c:numCache>
                <c:formatCode>_-[$$-409]* #,##0_ ;_-[$$-409]* \-#,##0\ ;_-[$$-409]* "-"??_ ;_-@_ </c:formatCode>
                <c:ptCount val="1000"/>
                <c:pt idx="0">
                  <c:v>#N/A</c:v>
                </c:pt>
                <c:pt idx="1">
                  <c:v>95491</c:v>
                </c:pt>
                <c:pt idx="2">
                  <c:v>#N/A</c:v>
                </c:pt>
                <c:pt idx="3">
                  <c:v>#N/A</c:v>
                </c:pt>
                <c:pt idx="4">
                  <c:v>70723</c:v>
                </c:pt>
                <c:pt idx="5">
                  <c:v>72179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81753</c:v>
                </c:pt>
                <c:pt idx="10">
                  <c:v>#N/A</c:v>
                </c:pt>
                <c:pt idx="11">
                  <c:v>#N/A</c:v>
                </c:pt>
                <c:pt idx="12">
                  <c:v>51454</c:v>
                </c:pt>
                <c:pt idx="13">
                  <c:v>61695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84883</c:v>
                </c:pt>
                <c:pt idx="19">
                  <c:v>57651</c:v>
                </c:pt>
                <c:pt idx="20">
                  <c:v>91491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59278</c:v>
                </c:pt>
                <c:pt idx="29">
                  <c:v>#N/A</c:v>
                </c:pt>
                <c:pt idx="30">
                  <c:v>60671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95367</c:v>
                </c:pt>
                <c:pt idx="37">
                  <c:v>#N/A</c:v>
                </c:pt>
                <c:pt idx="38">
                  <c:v>82296</c:v>
                </c:pt>
                <c:pt idx="39">
                  <c:v>#N/A</c:v>
                </c:pt>
                <c:pt idx="40">
                  <c:v>73370</c:v>
                </c:pt>
                <c:pt idx="41">
                  <c:v>#N/A</c:v>
                </c:pt>
                <c:pt idx="42">
                  <c:v>64592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97035</c:v>
                </c:pt>
                <c:pt idx="47">
                  <c:v>#N/A</c:v>
                </c:pt>
                <c:pt idx="48">
                  <c:v>#N/A</c:v>
                </c:pt>
                <c:pt idx="49">
                  <c:v>54274</c:v>
                </c:pt>
                <c:pt idx="50">
                  <c:v>94803</c:v>
                </c:pt>
                <c:pt idx="51">
                  <c:v>#N/A</c:v>
                </c:pt>
                <c:pt idx="52">
                  <c:v>65196</c:v>
                </c:pt>
                <c:pt idx="53">
                  <c:v>#N/A</c:v>
                </c:pt>
                <c:pt idx="54">
                  <c:v>#N/A</c:v>
                </c:pt>
                <c:pt idx="55">
                  <c:v>85349</c:v>
                </c:pt>
                <c:pt idx="56">
                  <c:v>73023</c:v>
                </c:pt>
                <c:pt idx="57">
                  <c:v>85928</c:v>
                </c:pt>
                <c:pt idx="58">
                  <c:v>94896</c:v>
                </c:pt>
                <c:pt idx="59">
                  <c:v>#N/A</c:v>
                </c:pt>
                <c:pt idx="60">
                  <c:v>#N/A</c:v>
                </c:pt>
                <c:pt idx="61">
                  <c:v>52167</c:v>
                </c:pt>
                <c:pt idx="62">
                  <c:v>#N/A</c:v>
                </c:pt>
                <c:pt idx="63">
                  <c:v>#N/A</c:v>
                </c:pt>
                <c:pt idx="64">
                  <c:v>92114</c:v>
                </c:pt>
                <c:pt idx="65">
                  <c:v>86651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70213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71951</c:v>
                </c:pt>
                <c:pt idx="79">
                  <c:v>#N/A</c:v>
                </c:pt>
                <c:pt idx="80">
                  <c:v>#N/A</c:v>
                </c:pt>
                <c:pt idx="81">
                  <c:v>76317</c:v>
                </c:pt>
                <c:pt idx="82">
                  <c:v>#N/A</c:v>
                </c:pt>
                <c:pt idx="83">
                  <c:v>58971</c:v>
                </c:pt>
                <c:pt idx="84">
                  <c:v>62792</c:v>
                </c:pt>
                <c:pt idx="85">
                  <c:v>87595</c:v>
                </c:pt>
                <c:pt idx="86">
                  <c:v>#N/A</c:v>
                </c:pt>
                <c:pt idx="87">
                  <c:v>#N/A</c:v>
                </c:pt>
                <c:pt idx="88">
                  <c:v>90929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97962</c:v>
                </c:pt>
                <c:pt idx="95">
                  <c:v>#N/A</c:v>
                </c:pt>
                <c:pt idx="96">
                  <c:v>89274</c:v>
                </c:pt>
                <c:pt idx="97">
                  <c:v>#N/A</c:v>
                </c:pt>
                <c:pt idx="98">
                  <c:v>83880</c:v>
                </c:pt>
                <c:pt idx="99">
                  <c:v>89688</c:v>
                </c:pt>
                <c:pt idx="100">
                  <c:v>#N/A</c:v>
                </c:pt>
                <c:pt idx="101">
                  <c:v>77006</c:v>
                </c:pt>
                <c:pt idx="102">
                  <c:v>64136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65343</c:v>
                </c:pt>
                <c:pt idx="107">
                  <c:v>67039</c:v>
                </c:pt>
                <c:pt idx="108">
                  <c:v>#N/A</c:v>
                </c:pt>
                <c:pt idx="109">
                  <c:v>60668</c:v>
                </c:pt>
                <c:pt idx="110">
                  <c:v>56570</c:v>
                </c:pt>
                <c:pt idx="111">
                  <c:v>60382</c:v>
                </c:pt>
                <c:pt idx="112">
                  <c:v>#N/A</c:v>
                </c:pt>
                <c:pt idx="113">
                  <c:v>75626</c:v>
                </c:pt>
                <c:pt idx="114">
                  <c:v>53863</c:v>
                </c:pt>
                <c:pt idx="115">
                  <c:v>54918</c:v>
                </c:pt>
                <c:pt idx="116">
                  <c:v>73823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81110</c:v>
                </c:pt>
                <c:pt idx="127">
                  <c:v>#N/A</c:v>
                </c:pt>
                <c:pt idx="128">
                  <c:v>57558</c:v>
                </c:pt>
                <c:pt idx="129">
                  <c:v>53474</c:v>
                </c:pt>
                <c:pt idx="130">
                  <c:v>#N/A</c:v>
                </c:pt>
                <c:pt idx="131">
                  <c:v>56707</c:v>
                </c:pt>
                <c:pt idx="132">
                  <c:v>#N/A</c:v>
                </c:pt>
                <c:pt idx="133">
                  <c:v>90816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83547</c:v>
                </c:pt>
                <c:pt idx="138">
                  <c:v>#N/A</c:v>
                </c:pt>
                <c:pt idx="139">
                  <c:v>98928</c:v>
                </c:pt>
                <c:pt idx="140">
                  <c:v>62752</c:v>
                </c:pt>
                <c:pt idx="141">
                  <c:v>#N/A</c:v>
                </c:pt>
                <c:pt idx="142">
                  <c:v>92371</c:v>
                </c:pt>
                <c:pt idx="143">
                  <c:v>#N/A</c:v>
                </c:pt>
                <c:pt idx="144">
                  <c:v>81701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54930</c:v>
                </c:pt>
                <c:pt idx="153">
                  <c:v>#N/A</c:v>
                </c:pt>
                <c:pt idx="154">
                  <c:v>#N/A</c:v>
                </c:pt>
                <c:pt idx="155">
                  <c:v>55100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62131</c:v>
                </c:pt>
                <c:pt idx="161">
                  <c:v>#N/A</c:v>
                </c:pt>
                <c:pt idx="162">
                  <c:v>81763</c:v>
                </c:pt>
                <c:pt idx="163">
                  <c:v>76259</c:v>
                </c:pt>
                <c:pt idx="164">
                  <c:v>79572</c:v>
                </c:pt>
                <c:pt idx="165">
                  <c:v>77060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84577</c:v>
                </c:pt>
                <c:pt idx="170">
                  <c:v>97995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78829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84725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82506</c:v>
                </c:pt>
                <c:pt idx="191">
                  <c:v>#N/A</c:v>
                </c:pt>
                <c:pt idx="192">
                  <c:v>#N/A</c:v>
                </c:pt>
                <c:pt idx="193">
                  <c:v>92031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51759</c:v>
                </c:pt>
                <c:pt idx="198">
                  <c:v>62536</c:v>
                </c:pt>
                <c:pt idx="199">
                  <c:v>93599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82356</c:v>
                </c:pt>
                <c:pt idx="205">
                  <c:v>94970</c:v>
                </c:pt>
                <c:pt idx="206">
                  <c:v>#N/A</c:v>
                </c:pt>
                <c:pt idx="207">
                  <c:v>#N/A</c:v>
                </c:pt>
                <c:pt idx="208">
                  <c:v>86985</c:v>
                </c:pt>
                <c:pt idx="209">
                  <c:v>#N/A</c:v>
                </c:pt>
                <c:pt idx="210">
                  <c:v>80545</c:v>
                </c:pt>
                <c:pt idx="211">
                  <c:v>#N/A</c:v>
                </c:pt>
                <c:pt idx="212">
                  <c:v>85583</c:v>
                </c:pt>
                <c:pt idx="213">
                  <c:v>51225</c:v>
                </c:pt>
                <c:pt idx="214">
                  <c:v>#N/A</c:v>
                </c:pt>
                <c:pt idx="215">
                  <c:v>96409</c:v>
                </c:pt>
                <c:pt idx="216">
                  <c:v>68304</c:v>
                </c:pt>
                <c:pt idx="217">
                  <c:v>85068</c:v>
                </c:pt>
                <c:pt idx="218">
                  <c:v>90687</c:v>
                </c:pt>
                <c:pt idx="219">
                  <c:v>#N/A</c:v>
                </c:pt>
                <c:pt idx="220">
                  <c:v>#N/A</c:v>
                </c:pt>
                <c:pt idx="221">
                  <c:v>80995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50661</c:v>
                </c:pt>
                <c:pt idx="228">
                  <c:v>80049</c:v>
                </c:pt>
                <c:pt idx="229">
                  <c:v>#N/A</c:v>
                </c:pt>
                <c:pt idx="230">
                  <c:v>#N/A</c:v>
                </c:pt>
                <c:pt idx="231">
                  <c:v>97103</c:v>
                </c:pt>
                <c:pt idx="232">
                  <c:v>#N/A</c:v>
                </c:pt>
                <c:pt idx="233">
                  <c:v>69133</c:v>
                </c:pt>
                <c:pt idx="234">
                  <c:v>#N/A</c:v>
                </c:pt>
                <c:pt idx="235">
                  <c:v>#N/A</c:v>
                </c:pt>
                <c:pt idx="236">
                  <c:v>82856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98446</c:v>
                </c:pt>
                <c:pt idx="241">
                  <c:v>76202</c:v>
                </c:pt>
                <c:pt idx="242">
                  <c:v>63313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51087</c:v>
                </c:pt>
                <c:pt idx="251">
                  <c:v>90651</c:v>
                </c:pt>
                <c:pt idx="252">
                  <c:v>#N/A</c:v>
                </c:pt>
                <c:pt idx="253">
                  <c:v>60768</c:v>
                </c:pt>
                <c:pt idx="254">
                  <c:v>85888</c:v>
                </c:pt>
                <c:pt idx="255">
                  <c:v>87520</c:v>
                </c:pt>
                <c:pt idx="256">
                  <c:v>#N/A</c:v>
                </c:pt>
                <c:pt idx="257">
                  <c:v>#N/A</c:v>
                </c:pt>
                <c:pt idx="258">
                  <c:v>52164</c:v>
                </c:pt>
                <c:pt idx="259">
                  <c:v>#N/A</c:v>
                </c:pt>
                <c:pt idx="260">
                  <c:v>99618</c:v>
                </c:pt>
                <c:pt idx="261">
                  <c:v>#N/A</c:v>
                </c:pt>
                <c:pt idx="262">
                  <c:v>99668</c:v>
                </c:pt>
                <c:pt idx="263">
                  <c:v>#N/A</c:v>
                </c:pt>
                <c:pt idx="264">
                  <c:v>#N/A</c:v>
                </c:pt>
                <c:pt idx="265">
                  <c:v>61052</c:v>
                </c:pt>
                <c:pt idx="266">
                  <c:v>#N/A</c:v>
                </c:pt>
                <c:pt idx="267">
                  <c:v>66961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84223</c:v>
                </c:pt>
                <c:pt idx="275">
                  <c:v>57700</c:v>
                </c:pt>
                <c:pt idx="276">
                  <c:v>89720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69864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98882</c:v>
                </c:pt>
                <c:pt idx="292">
                  <c:v>#N/A</c:v>
                </c:pt>
                <c:pt idx="293">
                  <c:v>#N/A</c:v>
                </c:pt>
                <c:pt idx="294">
                  <c:v>88778</c:v>
                </c:pt>
                <c:pt idx="295">
                  <c:v>#N/A</c:v>
                </c:pt>
                <c:pt idx="296">
                  <c:v>#N/A</c:v>
                </c:pt>
                <c:pt idx="297">
                  <c:v>98537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75430</c:v>
                </c:pt>
                <c:pt idx="308">
                  <c:v>87006</c:v>
                </c:pt>
                <c:pt idx="309">
                  <c:v>#N/A</c:v>
                </c:pt>
                <c:pt idx="310">
                  <c:v>74519</c:v>
                </c:pt>
                <c:pt idx="311">
                  <c:v>#N/A</c:v>
                </c:pt>
                <c:pt idx="312">
                  <c:v>82623</c:v>
                </c:pt>
                <c:pt idx="313">
                  <c:v>#N/A</c:v>
                </c:pt>
                <c:pt idx="314">
                  <c:v>#N/A</c:v>
                </c:pt>
                <c:pt idx="315">
                  <c:v>68250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68970</c:v>
                </c:pt>
                <c:pt idx="323">
                  <c:v>#N/A</c:v>
                </c:pt>
                <c:pt idx="324">
                  <c:v>#N/A</c:v>
                </c:pt>
                <c:pt idx="325">
                  <c:v>69168</c:v>
                </c:pt>
                <c:pt idx="326">
                  <c:v>#N/A</c:v>
                </c:pt>
                <c:pt idx="327">
                  <c:v>#N/A</c:v>
                </c:pt>
                <c:pt idx="328">
                  <c:v>51199</c:v>
                </c:pt>
                <c:pt idx="329">
                  <c:v>60262</c:v>
                </c:pt>
                <c:pt idx="330">
                  <c:v>55027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87717</c:v>
                </c:pt>
                <c:pt idx="335">
                  <c:v>56378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59583</c:v>
                </c:pt>
                <c:pt idx="342">
                  <c:v>#N/A</c:v>
                </c:pt>
                <c:pt idx="343">
                  <c:v>68172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79899</c:v>
                </c:pt>
                <c:pt idx="348">
                  <c:v>#N/A</c:v>
                </c:pt>
                <c:pt idx="349">
                  <c:v>69676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71923</c:v>
                </c:pt>
                <c:pt idx="356">
                  <c:v>#N/A</c:v>
                </c:pt>
                <c:pt idx="357">
                  <c:v>#N/A</c:v>
                </c:pt>
                <c:pt idx="358">
                  <c:v>57305</c:v>
                </c:pt>
                <c:pt idx="359">
                  <c:v>54319</c:v>
                </c:pt>
                <c:pt idx="360">
                  <c:v>69659</c:v>
                </c:pt>
                <c:pt idx="361">
                  <c:v>#N/A</c:v>
                </c:pt>
                <c:pt idx="362">
                  <c:v>81758</c:v>
                </c:pt>
                <c:pt idx="363">
                  <c:v>#N/A</c:v>
                </c:pt>
                <c:pt idx="364">
                  <c:v>76756</c:v>
                </c:pt>
                <c:pt idx="365">
                  <c:v>86593</c:v>
                </c:pt>
                <c:pt idx="366">
                  <c:v>62405</c:v>
                </c:pt>
                <c:pt idx="367">
                  <c:v>94531</c:v>
                </c:pt>
                <c:pt idx="368">
                  <c:v>#N/A</c:v>
                </c:pt>
                <c:pt idx="369">
                  <c:v>89149</c:v>
                </c:pt>
                <c:pt idx="370">
                  <c:v>56120</c:v>
                </c:pt>
                <c:pt idx="371">
                  <c:v>#N/A</c:v>
                </c:pt>
                <c:pt idx="372">
                  <c:v>#N/A</c:v>
                </c:pt>
                <c:pt idx="373">
                  <c:v>95501</c:v>
                </c:pt>
                <c:pt idx="374">
                  <c:v>61849</c:v>
                </c:pt>
                <c:pt idx="375">
                  <c:v>#N/A</c:v>
                </c:pt>
                <c:pt idx="376">
                  <c:v>63381</c:v>
                </c:pt>
                <c:pt idx="377">
                  <c:v>92089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69362</c:v>
                </c:pt>
                <c:pt idx="382">
                  <c:v>94016</c:v>
                </c:pt>
                <c:pt idx="383">
                  <c:v>#N/A</c:v>
                </c:pt>
                <c:pt idx="384">
                  <c:v>79949</c:v>
                </c:pt>
                <c:pt idx="385">
                  <c:v>#N/A</c:v>
                </c:pt>
                <c:pt idx="386">
                  <c:v>#N/A</c:v>
                </c:pt>
                <c:pt idx="387">
                  <c:v>83511</c:v>
                </c:pt>
                <c:pt idx="388">
                  <c:v>96494</c:v>
                </c:pt>
                <c:pt idx="389">
                  <c:v>#N/A</c:v>
                </c:pt>
                <c:pt idx="390">
                  <c:v>87275</c:v>
                </c:pt>
                <c:pt idx="391">
                  <c:v>66932</c:v>
                </c:pt>
                <c:pt idx="392">
                  <c:v>#N/A</c:v>
                </c:pt>
                <c:pt idx="393">
                  <c:v>#N/A</c:v>
                </c:pt>
                <c:pt idx="394">
                  <c:v>54421</c:v>
                </c:pt>
                <c:pt idx="395">
                  <c:v>64134</c:v>
                </c:pt>
                <c:pt idx="396">
                  <c:v>52470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84616</c:v>
                </c:pt>
                <c:pt idx="405">
                  <c:v>#N/A</c:v>
                </c:pt>
                <c:pt idx="406">
                  <c:v>84117</c:v>
                </c:pt>
                <c:pt idx="407">
                  <c:v>#N/A</c:v>
                </c:pt>
                <c:pt idx="408">
                  <c:v>#N/A</c:v>
                </c:pt>
                <c:pt idx="409">
                  <c:v>94392</c:v>
                </c:pt>
                <c:pt idx="410">
                  <c:v>#N/A</c:v>
                </c:pt>
                <c:pt idx="411">
                  <c:v>#N/A</c:v>
                </c:pt>
                <c:pt idx="412">
                  <c:v>89077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80006</c:v>
                </c:pt>
                <c:pt idx="419">
                  <c:v>71410</c:v>
                </c:pt>
                <c:pt idx="420">
                  <c:v>#N/A</c:v>
                </c:pt>
                <c:pt idx="421">
                  <c:v>76921</c:v>
                </c:pt>
                <c:pt idx="422">
                  <c:v>99475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94627</c:v>
                </c:pt>
                <c:pt idx="429">
                  <c:v>#N/A</c:v>
                </c:pt>
                <c:pt idx="430">
                  <c:v>#N/A</c:v>
                </c:pt>
                <c:pt idx="431">
                  <c:v>90000</c:v>
                </c:pt>
                <c:pt idx="432">
                  <c:v>#N/A</c:v>
                </c:pt>
                <c:pt idx="433">
                  <c:v>87418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80988</c:v>
                </c:pt>
                <c:pt idx="439">
                  <c:v>#N/A</c:v>
                </c:pt>
                <c:pt idx="440">
                  <c:v>71594</c:v>
                </c:pt>
                <c:pt idx="441">
                  <c:v>#N/A</c:v>
                </c:pt>
                <c:pt idx="442">
                  <c:v>90780</c:v>
                </c:pt>
                <c:pt idx="443">
                  <c:v>#N/A</c:v>
                </c:pt>
                <c:pt idx="444">
                  <c:v>51565</c:v>
                </c:pt>
                <c:pt idx="445">
                  <c:v>59481</c:v>
                </c:pt>
                <c:pt idx="446">
                  <c:v>68689</c:v>
                </c:pt>
                <c:pt idx="447">
                  <c:v>#N/A</c:v>
                </c:pt>
                <c:pt idx="448">
                  <c:v>57851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91672</c:v>
                </c:pt>
                <c:pt idx="457">
                  <c:v>#N/A</c:v>
                </c:pt>
                <c:pt idx="458">
                  <c:v>#N/A</c:v>
                </c:pt>
                <c:pt idx="459">
                  <c:v>78534</c:v>
                </c:pt>
                <c:pt idx="460">
                  <c:v>86860</c:v>
                </c:pt>
                <c:pt idx="461">
                  <c:v>#N/A</c:v>
                </c:pt>
                <c:pt idx="462">
                  <c:v>#N/A</c:v>
                </c:pt>
                <c:pt idx="463">
                  <c:v>94701</c:v>
                </c:pt>
                <c:pt idx="464">
                  <c:v>93084</c:v>
                </c:pt>
                <c:pt idx="465">
                  <c:v>61541</c:v>
                </c:pt>
                <c:pt idx="466">
                  <c:v>55753</c:v>
                </c:pt>
                <c:pt idx="467">
                  <c:v>80868</c:v>
                </c:pt>
                <c:pt idx="468">
                  <c:v>61870</c:v>
                </c:pt>
                <c:pt idx="469">
                  <c:v>69204</c:v>
                </c:pt>
                <c:pt idx="470">
                  <c:v>67215</c:v>
                </c:pt>
                <c:pt idx="471">
                  <c:v>53295</c:v>
                </c:pt>
                <c:pt idx="472">
                  <c:v>83172</c:v>
                </c:pt>
                <c:pt idx="473">
                  <c:v>88288</c:v>
                </c:pt>
                <c:pt idx="474">
                  <c:v>66196</c:v>
                </c:pt>
                <c:pt idx="475">
                  <c:v>85267</c:v>
                </c:pt>
                <c:pt idx="476">
                  <c:v>#N/A</c:v>
                </c:pt>
                <c:pt idx="477">
                  <c:v>88268</c:v>
                </c:pt>
                <c:pt idx="478">
                  <c:v>#N/A</c:v>
                </c:pt>
                <c:pt idx="479">
                  <c:v>65142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59108</c:v>
                </c:pt>
                <c:pt idx="484">
                  <c:v>56374</c:v>
                </c:pt>
                <c:pt idx="485">
                  <c:v>#N/A</c:v>
                </c:pt>
                <c:pt idx="486">
                  <c:v>#N/A</c:v>
                </c:pt>
                <c:pt idx="487">
                  <c:v>84686</c:v>
                </c:pt>
                <c:pt idx="488">
                  <c:v>53164</c:v>
                </c:pt>
                <c:pt idx="489">
                  <c:v>#N/A</c:v>
                </c:pt>
                <c:pt idx="490">
                  <c:v>84764</c:v>
                </c:pt>
                <c:pt idx="491">
                  <c:v>53503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74198</c:v>
                </c:pt>
                <c:pt idx="496">
                  <c:v>62582</c:v>
                </c:pt>
                <c:pt idx="497">
                  <c:v>92798</c:v>
                </c:pt>
                <c:pt idx="498">
                  <c:v>53069</c:v>
                </c:pt>
                <c:pt idx="499">
                  <c:v>71987</c:v>
                </c:pt>
                <c:pt idx="500">
                  <c:v>64229</c:v>
                </c:pt>
                <c:pt idx="501">
                  <c:v>56547</c:v>
                </c:pt>
                <c:pt idx="502">
                  <c:v>76842</c:v>
                </c:pt>
                <c:pt idx="503">
                  <c:v>#N/A</c:v>
                </c:pt>
                <c:pt idx="504">
                  <c:v>#N/A</c:v>
                </c:pt>
                <c:pt idx="505">
                  <c:v>58692</c:v>
                </c:pt>
                <c:pt idx="506">
                  <c:v>#N/A</c:v>
                </c:pt>
                <c:pt idx="507">
                  <c:v>81964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59566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77292</c:v>
                </c:pt>
                <c:pt idx="516">
                  <c:v>#N/A</c:v>
                </c:pt>
                <c:pt idx="517">
                  <c:v>83467</c:v>
                </c:pt>
                <c:pt idx="518">
                  <c:v>#N/A</c:v>
                </c:pt>
                <c:pt idx="519">
                  <c:v>97355</c:v>
                </c:pt>
                <c:pt idx="520">
                  <c:v>97909</c:v>
                </c:pt>
                <c:pt idx="521">
                  <c:v>73059</c:v>
                </c:pt>
                <c:pt idx="522">
                  <c:v>82140</c:v>
                </c:pt>
                <c:pt idx="523">
                  <c:v>#N/A</c:v>
                </c:pt>
                <c:pt idx="524">
                  <c:v>#N/A</c:v>
                </c:pt>
                <c:pt idx="525">
                  <c:v>57107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65498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87884</c:v>
                </c:pt>
                <c:pt idx="536">
                  <c:v>78149</c:v>
                </c:pt>
                <c:pt idx="537">
                  <c:v>65337</c:v>
                </c:pt>
                <c:pt idx="538">
                  <c:v>#N/A</c:v>
                </c:pt>
                <c:pt idx="539">
                  <c:v>85473</c:v>
                </c:pt>
                <c:pt idx="540">
                  <c:v>#N/A</c:v>
                </c:pt>
                <c:pt idx="541">
                  <c:v>85309</c:v>
                </c:pt>
                <c:pt idx="542">
                  <c:v>73466</c:v>
                </c:pt>
                <c:pt idx="543">
                  <c:v>90557</c:v>
                </c:pt>
                <c:pt idx="544">
                  <c:v>#N/A</c:v>
                </c:pt>
                <c:pt idx="545">
                  <c:v>75926</c:v>
                </c:pt>
                <c:pt idx="546">
                  <c:v>#N/A</c:v>
                </c:pt>
                <c:pt idx="547">
                  <c:v>#N/A</c:v>
                </c:pt>
                <c:pt idx="548">
                  <c:v>55515</c:v>
                </c:pt>
                <c:pt idx="549">
                  <c:v>#N/A</c:v>
                </c:pt>
                <c:pt idx="550">
                  <c:v>#N/A</c:v>
                </c:pt>
                <c:pt idx="551">
                  <c:v>98771</c:v>
                </c:pt>
                <c:pt idx="552">
                  <c:v>66495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54819</c:v>
                </c:pt>
                <c:pt idx="557">
                  <c:v>#N/A</c:v>
                </c:pt>
                <c:pt idx="558">
                  <c:v>50518</c:v>
                </c:pt>
                <c:pt idx="559">
                  <c:v>#N/A</c:v>
                </c:pt>
                <c:pt idx="560">
                  <c:v>#N/A</c:v>
                </c:pt>
                <c:pt idx="561">
                  <c:v>81837</c:v>
                </c:pt>
                <c:pt idx="562">
                  <c:v>#N/A</c:v>
                </c:pt>
                <c:pt idx="563">
                  <c:v>77411</c:v>
                </c:pt>
                <c:pt idx="564">
                  <c:v>84380</c:v>
                </c:pt>
                <c:pt idx="565">
                  <c:v>#N/A</c:v>
                </c:pt>
                <c:pt idx="566">
                  <c:v>#N/A</c:v>
                </c:pt>
                <c:pt idx="567">
                  <c:v>51327</c:v>
                </c:pt>
                <c:pt idx="568">
                  <c:v>#N/A</c:v>
                </c:pt>
                <c:pt idx="569">
                  <c:v>72108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61090</c:v>
                </c:pt>
                <c:pt idx="574">
                  <c:v>53345</c:v>
                </c:pt>
                <c:pt idx="575">
                  <c:v>98150</c:v>
                </c:pt>
                <c:pt idx="576">
                  <c:v>62024</c:v>
                </c:pt>
                <c:pt idx="577">
                  <c:v>50215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85972</c:v>
                </c:pt>
                <c:pt idx="582">
                  <c:v>51398</c:v>
                </c:pt>
                <c:pt idx="583">
                  <c:v>#N/A</c:v>
                </c:pt>
                <c:pt idx="584">
                  <c:v>#N/A</c:v>
                </c:pt>
                <c:pt idx="585">
                  <c:v>80686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69791</c:v>
                </c:pt>
                <c:pt idx="590">
                  <c:v>73723</c:v>
                </c:pt>
                <c:pt idx="591">
                  <c:v>88975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87909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69502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82057</c:v>
                </c:pt>
                <c:pt idx="608">
                  <c:v>80264</c:v>
                </c:pt>
                <c:pt idx="609">
                  <c:v>83578</c:v>
                </c:pt>
                <c:pt idx="610">
                  <c:v>81794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81037</c:v>
                </c:pt>
                <c:pt idx="616">
                  <c:v>67237</c:v>
                </c:pt>
                <c:pt idx="617">
                  <c:v>#N/A</c:v>
                </c:pt>
                <c:pt idx="618">
                  <c:v>90389</c:v>
                </c:pt>
                <c:pt idx="619">
                  <c:v>#N/A</c:v>
                </c:pt>
                <c:pt idx="620">
                  <c:v>78653</c:v>
                </c:pt>
                <c:pt idx="621">
                  <c:v>#N/A</c:v>
                </c:pt>
                <c:pt idx="622">
                  <c:v>#N/A</c:v>
                </c:pt>
                <c:pt idx="623">
                  <c:v>59408</c:v>
                </c:pt>
                <c:pt idx="624">
                  <c:v>#N/A</c:v>
                </c:pt>
                <c:pt idx="625">
                  <c:v>#N/A</c:v>
                </c:pt>
                <c:pt idx="626">
                  <c:v>93783</c:v>
                </c:pt>
                <c:pt idx="627">
                  <c:v>#N/A</c:v>
                </c:pt>
                <c:pt idx="628">
                  <c:v>#N/A</c:v>
                </c:pt>
                <c:pt idx="629">
                  <c:v>52480</c:v>
                </c:pt>
                <c:pt idx="630">
                  <c:v>#N/A</c:v>
                </c:pt>
                <c:pt idx="631">
                  <c:v>86856</c:v>
                </c:pt>
                <c:pt idx="632">
                  <c:v>#N/A</c:v>
                </c:pt>
                <c:pt idx="633">
                  <c:v>#N/A</c:v>
                </c:pt>
                <c:pt idx="634">
                  <c:v>95656</c:v>
                </c:pt>
                <c:pt idx="635">
                  <c:v>#N/A</c:v>
                </c:pt>
                <c:pt idx="636">
                  <c:v>#N/A</c:v>
                </c:pt>
                <c:pt idx="637">
                  <c:v>92363</c:v>
                </c:pt>
                <c:pt idx="638">
                  <c:v>84664</c:v>
                </c:pt>
                <c:pt idx="639">
                  <c:v>#N/A</c:v>
                </c:pt>
                <c:pt idx="640">
                  <c:v>80320</c:v>
                </c:pt>
                <c:pt idx="641">
                  <c:v>93926</c:v>
                </c:pt>
                <c:pt idx="642">
                  <c:v>#N/A</c:v>
                </c:pt>
                <c:pt idx="643">
                  <c:v>86268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92601</c:v>
                </c:pt>
                <c:pt idx="656">
                  <c:v>#N/A</c:v>
                </c:pt>
                <c:pt idx="657">
                  <c:v>55695</c:v>
                </c:pt>
                <c:pt idx="658">
                  <c:v>96499</c:v>
                </c:pt>
                <c:pt idx="659">
                  <c:v>#N/A</c:v>
                </c:pt>
                <c:pt idx="660">
                  <c:v>#N/A</c:v>
                </c:pt>
                <c:pt idx="661">
                  <c:v>95862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67912</c:v>
                </c:pt>
                <c:pt idx="666">
                  <c:v>72651</c:v>
                </c:pt>
                <c:pt idx="667">
                  <c:v>66264</c:v>
                </c:pt>
                <c:pt idx="668">
                  <c:v>66886</c:v>
                </c:pt>
                <c:pt idx="669">
                  <c:v>74985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91845</c:v>
                </c:pt>
                <c:pt idx="674">
                  <c:v>61376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94218</c:v>
                </c:pt>
                <c:pt idx="681">
                  <c:v>75118</c:v>
                </c:pt>
                <c:pt idx="682">
                  <c:v>91682</c:v>
                </c:pt>
                <c:pt idx="683">
                  <c:v>#N/A</c:v>
                </c:pt>
                <c:pt idx="684">
                  <c:v>87461</c:v>
                </c:pt>
                <c:pt idx="685">
                  <c:v>82519</c:v>
                </c:pt>
                <c:pt idx="686">
                  <c:v>70721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82613</c:v>
                </c:pt>
                <c:pt idx="693">
                  <c:v>#N/A</c:v>
                </c:pt>
                <c:pt idx="694">
                  <c:v>79721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56125</c:v>
                </c:pt>
                <c:pt idx="700">
                  <c:v>#N/A</c:v>
                </c:pt>
                <c:pt idx="701">
                  <c:v>51355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70967</c:v>
                </c:pt>
                <c:pt idx="709">
                  <c:v>98213</c:v>
                </c:pt>
                <c:pt idx="710">
                  <c:v>#N/A</c:v>
                </c:pt>
                <c:pt idx="711">
                  <c:v>69782</c:v>
                </c:pt>
                <c:pt idx="712">
                  <c:v>#N/A</c:v>
                </c:pt>
                <c:pt idx="713">
                  <c:v>#N/A</c:v>
                </c:pt>
                <c:pt idx="714">
                  <c:v>96845</c:v>
                </c:pt>
                <c:pt idx="715">
                  <c:v>58668</c:v>
                </c:pt>
                <c:pt idx="716">
                  <c:v>51471</c:v>
                </c:pt>
                <c:pt idx="717">
                  <c:v>57932</c:v>
                </c:pt>
                <c:pt idx="718">
                  <c:v>93861</c:v>
                </c:pt>
                <c:pt idx="719">
                  <c:v>54256</c:v>
                </c:pt>
                <c:pt idx="720">
                  <c:v>#N/A</c:v>
                </c:pt>
                <c:pt idx="721">
                  <c:v>83912</c:v>
                </c:pt>
                <c:pt idx="722">
                  <c:v>63444</c:v>
                </c:pt>
                <c:pt idx="723">
                  <c:v>#N/A</c:v>
                </c:pt>
                <c:pt idx="724">
                  <c:v>60489</c:v>
                </c:pt>
                <c:pt idx="725">
                  <c:v>67704</c:v>
                </c:pt>
                <c:pt idx="726">
                  <c:v>89855</c:v>
                </c:pt>
                <c:pt idx="727">
                  <c:v>56466</c:v>
                </c:pt>
                <c:pt idx="728">
                  <c:v>#N/A</c:v>
                </c:pt>
                <c:pt idx="729">
                  <c:v>#N/A</c:v>
                </c:pt>
                <c:pt idx="730">
                  <c:v>97756</c:v>
                </c:pt>
                <c:pt idx="731">
                  <c:v>#N/A</c:v>
                </c:pt>
                <c:pt idx="732">
                  <c:v>78001</c:v>
                </c:pt>
                <c:pt idx="733">
                  <c:v>58486</c:v>
                </c:pt>
                <c:pt idx="734">
                  <c:v>81244</c:v>
                </c:pt>
                <c:pt idx="735">
                  <c:v>76811</c:v>
                </c:pt>
                <c:pt idx="736">
                  <c:v>90561</c:v>
                </c:pt>
                <c:pt idx="737">
                  <c:v>61376</c:v>
                </c:pt>
                <c:pt idx="738">
                  <c:v>#N/A</c:v>
                </c:pt>
                <c:pt idx="739">
                  <c:v>76606</c:v>
                </c:pt>
                <c:pt idx="740">
                  <c:v>#N/A</c:v>
                </c:pt>
                <c:pt idx="741">
                  <c:v>51646</c:v>
                </c:pt>
                <c:pt idx="742">
                  <c:v>60763</c:v>
                </c:pt>
                <c:pt idx="743">
                  <c:v>#N/A</c:v>
                </c:pt>
                <c:pt idx="744">
                  <c:v>#N/A</c:v>
                </c:pt>
                <c:pt idx="745">
                  <c:v>72193</c:v>
                </c:pt>
                <c:pt idx="746">
                  <c:v>#N/A</c:v>
                </c:pt>
                <c:pt idx="747">
                  <c:v>51736</c:v>
                </c:pt>
                <c:pt idx="748">
                  <c:v>60808</c:v>
                </c:pt>
                <c:pt idx="749">
                  <c:v>51913</c:v>
                </c:pt>
                <c:pt idx="750">
                  <c:v>79546</c:v>
                </c:pt>
                <c:pt idx="751">
                  <c:v>#N/A</c:v>
                </c:pt>
                <c:pt idx="752">
                  <c:v>99342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99638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82014</c:v>
                </c:pt>
                <c:pt idx="763">
                  <c:v>#N/A</c:v>
                </c:pt>
                <c:pt idx="764">
                  <c:v>88312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96182</c:v>
                </c:pt>
                <c:pt idx="771">
                  <c:v>64634</c:v>
                </c:pt>
                <c:pt idx="772">
                  <c:v>58367</c:v>
                </c:pt>
                <c:pt idx="773">
                  <c:v>69790</c:v>
                </c:pt>
                <c:pt idx="774">
                  <c:v>#N/A</c:v>
                </c:pt>
                <c:pt idx="775">
                  <c:v>75974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52403</c:v>
                </c:pt>
                <c:pt idx="782">
                  <c:v>59815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67979</c:v>
                </c:pt>
                <c:pt idx="789">
                  <c:v>76658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52855</c:v>
                </c:pt>
                <c:pt idx="794">
                  <c:v>64288</c:v>
                </c:pt>
                <c:pt idx="795">
                  <c:v>58696</c:v>
                </c:pt>
                <c:pt idx="796">
                  <c:v>70099</c:v>
                </c:pt>
                <c:pt idx="797">
                  <c:v>#N/A</c:v>
                </c:pt>
                <c:pt idx="798">
                  <c:v>58656</c:v>
                </c:pt>
                <c:pt idx="799">
                  <c:v>#N/A</c:v>
                </c:pt>
                <c:pt idx="800">
                  <c:v>#N/A</c:v>
                </c:pt>
                <c:pt idx="801">
                  <c:v>68147</c:v>
                </c:pt>
                <c:pt idx="802">
                  <c:v>#N/A</c:v>
                </c:pt>
                <c:pt idx="803">
                  <c:v>68764</c:v>
                </c:pt>
                <c:pt idx="804">
                  <c:v>63123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89618</c:v>
                </c:pt>
                <c:pt idx="809">
                  <c:v>#N/A</c:v>
                </c:pt>
                <c:pt idx="810">
                  <c:v>53091</c:v>
                </c:pt>
                <c:pt idx="811">
                  <c:v>#N/A</c:v>
                </c:pt>
                <c:pt idx="812">
                  <c:v>56429</c:v>
                </c:pt>
                <c:pt idx="813">
                  <c:v>99054</c:v>
                </c:pt>
                <c:pt idx="814">
                  <c:v>72885</c:v>
                </c:pt>
                <c:pt idx="815">
                  <c:v>74773</c:v>
                </c:pt>
                <c:pt idx="816">
                  <c:v>#N/A</c:v>
                </c:pt>
                <c:pt idx="817">
                  <c:v>90420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81595</c:v>
                </c:pt>
                <c:pt idx="822">
                  <c:v>85111</c:v>
                </c:pt>
                <c:pt idx="823">
                  <c:v>#N/A</c:v>
                </c:pt>
                <c:pt idx="824">
                  <c:v>66376</c:v>
                </c:pt>
                <c:pt idx="825">
                  <c:v>#N/A</c:v>
                </c:pt>
                <c:pt idx="826">
                  <c:v>81695</c:v>
                </c:pt>
                <c:pt idx="827">
                  <c:v>69795</c:v>
                </c:pt>
                <c:pt idx="828">
                  <c:v>#N/A</c:v>
                </c:pt>
                <c:pt idx="829">
                  <c:v>#N/A</c:v>
                </c:pt>
                <c:pt idx="830">
                  <c:v>92156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57745</c:v>
                </c:pt>
                <c:pt idx="836">
                  <c:v>78296</c:v>
                </c:pt>
                <c:pt idx="837">
                  <c:v>76995</c:v>
                </c:pt>
                <c:pt idx="838">
                  <c:v>62971</c:v>
                </c:pt>
                <c:pt idx="839">
                  <c:v>57260</c:v>
                </c:pt>
                <c:pt idx="840">
                  <c:v>#N/A</c:v>
                </c:pt>
                <c:pt idx="841">
                  <c:v>#N/A</c:v>
                </c:pt>
                <c:pt idx="842">
                  <c:v>54571</c:v>
                </c:pt>
                <c:pt idx="843">
                  <c:v>#N/A</c:v>
                </c:pt>
                <c:pt idx="844">
                  <c:v>#N/A</c:v>
                </c:pt>
                <c:pt idx="845">
                  <c:v>56110</c:v>
                </c:pt>
                <c:pt idx="846">
                  <c:v>#N/A</c:v>
                </c:pt>
                <c:pt idx="847">
                  <c:v>#N/A</c:v>
                </c:pt>
                <c:pt idx="848">
                  <c:v>96260</c:v>
                </c:pt>
                <c:pt idx="849">
                  <c:v>#N/A</c:v>
                </c:pt>
                <c:pt idx="850">
                  <c:v>95033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58144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71227</c:v>
                </c:pt>
                <c:pt idx="860">
                  <c:v>#N/A</c:v>
                </c:pt>
                <c:pt idx="861">
                  <c:v>#N/A</c:v>
                </c:pt>
                <c:pt idx="862">
                  <c:v>96762</c:v>
                </c:pt>
                <c:pt idx="863">
                  <c:v>97989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76416</c:v>
                </c:pt>
                <c:pt idx="870">
                  <c:v>#N/A</c:v>
                </c:pt>
                <c:pt idx="871">
                  <c:v>#N/A</c:v>
                </c:pt>
                <c:pt idx="872">
                  <c:v>50944</c:v>
                </c:pt>
                <c:pt idx="873">
                  <c:v>#N/A</c:v>
                </c:pt>
                <c:pt idx="874">
                  <c:v>88366</c:v>
                </c:pt>
                <c:pt idx="875">
                  <c:v>#N/A</c:v>
                </c:pt>
                <c:pt idx="876">
                  <c:v>#N/A</c:v>
                </c:pt>
                <c:pt idx="877">
                  <c:v>57615</c:v>
                </c:pt>
                <c:pt idx="878">
                  <c:v>55154</c:v>
                </c:pt>
                <c:pt idx="879">
                  <c:v>#N/A</c:v>
                </c:pt>
                <c:pt idx="880">
                  <c:v>#N/A</c:v>
                </c:pt>
                <c:pt idx="881">
                  <c:v>64799</c:v>
                </c:pt>
                <c:pt idx="882">
                  <c:v>#N/A</c:v>
                </c:pt>
                <c:pt idx="883">
                  <c:v>78852</c:v>
                </c:pt>
                <c:pt idx="884">
                  <c:v>#N/A</c:v>
                </c:pt>
                <c:pt idx="885">
                  <c:v>#N/A</c:v>
                </c:pt>
                <c:pt idx="886">
                  <c:v>50680</c:v>
                </c:pt>
                <c:pt idx="887">
                  <c:v>73464</c:v>
                </c:pt>
                <c:pt idx="888">
                  <c:v>75392</c:v>
                </c:pt>
                <c:pt idx="889">
                  <c:v>61290</c:v>
                </c:pt>
                <c:pt idx="890">
                  <c:v>96082</c:v>
                </c:pt>
                <c:pt idx="891">
                  <c:v>85476</c:v>
                </c:pt>
                <c:pt idx="892">
                  <c:v>#N/A</c:v>
                </c:pt>
                <c:pt idx="893">
                  <c:v>#N/A</c:v>
                </c:pt>
                <c:pt idx="894">
                  <c:v>79992</c:v>
                </c:pt>
                <c:pt idx="895">
                  <c:v>87807</c:v>
                </c:pt>
                <c:pt idx="896">
                  <c:v>99427</c:v>
                </c:pt>
                <c:pt idx="897">
                  <c:v>59496</c:v>
                </c:pt>
                <c:pt idx="898">
                  <c:v>#N/A</c:v>
                </c:pt>
                <c:pt idx="899">
                  <c:v>78309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78097</c:v>
                </c:pt>
                <c:pt idx="904">
                  <c:v>51990</c:v>
                </c:pt>
                <c:pt idx="905">
                  <c:v>#N/A</c:v>
                </c:pt>
                <c:pt idx="906">
                  <c:v>58930</c:v>
                </c:pt>
                <c:pt idx="907">
                  <c:v>81766</c:v>
                </c:pt>
                <c:pt idx="908">
                  <c:v>#N/A</c:v>
                </c:pt>
                <c:pt idx="909">
                  <c:v>70050</c:v>
                </c:pt>
                <c:pt idx="910">
                  <c:v>83445</c:v>
                </c:pt>
                <c:pt idx="911">
                  <c:v>#N/A</c:v>
                </c:pt>
                <c:pt idx="912">
                  <c:v>82034</c:v>
                </c:pt>
                <c:pt idx="913">
                  <c:v>#N/A</c:v>
                </c:pt>
                <c:pt idx="914">
                  <c:v>96066</c:v>
                </c:pt>
                <c:pt idx="915">
                  <c:v>#N/A</c:v>
                </c:pt>
                <c:pt idx="916">
                  <c:v>#N/A</c:v>
                </c:pt>
                <c:pt idx="917">
                  <c:v>56381</c:v>
                </c:pt>
                <c:pt idx="918">
                  <c:v>#N/A</c:v>
                </c:pt>
                <c:pt idx="919">
                  <c:v>#N/A</c:v>
                </c:pt>
                <c:pt idx="920">
                  <c:v>61826</c:v>
                </c:pt>
                <c:pt idx="921">
                  <c:v>#N/A</c:v>
                </c:pt>
                <c:pt idx="922">
                  <c:v>57845</c:v>
                </c:pt>
                <c:pt idx="923">
                  <c:v>78858</c:v>
                </c:pt>
                <c:pt idx="924">
                  <c:v>#N/A</c:v>
                </c:pt>
                <c:pt idx="925">
                  <c:v>71688</c:v>
                </c:pt>
                <c:pt idx="926">
                  <c:v>#N/A</c:v>
                </c:pt>
                <c:pt idx="927">
                  <c:v>65576</c:v>
                </c:pt>
                <c:pt idx="928">
                  <c:v>53805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74331</c:v>
                </c:pt>
                <c:pt idx="934">
                  <c:v>#N/A</c:v>
                </c:pt>
                <c:pt idx="935">
                  <c:v>89856</c:v>
                </c:pt>
                <c:pt idx="936">
                  <c:v>97565</c:v>
                </c:pt>
                <c:pt idx="937">
                  <c:v>90871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84460</c:v>
                </c:pt>
                <c:pt idx="943">
                  <c:v>#N/A</c:v>
                </c:pt>
                <c:pt idx="944">
                  <c:v>93800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65486</c:v>
                </c:pt>
                <c:pt idx="952">
                  <c:v>67753</c:v>
                </c:pt>
                <c:pt idx="953">
                  <c:v>90232</c:v>
                </c:pt>
                <c:pt idx="954">
                  <c:v>#N/A</c:v>
                </c:pt>
                <c:pt idx="955">
                  <c:v>#N/A</c:v>
                </c:pt>
                <c:pt idx="956">
                  <c:v>74474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53219</c:v>
                </c:pt>
                <c:pt idx="962">
                  <c:v>#N/A</c:v>
                </c:pt>
                <c:pt idx="963">
                  <c:v>97829</c:v>
                </c:pt>
                <c:pt idx="964">
                  <c:v>72125</c:v>
                </c:pt>
                <c:pt idx="965">
                  <c:v>93266</c:v>
                </c:pt>
                <c:pt idx="966">
                  <c:v>92888</c:v>
                </c:pt>
                <c:pt idx="967">
                  <c:v>89035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58805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74273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79842</c:v>
                </c:pt>
                <c:pt idx="985">
                  <c:v>78023</c:v>
                </c:pt>
                <c:pt idx="986">
                  <c:v>52575</c:v>
                </c:pt>
                <c:pt idx="987">
                  <c:v>97660</c:v>
                </c:pt>
                <c:pt idx="988">
                  <c:v>85487</c:v>
                </c:pt>
                <c:pt idx="989">
                  <c:v>96916</c:v>
                </c:pt>
                <c:pt idx="990">
                  <c:v>86142</c:v>
                </c:pt>
                <c:pt idx="991">
                  <c:v>#N/A</c:v>
                </c:pt>
                <c:pt idx="992">
                  <c:v>#N/A</c:v>
                </c:pt>
                <c:pt idx="993">
                  <c:v>59695</c:v>
                </c:pt>
                <c:pt idx="994">
                  <c:v>#N/A</c:v>
                </c:pt>
                <c:pt idx="995">
                  <c:v>50349</c:v>
                </c:pt>
                <c:pt idx="996">
                  <c:v>67361</c:v>
                </c:pt>
                <c:pt idx="997">
                  <c:v>91381</c:v>
                </c:pt>
                <c:pt idx="998">
                  <c:v>74055</c:v>
                </c:pt>
                <c:pt idx="999">
                  <c:v>#N/A</c:v>
                </c:pt>
              </c:numCache>
            </c:numRef>
          </c:xVal>
          <c:yVal>
            <c:numRef>
              <c:f>'Income_vs_spending score'!$N$2:$N$1001</c:f>
              <c:numCache>
                <c:formatCode>General</c:formatCode>
                <c:ptCount val="1000"/>
                <c:pt idx="0">
                  <c:v>#N/A</c:v>
                </c:pt>
                <c:pt idx="1">
                  <c:v>90</c:v>
                </c:pt>
                <c:pt idx="2">
                  <c:v>#N/A</c:v>
                </c:pt>
                <c:pt idx="3">
                  <c:v>#N/A</c:v>
                </c:pt>
                <c:pt idx="4">
                  <c:v>31</c:v>
                </c:pt>
                <c:pt idx="5">
                  <c:v>6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72</c:v>
                </c:pt>
                <c:pt idx="10">
                  <c:v>#N/A</c:v>
                </c:pt>
                <c:pt idx="11">
                  <c:v>#N/A</c:v>
                </c:pt>
                <c:pt idx="12">
                  <c:v>94</c:v>
                </c:pt>
                <c:pt idx="13">
                  <c:v>13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43</c:v>
                </c:pt>
                <c:pt idx="19">
                  <c:v>27</c:v>
                </c:pt>
                <c:pt idx="20">
                  <c:v>52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60</c:v>
                </c:pt>
                <c:pt idx="29">
                  <c:v>#N/A</c:v>
                </c:pt>
                <c:pt idx="30">
                  <c:v>57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83</c:v>
                </c:pt>
                <c:pt idx="37">
                  <c:v>#N/A</c:v>
                </c:pt>
                <c:pt idx="38">
                  <c:v>61</c:v>
                </c:pt>
                <c:pt idx="39">
                  <c:v>#N/A</c:v>
                </c:pt>
                <c:pt idx="40">
                  <c:v>2</c:v>
                </c:pt>
                <c:pt idx="41">
                  <c:v>#N/A</c:v>
                </c:pt>
                <c:pt idx="42">
                  <c:v>25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28</c:v>
                </c:pt>
                <c:pt idx="47">
                  <c:v>#N/A</c:v>
                </c:pt>
                <c:pt idx="48">
                  <c:v>#N/A</c:v>
                </c:pt>
                <c:pt idx="49">
                  <c:v>27</c:v>
                </c:pt>
                <c:pt idx="50">
                  <c:v>76</c:v>
                </c:pt>
                <c:pt idx="51">
                  <c:v>#N/A</c:v>
                </c:pt>
                <c:pt idx="52">
                  <c:v>22</c:v>
                </c:pt>
                <c:pt idx="53">
                  <c:v>#N/A</c:v>
                </c:pt>
                <c:pt idx="54">
                  <c:v>#N/A</c:v>
                </c:pt>
                <c:pt idx="55">
                  <c:v>77</c:v>
                </c:pt>
                <c:pt idx="56">
                  <c:v>30</c:v>
                </c:pt>
                <c:pt idx="57">
                  <c:v>10</c:v>
                </c:pt>
                <c:pt idx="58">
                  <c:v>36</c:v>
                </c:pt>
                <c:pt idx="59">
                  <c:v>#N/A</c:v>
                </c:pt>
                <c:pt idx="60">
                  <c:v>#N/A</c:v>
                </c:pt>
                <c:pt idx="61">
                  <c:v>19</c:v>
                </c:pt>
                <c:pt idx="62">
                  <c:v>#N/A</c:v>
                </c:pt>
                <c:pt idx="63">
                  <c:v>#N/A</c:v>
                </c:pt>
                <c:pt idx="64">
                  <c:v>17</c:v>
                </c:pt>
                <c:pt idx="65">
                  <c:v>54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84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2</c:v>
                </c:pt>
                <c:pt idx="79">
                  <c:v>#N/A</c:v>
                </c:pt>
                <c:pt idx="80">
                  <c:v>#N/A</c:v>
                </c:pt>
                <c:pt idx="81">
                  <c:v>94</c:v>
                </c:pt>
                <c:pt idx="82">
                  <c:v>#N/A</c:v>
                </c:pt>
                <c:pt idx="83">
                  <c:v>77</c:v>
                </c:pt>
                <c:pt idx="84">
                  <c:v>83</c:v>
                </c:pt>
                <c:pt idx="85">
                  <c:v>11</c:v>
                </c:pt>
                <c:pt idx="86">
                  <c:v>#N/A</c:v>
                </c:pt>
                <c:pt idx="87">
                  <c:v>#N/A</c:v>
                </c:pt>
                <c:pt idx="88">
                  <c:v>2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18</c:v>
                </c:pt>
                <c:pt idx="95">
                  <c:v>#N/A</c:v>
                </c:pt>
                <c:pt idx="96">
                  <c:v>71</c:v>
                </c:pt>
                <c:pt idx="97">
                  <c:v>#N/A</c:v>
                </c:pt>
                <c:pt idx="98">
                  <c:v>31</c:v>
                </c:pt>
                <c:pt idx="99">
                  <c:v>27</c:v>
                </c:pt>
                <c:pt idx="100">
                  <c:v>#N/A</c:v>
                </c:pt>
                <c:pt idx="101">
                  <c:v>27</c:v>
                </c:pt>
                <c:pt idx="102">
                  <c:v>61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89</c:v>
                </c:pt>
                <c:pt idx="107">
                  <c:v>100</c:v>
                </c:pt>
                <c:pt idx="108">
                  <c:v>#N/A</c:v>
                </c:pt>
                <c:pt idx="109">
                  <c:v>66</c:v>
                </c:pt>
                <c:pt idx="110">
                  <c:v>29</c:v>
                </c:pt>
                <c:pt idx="111">
                  <c:v>13</c:v>
                </c:pt>
                <c:pt idx="112">
                  <c:v>#N/A</c:v>
                </c:pt>
                <c:pt idx="113">
                  <c:v>52</c:v>
                </c:pt>
                <c:pt idx="114">
                  <c:v>96</c:v>
                </c:pt>
                <c:pt idx="115">
                  <c:v>1</c:v>
                </c:pt>
                <c:pt idx="116">
                  <c:v>11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44</c:v>
                </c:pt>
                <c:pt idx="127">
                  <c:v>#N/A</c:v>
                </c:pt>
                <c:pt idx="128">
                  <c:v>28</c:v>
                </c:pt>
                <c:pt idx="129">
                  <c:v>79</c:v>
                </c:pt>
                <c:pt idx="130">
                  <c:v>#N/A</c:v>
                </c:pt>
                <c:pt idx="131">
                  <c:v>6</c:v>
                </c:pt>
                <c:pt idx="132">
                  <c:v>#N/A</c:v>
                </c:pt>
                <c:pt idx="133">
                  <c:v>20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27</c:v>
                </c:pt>
                <c:pt idx="138">
                  <c:v>#N/A</c:v>
                </c:pt>
                <c:pt idx="139">
                  <c:v>80</c:v>
                </c:pt>
                <c:pt idx="140">
                  <c:v>2</c:v>
                </c:pt>
                <c:pt idx="141">
                  <c:v>#N/A</c:v>
                </c:pt>
                <c:pt idx="142">
                  <c:v>28</c:v>
                </c:pt>
                <c:pt idx="143">
                  <c:v>#N/A</c:v>
                </c:pt>
                <c:pt idx="144">
                  <c:v>96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12</c:v>
                </c:pt>
                <c:pt idx="153">
                  <c:v>#N/A</c:v>
                </c:pt>
                <c:pt idx="154">
                  <c:v>#N/A</c:v>
                </c:pt>
                <c:pt idx="155">
                  <c:v>20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91</c:v>
                </c:pt>
                <c:pt idx="161">
                  <c:v>#N/A</c:v>
                </c:pt>
                <c:pt idx="162">
                  <c:v>49</c:v>
                </c:pt>
                <c:pt idx="163">
                  <c:v>72</c:v>
                </c:pt>
                <c:pt idx="164">
                  <c:v>62</c:v>
                </c:pt>
                <c:pt idx="165">
                  <c:v>14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70</c:v>
                </c:pt>
                <c:pt idx="170">
                  <c:v>47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73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100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10</c:v>
                </c:pt>
                <c:pt idx="191">
                  <c:v>#N/A</c:v>
                </c:pt>
                <c:pt idx="192">
                  <c:v>#N/A</c:v>
                </c:pt>
                <c:pt idx="193">
                  <c:v>44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18</c:v>
                </c:pt>
                <c:pt idx="198">
                  <c:v>84</c:v>
                </c:pt>
                <c:pt idx="199">
                  <c:v>22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97</c:v>
                </c:pt>
                <c:pt idx="205">
                  <c:v>15</c:v>
                </c:pt>
                <c:pt idx="206">
                  <c:v>#N/A</c:v>
                </c:pt>
                <c:pt idx="207">
                  <c:v>#N/A</c:v>
                </c:pt>
                <c:pt idx="208">
                  <c:v>77</c:v>
                </c:pt>
                <c:pt idx="209">
                  <c:v>#N/A</c:v>
                </c:pt>
                <c:pt idx="210">
                  <c:v>63</c:v>
                </c:pt>
                <c:pt idx="211">
                  <c:v>#N/A</c:v>
                </c:pt>
                <c:pt idx="212">
                  <c:v>61</c:v>
                </c:pt>
                <c:pt idx="213">
                  <c:v>21</c:v>
                </c:pt>
                <c:pt idx="214">
                  <c:v>#N/A</c:v>
                </c:pt>
                <c:pt idx="215">
                  <c:v>66</c:v>
                </c:pt>
                <c:pt idx="216">
                  <c:v>9</c:v>
                </c:pt>
                <c:pt idx="217">
                  <c:v>54</c:v>
                </c:pt>
                <c:pt idx="218">
                  <c:v>9</c:v>
                </c:pt>
                <c:pt idx="219">
                  <c:v>#N/A</c:v>
                </c:pt>
                <c:pt idx="220">
                  <c:v>#N/A</c:v>
                </c:pt>
                <c:pt idx="221">
                  <c:v>68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89</c:v>
                </c:pt>
                <c:pt idx="228">
                  <c:v>1</c:v>
                </c:pt>
                <c:pt idx="229">
                  <c:v>#N/A</c:v>
                </c:pt>
                <c:pt idx="230">
                  <c:v>#N/A</c:v>
                </c:pt>
                <c:pt idx="231">
                  <c:v>70</c:v>
                </c:pt>
                <c:pt idx="232">
                  <c:v>#N/A</c:v>
                </c:pt>
                <c:pt idx="233">
                  <c:v>14</c:v>
                </c:pt>
                <c:pt idx="234">
                  <c:v>#N/A</c:v>
                </c:pt>
                <c:pt idx="235">
                  <c:v>#N/A</c:v>
                </c:pt>
                <c:pt idx="236">
                  <c:v>33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25</c:v>
                </c:pt>
                <c:pt idx="241">
                  <c:v>83</c:v>
                </c:pt>
                <c:pt idx="242">
                  <c:v>8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60</c:v>
                </c:pt>
                <c:pt idx="251">
                  <c:v>88</c:v>
                </c:pt>
                <c:pt idx="252">
                  <c:v>#N/A</c:v>
                </c:pt>
                <c:pt idx="253">
                  <c:v>88</c:v>
                </c:pt>
                <c:pt idx="254">
                  <c:v>19</c:v>
                </c:pt>
                <c:pt idx="255">
                  <c:v>93</c:v>
                </c:pt>
                <c:pt idx="256">
                  <c:v>#N/A</c:v>
                </c:pt>
                <c:pt idx="257">
                  <c:v>#N/A</c:v>
                </c:pt>
                <c:pt idx="258">
                  <c:v>53</c:v>
                </c:pt>
                <c:pt idx="259">
                  <c:v>#N/A</c:v>
                </c:pt>
                <c:pt idx="260">
                  <c:v>80</c:v>
                </c:pt>
                <c:pt idx="261">
                  <c:v>#N/A</c:v>
                </c:pt>
                <c:pt idx="262">
                  <c:v>1</c:v>
                </c:pt>
                <c:pt idx="263">
                  <c:v>#N/A</c:v>
                </c:pt>
                <c:pt idx="264">
                  <c:v>#N/A</c:v>
                </c:pt>
                <c:pt idx="265">
                  <c:v>44</c:v>
                </c:pt>
                <c:pt idx="266">
                  <c:v>#N/A</c:v>
                </c:pt>
                <c:pt idx="267">
                  <c:v>8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83</c:v>
                </c:pt>
                <c:pt idx="275">
                  <c:v>70</c:v>
                </c:pt>
                <c:pt idx="276">
                  <c:v>4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92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38</c:v>
                </c:pt>
                <c:pt idx="292">
                  <c:v>#N/A</c:v>
                </c:pt>
                <c:pt idx="293">
                  <c:v>#N/A</c:v>
                </c:pt>
                <c:pt idx="294">
                  <c:v>56</c:v>
                </c:pt>
                <c:pt idx="295">
                  <c:v>#N/A</c:v>
                </c:pt>
                <c:pt idx="296">
                  <c:v>#N/A</c:v>
                </c:pt>
                <c:pt idx="297">
                  <c:v>71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50</c:v>
                </c:pt>
                <c:pt idx="308">
                  <c:v>85</c:v>
                </c:pt>
                <c:pt idx="309">
                  <c:v>#N/A</c:v>
                </c:pt>
                <c:pt idx="310">
                  <c:v>95</c:v>
                </c:pt>
                <c:pt idx="311">
                  <c:v>#N/A</c:v>
                </c:pt>
                <c:pt idx="312">
                  <c:v>51</c:v>
                </c:pt>
                <c:pt idx="313">
                  <c:v>#N/A</c:v>
                </c:pt>
                <c:pt idx="314">
                  <c:v>#N/A</c:v>
                </c:pt>
                <c:pt idx="315">
                  <c:v>9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50</c:v>
                </c:pt>
                <c:pt idx="323">
                  <c:v>#N/A</c:v>
                </c:pt>
                <c:pt idx="324">
                  <c:v>#N/A</c:v>
                </c:pt>
                <c:pt idx="325">
                  <c:v>16</c:v>
                </c:pt>
                <c:pt idx="326">
                  <c:v>#N/A</c:v>
                </c:pt>
                <c:pt idx="327">
                  <c:v>#N/A</c:v>
                </c:pt>
                <c:pt idx="328">
                  <c:v>100</c:v>
                </c:pt>
                <c:pt idx="329">
                  <c:v>56</c:v>
                </c:pt>
                <c:pt idx="330">
                  <c:v>62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79</c:v>
                </c:pt>
                <c:pt idx="335">
                  <c:v>8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11</c:v>
                </c:pt>
                <c:pt idx="342">
                  <c:v>#N/A</c:v>
                </c:pt>
                <c:pt idx="343">
                  <c:v>6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64</c:v>
                </c:pt>
                <c:pt idx="348">
                  <c:v>#N/A</c:v>
                </c:pt>
                <c:pt idx="349">
                  <c:v>9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25</c:v>
                </c:pt>
                <c:pt idx="356">
                  <c:v>#N/A</c:v>
                </c:pt>
                <c:pt idx="357">
                  <c:v>#N/A</c:v>
                </c:pt>
                <c:pt idx="358">
                  <c:v>24</c:v>
                </c:pt>
                <c:pt idx="359">
                  <c:v>68</c:v>
                </c:pt>
                <c:pt idx="360">
                  <c:v>16</c:v>
                </c:pt>
                <c:pt idx="361">
                  <c:v>#N/A</c:v>
                </c:pt>
                <c:pt idx="362">
                  <c:v>87</c:v>
                </c:pt>
                <c:pt idx="363">
                  <c:v>#N/A</c:v>
                </c:pt>
                <c:pt idx="364">
                  <c:v>16</c:v>
                </c:pt>
                <c:pt idx="365">
                  <c:v>89</c:v>
                </c:pt>
                <c:pt idx="366">
                  <c:v>79</c:v>
                </c:pt>
                <c:pt idx="367">
                  <c:v>28</c:v>
                </c:pt>
                <c:pt idx="368">
                  <c:v>#N/A</c:v>
                </c:pt>
                <c:pt idx="369">
                  <c:v>87</c:v>
                </c:pt>
                <c:pt idx="370">
                  <c:v>30</c:v>
                </c:pt>
                <c:pt idx="371">
                  <c:v>#N/A</c:v>
                </c:pt>
                <c:pt idx="372">
                  <c:v>#N/A</c:v>
                </c:pt>
                <c:pt idx="373">
                  <c:v>27</c:v>
                </c:pt>
                <c:pt idx="374">
                  <c:v>24</c:v>
                </c:pt>
                <c:pt idx="375">
                  <c:v>#N/A</c:v>
                </c:pt>
                <c:pt idx="376">
                  <c:v>80</c:v>
                </c:pt>
                <c:pt idx="377">
                  <c:v>16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58</c:v>
                </c:pt>
                <c:pt idx="382">
                  <c:v>85</c:v>
                </c:pt>
                <c:pt idx="383">
                  <c:v>#N/A</c:v>
                </c:pt>
                <c:pt idx="384">
                  <c:v>89</c:v>
                </c:pt>
                <c:pt idx="385">
                  <c:v>#N/A</c:v>
                </c:pt>
                <c:pt idx="386">
                  <c:v>#N/A</c:v>
                </c:pt>
                <c:pt idx="387">
                  <c:v>28</c:v>
                </c:pt>
                <c:pt idx="388">
                  <c:v>10</c:v>
                </c:pt>
                <c:pt idx="389">
                  <c:v>#N/A</c:v>
                </c:pt>
                <c:pt idx="390">
                  <c:v>82</c:v>
                </c:pt>
                <c:pt idx="391">
                  <c:v>89</c:v>
                </c:pt>
                <c:pt idx="392">
                  <c:v>#N/A</c:v>
                </c:pt>
                <c:pt idx="393">
                  <c:v>#N/A</c:v>
                </c:pt>
                <c:pt idx="394">
                  <c:v>20</c:v>
                </c:pt>
                <c:pt idx="395">
                  <c:v>3</c:v>
                </c:pt>
                <c:pt idx="396">
                  <c:v>90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68</c:v>
                </c:pt>
                <c:pt idx="405">
                  <c:v>#N/A</c:v>
                </c:pt>
                <c:pt idx="406">
                  <c:v>74</c:v>
                </c:pt>
                <c:pt idx="407">
                  <c:v>#N/A</c:v>
                </c:pt>
                <c:pt idx="408">
                  <c:v>#N/A</c:v>
                </c:pt>
                <c:pt idx="409">
                  <c:v>38</c:v>
                </c:pt>
                <c:pt idx="410">
                  <c:v>#N/A</c:v>
                </c:pt>
                <c:pt idx="411">
                  <c:v>#N/A</c:v>
                </c:pt>
                <c:pt idx="412">
                  <c:v>43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44</c:v>
                </c:pt>
                <c:pt idx="419">
                  <c:v>69</c:v>
                </c:pt>
                <c:pt idx="420">
                  <c:v>#N/A</c:v>
                </c:pt>
                <c:pt idx="421">
                  <c:v>79</c:v>
                </c:pt>
                <c:pt idx="422">
                  <c:v>27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88</c:v>
                </c:pt>
                <c:pt idx="429">
                  <c:v>#N/A</c:v>
                </c:pt>
                <c:pt idx="430">
                  <c:v>#N/A</c:v>
                </c:pt>
                <c:pt idx="431">
                  <c:v>42</c:v>
                </c:pt>
                <c:pt idx="432">
                  <c:v>#N/A</c:v>
                </c:pt>
                <c:pt idx="433">
                  <c:v>21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34</c:v>
                </c:pt>
                <c:pt idx="439">
                  <c:v>#N/A</c:v>
                </c:pt>
                <c:pt idx="440">
                  <c:v>40</c:v>
                </c:pt>
                <c:pt idx="441">
                  <c:v>#N/A</c:v>
                </c:pt>
                <c:pt idx="442">
                  <c:v>24</c:v>
                </c:pt>
                <c:pt idx="443">
                  <c:v>#N/A</c:v>
                </c:pt>
                <c:pt idx="444">
                  <c:v>44</c:v>
                </c:pt>
                <c:pt idx="445">
                  <c:v>30</c:v>
                </c:pt>
                <c:pt idx="446">
                  <c:v>83</c:v>
                </c:pt>
                <c:pt idx="447">
                  <c:v>#N/A</c:v>
                </c:pt>
                <c:pt idx="448">
                  <c:v>46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71</c:v>
                </c:pt>
                <c:pt idx="457">
                  <c:v>#N/A</c:v>
                </c:pt>
                <c:pt idx="458">
                  <c:v>#N/A</c:v>
                </c:pt>
                <c:pt idx="459">
                  <c:v>100</c:v>
                </c:pt>
                <c:pt idx="460">
                  <c:v>70</c:v>
                </c:pt>
                <c:pt idx="461">
                  <c:v>#N/A</c:v>
                </c:pt>
                <c:pt idx="462">
                  <c:v>#N/A</c:v>
                </c:pt>
                <c:pt idx="463">
                  <c:v>69</c:v>
                </c:pt>
                <c:pt idx="464">
                  <c:v>30</c:v>
                </c:pt>
                <c:pt idx="465">
                  <c:v>80</c:v>
                </c:pt>
                <c:pt idx="466">
                  <c:v>69</c:v>
                </c:pt>
                <c:pt idx="467">
                  <c:v>33</c:v>
                </c:pt>
                <c:pt idx="468">
                  <c:v>100</c:v>
                </c:pt>
                <c:pt idx="469">
                  <c:v>95</c:v>
                </c:pt>
                <c:pt idx="470">
                  <c:v>34</c:v>
                </c:pt>
                <c:pt idx="471">
                  <c:v>73</c:v>
                </c:pt>
                <c:pt idx="472">
                  <c:v>51</c:v>
                </c:pt>
                <c:pt idx="473">
                  <c:v>39</c:v>
                </c:pt>
                <c:pt idx="474">
                  <c:v>37</c:v>
                </c:pt>
                <c:pt idx="475">
                  <c:v>6</c:v>
                </c:pt>
                <c:pt idx="476">
                  <c:v>#N/A</c:v>
                </c:pt>
                <c:pt idx="477">
                  <c:v>32</c:v>
                </c:pt>
                <c:pt idx="478">
                  <c:v>#N/A</c:v>
                </c:pt>
                <c:pt idx="479">
                  <c:v>45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36</c:v>
                </c:pt>
                <c:pt idx="484">
                  <c:v>60</c:v>
                </c:pt>
                <c:pt idx="485">
                  <c:v>#N/A</c:v>
                </c:pt>
                <c:pt idx="486">
                  <c:v>#N/A</c:v>
                </c:pt>
                <c:pt idx="487">
                  <c:v>93</c:v>
                </c:pt>
                <c:pt idx="488">
                  <c:v>64</c:v>
                </c:pt>
                <c:pt idx="489">
                  <c:v>#N/A</c:v>
                </c:pt>
                <c:pt idx="490">
                  <c:v>2</c:v>
                </c:pt>
                <c:pt idx="491">
                  <c:v>39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84</c:v>
                </c:pt>
                <c:pt idx="496">
                  <c:v>1</c:v>
                </c:pt>
                <c:pt idx="497">
                  <c:v>80</c:v>
                </c:pt>
                <c:pt idx="498">
                  <c:v>3</c:v>
                </c:pt>
                <c:pt idx="499">
                  <c:v>42</c:v>
                </c:pt>
                <c:pt idx="500">
                  <c:v>74</c:v>
                </c:pt>
                <c:pt idx="501">
                  <c:v>65</c:v>
                </c:pt>
                <c:pt idx="502">
                  <c:v>73</c:v>
                </c:pt>
                <c:pt idx="503">
                  <c:v>#N/A</c:v>
                </c:pt>
                <c:pt idx="504">
                  <c:v>#N/A</c:v>
                </c:pt>
                <c:pt idx="505">
                  <c:v>2</c:v>
                </c:pt>
                <c:pt idx="506">
                  <c:v>#N/A</c:v>
                </c:pt>
                <c:pt idx="507">
                  <c:v>22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25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73</c:v>
                </c:pt>
                <c:pt idx="516">
                  <c:v>#N/A</c:v>
                </c:pt>
                <c:pt idx="517">
                  <c:v>83</c:v>
                </c:pt>
                <c:pt idx="518">
                  <c:v>#N/A</c:v>
                </c:pt>
                <c:pt idx="519">
                  <c:v>63</c:v>
                </c:pt>
                <c:pt idx="520">
                  <c:v>100</c:v>
                </c:pt>
                <c:pt idx="521">
                  <c:v>77</c:v>
                </c:pt>
                <c:pt idx="522">
                  <c:v>57</c:v>
                </c:pt>
                <c:pt idx="523">
                  <c:v>#N/A</c:v>
                </c:pt>
                <c:pt idx="524">
                  <c:v>#N/A</c:v>
                </c:pt>
                <c:pt idx="525">
                  <c:v>82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23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79</c:v>
                </c:pt>
                <c:pt idx="536">
                  <c:v>2</c:v>
                </c:pt>
                <c:pt idx="537">
                  <c:v>76</c:v>
                </c:pt>
                <c:pt idx="538">
                  <c:v>#N/A</c:v>
                </c:pt>
                <c:pt idx="539">
                  <c:v>68</c:v>
                </c:pt>
                <c:pt idx="540">
                  <c:v>#N/A</c:v>
                </c:pt>
                <c:pt idx="541">
                  <c:v>65</c:v>
                </c:pt>
                <c:pt idx="542">
                  <c:v>50</c:v>
                </c:pt>
                <c:pt idx="543">
                  <c:v>36</c:v>
                </c:pt>
                <c:pt idx="544">
                  <c:v>#N/A</c:v>
                </c:pt>
                <c:pt idx="545">
                  <c:v>97</c:v>
                </c:pt>
                <c:pt idx="546">
                  <c:v>#N/A</c:v>
                </c:pt>
                <c:pt idx="547">
                  <c:v>#N/A</c:v>
                </c:pt>
                <c:pt idx="548">
                  <c:v>29</c:v>
                </c:pt>
                <c:pt idx="549">
                  <c:v>#N/A</c:v>
                </c:pt>
                <c:pt idx="550">
                  <c:v>#N/A</c:v>
                </c:pt>
                <c:pt idx="551">
                  <c:v>37</c:v>
                </c:pt>
                <c:pt idx="552">
                  <c:v>79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72</c:v>
                </c:pt>
                <c:pt idx="557">
                  <c:v>#N/A</c:v>
                </c:pt>
                <c:pt idx="558">
                  <c:v>70</c:v>
                </c:pt>
                <c:pt idx="559">
                  <c:v>#N/A</c:v>
                </c:pt>
                <c:pt idx="560">
                  <c:v>#N/A</c:v>
                </c:pt>
                <c:pt idx="561">
                  <c:v>68</c:v>
                </c:pt>
                <c:pt idx="562">
                  <c:v>#N/A</c:v>
                </c:pt>
                <c:pt idx="563">
                  <c:v>20</c:v>
                </c:pt>
                <c:pt idx="564">
                  <c:v>69</c:v>
                </c:pt>
                <c:pt idx="565">
                  <c:v>#N/A</c:v>
                </c:pt>
                <c:pt idx="566">
                  <c:v>#N/A</c:v>
                </c:pt>
                <c:pt idx="567">
                  <c:v>62</c:v>
                </c:pt>
                <c:pt idx="568">
                  <c:v>#N/A</c:v>
                </c:pt>
                <c:pt idx="569">
                  <c:v>85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3</c:v>
                </c:pt>
                <c:pt idx="574">
                  <c:v>100</c:v>
                </c:pt>
                <c:pt idx="575">
                  <c:v>42</c:v>
                </c:pt>
                <c:pt idx="576">
                  <c:v>13</c:v>
                </c:pt>
                <c:pt idx="577">
                  <c:v>92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62</c:v>
                </c:pt>
                <c:pt idx="582">
                  <c:v>12</c:v>
                </c:pt>
                <c:pt idx="583">
                  <c:v>#N/A</c:v>
                </c:pt>
                <c:pt idx="584">
                  <c:v>#N/A</c:v>
                </c:pt>
                <c:pt idx="585">
                  <c:v>2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33</c:v>
                </c:pt>
                <c:pt idx="590">
                  <c:v>69</c:v>
                </c:pt>
                <c:pt idx="591">
                  <c:v>58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19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83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66</c:v>
                </c:pt>
                <c:pt idx="608">
                  <c:v>41</c:v>
                </c:pt>
                <c:pt idx="609">
                  <c:v>97</c:v>
                </c:pt>
                <c:pt idx="610">
                  <c:v>89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70</c:v>
                </c:pt>
                <c:pt idx="616">
                  <c:v>85</c:v>
                </c:pt>
                <c:pt idx="617">
                  <c:v>#N/A</c:v>
                </c:pt>
                <c:pt idx="618">
                  <c:v>17</c:v>
                </c:pt>
                <c:pt idx="619">
                  <c:v>#N/A</c:v>
                </c:pt>
                <c:pt idx="620">
                  <c:v>43</c:v>
                </c:pt>
                <c:pt idx="621">
                  <c:v>#N/A</c:v>
                </c:pt>
                <c:pt idx="622">
                  <c:v>#N/A</c:v>
                </c:pt>
                <c:pt idx="623">
                  <c:v>68</c:v>
                </c:pt>
                <c:pt idx="624">
                  <c:v>#N/A</c:v>
                </c:pt>
                <c:pt idx="625">
                  <c:v>#N/A</c:v>
                </c:pt>
                <c:pt idx="626">
                  <c:v>24</c:v>
                </c:pt>
                <c:pt idx="627">
                  <c:v>#N/A</c:v>
                </c:pt>
                <c:pt idx="628">
                  <c:v>#N/A</c:v>
                </c:pt>
                <c:pt idx="629">
                  <c:v>22</c:v>
                </c:pt>
                <c:pt idx="630">
                  <c:v>#N/A</c:v>
                </c:pt>
                <c:pt idx="631">
                  <c:v>74</c:v>
                </c:pt>
                <c:pt idx="632">
                  <c:v>#N/A</c:v>
                </c:pt>
                <c:pt idx="633">
                  <c:v>#N/A</c:v>
                </c:pt>
                <c:pt idx="634">
                  <c:v>63</c:v>
                </c:pt>
                <c:pt idx="635">
                  <c:v>#N/A</c:v>
                </c:pt>
                <c:pt idx="636">
                  <c:v>#N/A</c:v>
                </c:pt>
                <c:pt idx="637">
                  <c:v>84</c:v>
                </c:pt>
                <c:pt idx="638">
                  <c:v>45</c:v>
                </c:pt>
                <c:pt idx="639">
                  <c:v>#N/A</c:v>
                </c:pt>
                <c:pt idx="640">
                  <c:v>91</c:v>
                </c:pt>
                <c:pt idx="641">
                  <c:v>45</c:v>
                </c:pt>
                <c:pt idx="642">
                  <c:v>#N/A</c:v>
                </c:pt>
                <c:pt idx="643">
                  <c:v>96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75</c:v>
                </c:pt>
                <c:pt idx="656">
                  <c:v>#N/A</c:v>
                </c:pt>
                <c:pt idx="657">
                  <c:v>58</c:v>
                </c:pt>
                <c:pt idx="658">
                  <c:v>29</c:v>
                </c:pt>
                <c:pt idx="659">
                  <c:v>#N/A</c:v>
                </c:pt>
                <c:pt idx="660">
                  <c:v>#N/A</c:v>
                </c:pt>
                <c:pt idx="661">
                  <c:v>34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71</c:v>
                </c:pt>
                <c:pt idx="666">
                  <c:v>58</c:v>
                </c:pt>
                <c:pt idx="667">
                  <c:v>85</c:v>
                </c:pt>
                <c:pt idx="668">
                  <c:v>7</c:v>
                </c:pt>
                <c:pt idx="669">
                  <c:v>68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35</c:v>
                </c:pt>
                <c:pt idx="674">
                  <c:v>97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4</c:v>
                </c:pt>
                <c:pt idx="681">
                  <c:v>84</c:v>
                </c:pt>
                <c:pt idx="682">
                  <c:v>27</c:v>
                </c:pt>
                <c:pt idx="683">
                  <c:v>#N/A</c:v>
                </c:pt>
                <c:pt idx="684">
                  <c:v>81</c:v>
                </c:pt>
                <c:pt idx="685">
                  <c:v>13</c:v>
                </c:pt>
                <c:pt idx="686">
                  <c:v>78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49</c:v>
                </c:pt>
                <c:pt idx="693">
                  <c:v>#N/A</c:v>
                </c:pt>
                <c:pt idx="694">
                  <c:v>20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66</c:v>
                </c:pt>
                <c:pt idx="700">
                  <c:v>#N/A</c:v>
                </c:pt>
                <c:pt idx="701">
                  <c:v>48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59</c:v>
                </c:pt>
                <c:pt idx="709">
                  <c:v>12</c:v>
                </c:pt>
                <c:pt idx="710">
                  <c:v>#N/A</c:v>
                </c:pt>
                <c:pt idx="711">
                  <c:v>76</c:v>
                </c:pt>
                <c:pt idx="712">
                  <c:v>#N/A</c:v>
                </c:pt>
                <c:pt idx="713">
                  <c:v>#N/A</c:v>
                </c:pt>
                <c:pt idx="714">
                  <c:v>19</c:v>
                </c:pt>
                <c:pt idx="715">
                  <c:v>40</c:v>
                </c:pt>
                <c:pt idx="716">
                  <c:v>96</c:v>
                </c:pt>
                <c:pt idx="717">
                  <c:v>70</c:v>
                </c:pt>
                <c:pt idx="718">
                  <c:v>42</c:v>
                </c:pt>
                <c:pt idx="719">
                  <c:v>78</c:v>
                </c:pt>
                <c:pt idx="720">
                  <c:v>#N/A</c:v>
                </c:pt>
                <c:pt idx="721">
                  <c:v>28</c:v>
                </c:pt>
                <c:pt idx="722">
                  <c:v>72</c:v>
                </c:pt>
                <c:pt idx="723">
                  <c:v>#N/A</c:v>
                </c:pt>
                <c:pt idx="724">
                  <c:v>95</c:v>
                </c:pt>
                <c:pt idx="725">
                  <c:v>12</c:v>
                </c:pt>
                <c:pt idx="726">
                  <c:v>54</c:v>
                </c:pt>
                <c:pt idx="727">
                  <c:v>61</c:v>
                </c:pt>
                <c:pt idx="728">
                  <c:v>#N/A</c:v>
                </c:pt>
                <c:pt idx="729">
                  <c:v>#N/A</c:v>
                </c:pt>
                <c:pt idx="730">
                  <c:v>89</c:v>
                </c:pt>
                <c:pt idx="731">
                  <c:v>#N/A</c:v>
                </c:pt>
                <c:pt idx="732">
                  <c:v>50</c:v>
                </c:pt>
                <c:pt idx="733">
                  <c:v>87</c:v>
                </c:pt>
                <c:pt idx="734">
                  <c:v>57</c:v>
                </c:pt>
                <c:pt idx="735">
                  <c:v>26</c:v>
                </c:pt>
                <c:pt idx="736">
                  <c:v>75</c:v>
                </c:pt>
                <c:pt idx="737">
                  <c:v>47</c:v>
                </c:pt>
                <c:pt idx="738">
                  <c:v>#N/A</c:v>
                </c:pt>
                <c:pt idx="739">
                  <c:v>99</c:v>
                </c:pt>
                <c:pt idx="740">
                  <c:v>#N/A</c:v>
                </c:pt>
                <c:pt idx="741">
                  <c:v>61</c:v>
                </c:pt>
                <c:pt idx="742">
                  <c:v>92</c:v>
                </c:pt>
                <c:pt idx="743">
                  <c:v>#N/A</c:v>
                </c:pt>
                <c:pt idx="744">
                  <c:v>#N/A</c:v>
                </c:pt>
                <c:pt idx="745">
                  <c:v>39</c:v>
                </c:pt>
                <c:pt idx="746">
                  <c:v>#N/A</c:v>
                </c:pt>
                <c:pt idx="747">
                  <c:v>3</c:v>
                </c:pt>
                <c:pt idx="748">
                  <c:v>96</c:v>
                </c:pt>
                <c:pt idx="749">
                  <c:v>14</c:v>
                </c:pt>
                <c:pt idx="750">
                  <c:v>26</c:v>
                </c:pt>
                <c:pt idx="751">
                  <c:v>#N/A</c:v>
                </c:pt>
                <c:pt idx="752">
                  <c:v>90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33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30</c:v>
                </c:pt>
                <c:pt idx="763">
                  <c:v>#N/A</c:v>
                </c:pt>
                <c:pt idx="764">
                  <c:v>22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44</c:v>
                </c:pt>
                <c:pt idx="771">
                  <c:v>55</c:v>
                </c:pt>
                <c:pt idx="772">
                  <c:v>11</c:v>
                </c:pt>
                <c:pt idx="773">
                  <c:v>3</c:v>
                </c:pt>
                <c:pt idx="774">
                  <c:v>#N/A</c:v>
                </c:pt>
                <c:pt idx="775">
                  <c:v>68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53</c:v>
                </c:pt>
                <c:pt idx="782">
                  <c:v>43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49</c:v>
                </c:pt>
                <c:pt idx="789">
                  <c:v>70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12</c:v>
                </c:pt>
                <c:pt idx="794">
                  <c:v>93</c:v>
                </c:pt>
                <c:pt idx="795">
                  <c:v>69</c:v>
                </c:pt>
                <c:pt idx="796">
                  <c:v>42</c:v>
                </c:pt>
                <c:pt idx="797">
                  <c:v>#N/A</c:v>
                </c:pt>
                <c:pt idx="798">
                  <c:v>47</c:v>
                </c:pt>
                <c:pt idx="799">
                  <c:v>#N/A</c:v>
                </c:pt>
                <c:pt idx="800">
                  <c:v>#N/A</c:v>
                </c:pt>
                <c:pt idx="801">
                  <c:v>75</c:v>
                </c:pt>
                <c:pt idx="802">
                  <c:v>#N/A</c:v>
                </c:pt>
                <c:pt idx="803">
                  <c:v>96</c:v>
                </c:pt>
                <c:pt idx="804">
                  <c:v>88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49</c:v>
                </c:pt>
                <c:pt idx="809">
                  <c:v>#N/A</c:v>
                </c:pt>
                <c:pt idx="810">
                  <c:v>41</c:v>
                </c:pt>
                <c:pt idx="811">
                  <c:v>#N/A</c:v>
                </c:pt>
                <c:pt idx="812">
                  <c:v>69</c:v>
                </c:pt>
                <c:pt idx="813">
                  <c:v>59</c:v>
                </c:pt>
                <c:pt idx="814">
                  <c:v>1</c:v>
                </c:pt>
                <c:pt idx="815">
                  <c:v>16</c:v>
                </c:pt>
                <c:pt idx="816">
                  <c:v>#N/A</c:v>
                </c:pt>
                <c:pt idx="817">
                  <c:v>7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12</c:v>
                </c:pt>
                <c:pt idx="822">
                  <c:v>31</c:v>
                </c:pt>
                <c:pt idx="823">
                  <c:v>#N/A</c:v>
                </c:pt>
                <c:pt idx="824">
                  <c:v>60</c:v>
                </c:pt>
                <c:pt idx="825">
                  <c:v>#N/A</c:v>
                </c:pt>
                <c:pt idx="826">
                  <c:v>90</c:v>
                </c:pt>
                <c:pt idx="827">
                  <c:v>60</c:v>
                </c:pt>
                <c:pt idx="828">
                  <c:v>#N/A</c:v>
                </c:pt>
                <c:pt idx="829">
                  <c:v>#N/A</c:v>
                </c:pt>
                <c:pt idx="830">
                  <c:v>18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33</c:v>
                </c:pt>
                <c:pt idx="836">
                  <c:v>93</c:v>
                </c:pt>
                <c:pt idx="837">
                  <c:v>14</c:v>
                </c:pt>
                <c:pt idx="838">
                  <c:v>27</c:v>
                </c:pt>
                <c:pt idx="839">
                  <c:v>47</c:v>
                </c:pt>
                <c:pt idx="840">
                  <c:v>#N/A</c:v>
                </c:pt>
                <c:pt idx="841">
                  <c:v>#N/A</c:v>
                </c:pt>
                <c:pt idx="842">
                  <c:v>57</c:v>
                </c:pt>
                <c:pt idx="843">
                  <c:v>#N/A</c:v>
                </c:pt>
                <c:pt idx="844">
                  <c:v>#N/A</c:v>
                </c:pt>
                <c:pt idx="845">
                  <c:v>36</c:v>
                </c:pt>
                <c:pt idx="846">
                  <c:v>#N/A</c:v>
                </c:pt>
                <c:pt idx="847">
                  <c:v>#N/A</c:v>
                </c:pt>
                <c:pt idx="848">
                  <c:v>30</c:v>
                </c:pt>
                <c:pt idx="849">
                  <c:v>#N/A</c:v>
                </c:pt>
                <c:pt idx="850">
                  <c:v>25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4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17</c:v>
                </c:pt>
                <c:pt idx="860">
                  <c:v>#N/A</c:v>
                </c:pt>
                <c:pt idx="861">
                  <c:v>#N/A</c:v>
                </c:pt>
                <c:pt idx="862">
                  <c:v>22</c:v>
                </c:pt>
                <c:pt idx="863">
                  <c:v>14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26</c:v>
                </c:pt>
                <c:pt idx="870">
                  <c:v>#N/A</c:v>
                </c:pt>
                <c:pt idx="871">
                  <c:v>#N/A</c:v>
                </c:pt>
                <c:pt idx="872">
                  <c:v>24</c:v>
                </c:pt>
                <c:pt idx="873">
                  <c:v>#N/A</c:v>
                </c:pt>
                <c:pt idx="874">
                  <c:v>22</c:v>
                </c:pt>
                <c:pt idx="875">
                  <c:v>#N/A</c:v>
                </c:pt>
                <c:pt idx="876">
                  <c:v>#N/A</c:v>
                </c:pt>
                <c:pt idx="877">
                  <c:v>30</c:v>
                </c:pt>
                <c:pt idx="878">
                  <c:v>93</c:v>
                </c:pt>
                <c:pt idx="879">
                  <c:v>#N/A</c:v>
                </c:pt>
                <c:pt idx="880">
                  <c:v>#N/A</c:v>
                </c:pt>
                <c:pt idx="881">
                  <c:v>42</c:v>
                </c:pt>
                <c:pt idx="882">
                  <c:v>#N/A</c:v>
                </c:pt>
                <c:pt idx="883">
                  <c:v>60</c:v>
                </c:pt>
                <c:pt idx="884">
                  <c:v>#N/A</c:v>
                </c:pt>
                <c:pt idx="885">
                  <c:v>#N/A</c:v>
                </c:pt>
                <c:pt idx="886">
                  <c:v>19</c:v>
                </c:pt>
                <c:pt idx="887">
                  <c:v>37</c:v>
                </c:pt>
                <c:pt idx="888">
                  <c:v>43</c:v>
                </c:pt>
                <c:pt idx="889">
                  <c:v>83</c:v>
                </c:pt>
                <c:pt idx="890">
                  <c:v>83</c:v>
                </c:pt>
                <c:pt idx="891">
                  <c:v>55</c:v>
                </c:pt>
                <c:pt idx="892">
                  <c:v>#N/A</c:v>
                </c:pt>
                <c:pt idx="893">
                  <c:v>#N/A</c:v>
                </c:pt>
                <c:pt idx="894">
                  <c:v>49</c:v>
                </c:pt>
                <c:pt idx="895">
                  <c:v>52</c:v>
                </c:pt>
                <c:pt idx="896">
                  <c:v>94</c:v>
                </c:pt>
                <c:pt idx="897">
                  <c:v>58</c:v>
                </c:pt>
                <c:pt idx="898">
                  <c:v>#N/A</c:v>
                </c:pt>
                <c:pt idx="899">
                  <c:v>12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84</c:v>
                </c:pt>
                <c:pt idx="904">
                  <c:v>59</c:v>
                </c:pt>
                <c:pt idx="905">
                  <c:v>#N/A</c:v>
                </c:pt>
                <c:pt idx="906">
                  <c:v>95</c:v>
                </c:pt>
                <c:pt idx="907">
                  <c:v>86</c:v>
                </c:pt>
                <c:pt idx="908">
                  <c:v>#N/A</c:v>
                </c:pt>
                <c:pt idx="909">
                  <c:v>62</c:v>
                </c:pt>
                <c:pt idx="910">
                  <c:v>89</c:v>
                </c:pt>
                <c:pt idx="911">
                  <c:v>#N/A</c:v>
                </c:pt>
                <c:pt idx="912">
                  <c:v>19</c:v>
                </c:pt>
                <c:pt idx="913">
                  <c:v>#N/A</c:v>
                </c:pt>
                <c:pt idx="914">
                  <c:v>45</c:v>
                </c:pt>
                <c:pt idx="915">
                  <c:v>#N/A</c:v>
                </c:pt>
                <c:pt idx="916">
                  <c:v>#N/A</c:v>
                </c:pt>
                <c:pt idx="917">
                  <c:v>82</c:v>
                </c:pt>
                <c:pt idx="918">
                  <c:v>#N/A</c:v>
                </c:pt>
                <c:pt idx="919">
                  <c:v>#N/A</c:v>
                </c:pt>
                <c:pt idx="920">
                  <c:v>96</c:v>
                </c:pt>
                <c:pt idx="921">
                  <c:v>#N/A</c:v>
                </c:pt>
                <c:pt idx="922">
                  <c:v>32</c:v>
                </c:pt>
                <c:pt idx="923">
                  <c:v>4</c:v>
                </c:pt>
                <c:pt idx="924">
                  <c:v>#N/A</c:v>
                </c:pt>
                <c:pt idx="925">
                  <c:v>69</c:v>
                </c:pt>
                <c:pt idx="926">
                  <c:v>#N/A</c:v>
                </c:pt>
                <c:pt idx="927">
                  <c:v>91</c:v>
                </c:pt>
                <c:pt idx="928">
                  <c:v>71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83</c:v>
                </c:pt>
                <c:pt idx="934">
                  <c:v>#N/A</c:v>
                </c:pt>
                <c:pt idx="935">
                  <c:v>96</c:v>
                </c:pt>
                <c:pt idx="936">
                  <c:v>48</c:v>
                </c:pt>
                <c:pt idx="937">
                  <c:v>56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45</c:v>
                </c:pt>
                <c:pt idx="943">
                  <c:v>#N/A</c:v>
                </c:pt>
                <c:pt idx="944">
                  <c:v>33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76</c:v>
                </c:pt>
                <c:pt idx="952">
                  <c:v>64</c:v>
                </c:pt>
                <c:pt idx="953">
                  <c:v>19</c:v>
                </c:pt>
                <c:pt idx="954">
                  <c:v>#N/A</c:v>
                </c:pt>
                <c:pt idx="955">
                  <c:v>#N/A</c:v>
                </c:pt>
                <c:pt idx="956">
                  <c:v>49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33</c:v>
                </c:pt>
                <c:pt idx="962">
                  <c:v>#N/A</c:v>
                </c:pt>
                <c:pt idx="963">
                  <c:v>99</c:v>
                </c:pt>
                <c:pt idx="964">
                  <c:v>41</c:v>
                </c:pt>
                <c:pt idx="965">
                  <c:v>20</c:v>
                </c:pt>
                <c:pt idx="966">
                  <c:v>2</c:v>
                </c:pt>
                <c:pt idx="967">
                  <c:v>14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14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23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78</c:v>
                </c:pt>
                <c:pt idx="985">
                  <c:v>83</c:v>
                </c:pt>
                <c:pt idx="986">
                  <c:v>77</c:v>
                </c:pt>
                <c:pt idx="987">
                  <c:v>3</c:v>
                </c:pt>
                <c:pt idx="988">
                  <c:v>71</c:v>
                </c:pt>
                <c:pt idx="989">
                  <c:v>23</c:v>
                </c:pt>
                <c:pt idx="990">
                  <c:v>87</c:v>
                </c:pt>
                <c:pt idx="991">
                  <c:v>#N/A</c:v>
                </c:pt>
                <c:pt idx="992">
                  <c:v>#N/A</c:v>
                </c:pt>
                <c:pt idx="993">
                  <c:v>70</c:v>
                </c:pt>
                <c:pt idx="994">
                  <c:v>#N/A</c:v>
                </c:pt>
                <c:pt idx="995">
                  <c:v>76</c:v>
                </c:pt>
                <c:pt idx="996">
                  <c:v>80</c:v>
                </c:pt>
                <c:pt idx="997">
                  <c:v>48</c:v>
                </c:pt>
                <c:pt idx="998">
                  <c:v>100</c:v>
                </c:pt>
                <c:pt idx="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A6-41EC-B092-B3E45EDB5DD5}"/>
            </c:ext>
          </c:extLst>
        </c:ser>
        <c:ser>
          <c:idx val="2"/>
          <c:order val="2"/>
          <c:tx>
            <c:v>High Income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39594">
                  <a:alpha val="69804"/>
                </a:srgbClr>
              </a:solidFill>
              <a:ln w="9525">
                <a:noFill/>
              </a:ln>
              <a:effectLst/>
            </c:spPr>
          </c:marker>
          <c:dPt>
            <c:idx val="880"/>
            <c:marker>
              <c:symbol val="circle"/>
              <c:size val="5"/>
              <c:spPr>
                <a:solidFill>
                  <a:srgbClr val="A39594">
                    <a:alpha val="69804"/>
                  </a:srgbClr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A6-41EC-B092-B3E45EDB5DD5}"/>
              </c:ext>
            </c:extLst>
          </c:dPt>
          <c:trendline>
            <c:spPr>
              <a:ln w="19050" cap="rnd">
                <a:solidFill>
                  <a:schemeClr val="tx1">
                    <a:lumMod val="95000"/>
                    <a:lumOff val="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'Income_vs_spending score'!$O$2:$O$1001</c:f>
              <c:numCache>
                <c:formatCode>_-[$$-409]* #,##0_ ;_-[$$-409]* \-#,##0\ ;_-[$$-409]* "-"??_ ;_-@_ </c:formatCode>
                <c:ptCount val="1000"/>
                <c:pt idx="0">
                  <c:v>112260</c:v>
                </c:pt>
                <c:pt idx="1">
                  <c:v>#N/A</c:v>
                </c:pt>
                <c:pt idx="2">
                  <c:v>#N/A</c:v>
                </c:pt>
                <c:pt idx="3">
                  <c:v>107057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100270</c:v>
                </c:pt>
                <c:pt idx="8">
                  <c:v>#N/A</c:v>
                </c:pt>
                <c:pt idx="9">
                  <c:v>#N/A</c:v>
                </c:pt>
                <c:pt idx="10">
                  <c:v>125014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140801</c:v>
                </c:pt>
                <c:pt idx="15">
                  <c:v>121325</c:v>
                </c:pt>
                <c:pt idx="16">
                  <c:v>108550</c:v>
                </c:pt>
                <c:pt idx="17">
                  <c:v>100258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117922</c:v>
                </c:pt>
                <c:pt idx="22">
                  <c:v>119162</c:v>
                </c:pt>
                <c:pt idx="23">
                  <c:v>#N/A</c:v>
                </c:pt>
                <c:pt idx="24">
                  <c:v>136928</c:v>
                </c:pt>
                <c:pt idx="25">
                  <c:v>107934</c:v>
                </c:pt>
                <c:pt idx="26">
                  <c:v>123037</c:v>
                </c:pt>
                <c:pt idx="27">
                  <c:v>120914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143992</c:v>
                </c:pt>
                <c:pt idx="33">
                  <c:v>141605</c:v>
                </c:pt>
                <c:pt idx="34">
                  <c:v>#N/A</c:v>
                </c:pt>
                <c:pt idx="35">
                  <c:v>146165</c:v>
                </c:pt>
                <c:pt idx="36">
                  <c:v>#N/A</c:v>
                </c:pt>
                <c:pt idx="37">
                  <c:v>121639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132598</c:v>
                </c:pt>
                <c:pt idx="42">
                  <c:v>#N/A</c:v>
                </c:pt>
                <c:pt idx="43">
                  <c:v>#N/A</c:v>
                </c:pt>
                <c:pt idx="44">
                  <c:v>102200</c:v>
                </c:pt>
                <c:pt idx="45">
                  <c:v>#N/A</c:v>
                </c:pt>
                <c:pt idx="46">
                  <c:v>#N/A</c:v>
                </c:pt>
                <c:pt idx="47">
                  <c:v>140959</c:v>
                </c:pt>
                <c:pt idx="48">
                  <c:v>105623</c:v>
                </c:pt>
                <c:pt idx="49">
                  <c:v>#N/A</c:v>
                </c:pt>
                <c:pt idx="50">
                  <c:v>#N/A</c:v>
                </c:pt>
                <c:pt idx="51">
                  <c:v>104041</c:v>
                </c:pt>
                <c:pt idx="52">
                  <c:v>#N/A</c:v>
                </c:pt>
                <c:pt idx="53">
                  <c:v>141318</c:v>
                </c:pt>
                <c:pt idx="54">
                  <c:v>127989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112510</c:v>
                </c:pt>
                <c:pt idx="60">
                  <c:v>115204</c:v>
                </c:pt>
                <c:pt idx="61">
                  <c:v>#N/A</c:v>
                </c:pt>
                <c:pt idx="62">
                  <c:v>147355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129445</c:v>
                </c:pt>
                <c:pt idx="67">
                  <c:v>112949</c:v>
                </c:pt>
                <c:pt idx="68">
                  <c:v>136418</c:v>
                </c:pt>
                <c:pt idx="69">
                  <c:v>140638</c:v>
                </c:pt>
                <c:pt idx="70">
                  <c:v>128640</c:v>
                </c:pt>
                <c:pt idx="71">
                  <c:v>122436</c:v>
                </c:pt>
                <c:pt idx="72">
                  <c:v>#N/A</c:v>
                </c:pt>
                <c:pt idx="73">
                  <c:v>148784</c:v>
                </c:pt>
                <c:pt idx="74">
                  <c:v>#N/A</c:v>
                </c:pt>
                <c:pt idx="75">
                  <c:v>117373</c:v>
                </c:pt>
                <c:pt idx="76">
                  <c:v>#N/A</c:v>
                </c:pt>
                <c:pt idx="77">
                  <c:v>104106</c:v>
                </c:pt>
                <c:pt idx="78">
                  <c:v>#N/A</c:v>
                </c:pt>
                <c:pt idx="79">
                  <c:v>108074</c:v>
                </c:pt>
                <c:pt idx="80">
                  <c:v>129005</c:v>
                </c:pt>
                <c:pt idx="81">
                  <c:v>#N/A</c:v>
                </c:pt>
                <c:pt idx="82">
                  <c:v>135861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128322</c:v>
                </c:pt>
                <c:pt idx="87">
                  <c:v>#N/A</c:v>
                </c:pt>
                <c:pt idx="88">
                  <c:v>#N/A</c:v>
                </c:pt>
                <c:pt idx="89">
                  <c:v>136323</c:v>
                </c:pt>
                <c:pt idx="90">
                  <c:v>137307</c:v>
                </c:pt>
                <c:pt idx="91">
                  <c:v>108335</c:v>
                </c:pt>
                <c:pt idx="92">
                  <c:v>100208</c:v>
                </c:pt>
                <c:pt idx="93">
                  <c:v>132541</c:v>
                </c:pt>
                <c:pt idx="94">
                  <c:v>#N/A</c:v>
                </c:pt>
                <c:pt idx="95">
                  <c:v>142216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113187</c:v>
                </c:pt>
                <c:pt idx="101">
                  <c:v>#N/A</c:v>
                </c:pt>
                <c:pt idx="102">
                  <c:v>#N/A</c:v>
                </c:pt>
                <c:pt idx="103">
                  <c:v>138922</c:v>
                </c:pt>
                <c:pt idx="104">
                  <c:v>137205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134193</c:v>
                </c:pt>
                <c:pt idx="119">
                  <c:v>#N/A</c:v>
                </c:pt>
                <c:pt idx="120">
                  <c:v>135968</c:v>
                </c:pt>
                <c:pt idx="121">
                  <c:v>108263</c:v>
                </c:pt>
                <c:pt idx="122">
                  <c:v>145924</c:v>
                </c:pt>
                <c:pt idx="123">
                  <c:v>141965</c:v>
                </c:pt>
                <c:pt idx="124">
                  <c:v>122028</c:v>
                </c:pt>
                <c:pt idx="125">
                  <c:v>113856</c:v>
                </c:pt>
                <c:pt idx="126">
                  <c:v>#N/A</c:v>
                </c:pt>
                <c:pt idx="127">
                  <c:v>136973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113380</c:v>
                </c:pt>
                <c:pt idx="133">
                  <c:v>#N/A</c:v>
                </c:pt>
                <c:pt idx="134">
                  <c:v>#N/A</c:v>
                </c:pt>
                <c:pt idx="135">
                  <c:v>118840</c:v>
                </c:pt>
                <c:pt idx="136">
                  <c:v>103921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134463</c:v>
                </c:pt>
                <c:pt idx="146">
                  <c:v>130604</c:v>
                </c:pt>
                <c:pt idx="147">
                  <c:v>#N/A</c:v>
                </c:pt>
                <c:pt idx="148">
                  <c:v>109314</c:v>
                </c:pt>
                <c:pt idx="149">
                  <c:v>#N/A</c:v>
                </c:pt>
                <c:pt idx="150">
                  <c:v>117893</c:v>
                </c:pt>
                <c:pt idx="151">
                  <c:v>123822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111242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145261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134203</c:v>
                </c:pt>
                <c:pt idx="169">
                  <c:v>#N/A</c:v>
                </c:pt>
                <c:pt idx="170">
                  <c:v>#N/A</c:v>
                </c:pt>
                <c:pt idx="171">
                  <c:v>132488</c:v>
                </c:pt>
                <c:pt idx="172">
                  <c:v>#N/A</c:v>
                </c:pt>
                <c:pt idx="173">
                  <c:v>#N/A</c:v>
                </c:pt>
                <c:pt idx="174">
                  <c:v>100320</c:v>
                </c:pt>
                <c:pt idx="175">
                  <c:v>143200</c:v>
                </c:pt>
                <c:pt idx="176">
                  <c:v>#N/A</c:v>
                </c:pt>
                <c:pt idx="177">
                  <c:v>124796</c:v>
                </c:pt>
                <c:pt idx="178">
                  <c:v>#N/A</c:v>
                </c:pt>
                <c:pt idx="179">
                  <c:v>#N/A</c:v>
                </c:pt>
                <c:pt idx="180">
                  <c:v>115342</c:v>
                </c:pt>
                <c:pt idx="181">
                  <c:v>105641</c:v>
                </c:pt>
                <c:pt idx="182">
                  <c:v>#N/A</c:v>
                </c:pt>
                <c:pt idx="183">
                  <c:v>141134</c:v>
                </c:pt>
                <c:pt idx="184">
                  <c:v>140809</c:v>
                </c:pt>
                <c:pt idx="185">
                  <c:v>145254</c:v>
                </c:pt>
                <c:pt idx="186">
                  <c:v>149505</c:v>
                </c:pt>
                <c:pt idx="187">
                  <c:v>132215</c:v>
                </c:pt>
                <c:pt idx="188">
                  <c:v>111238</c:v>
                </c:pt>
                <c:pt idx="189">
                  <c:v>132968</c:v>
                </c:pt>
                <c:pt idx="190">
                  <c:v>#N/A</c:v>
                </c:pt>
                <c:pt idx="191">
                  <c:v>139366</c:v>
                </c:pt>
                <c:pt idx="192">
                  <c:v>106944</c:v>
                </c:pt>
                <c:pt idx="193">
                  <c:v>#N/A</c:v>
                </c:pt>
                <c:pt idx="194">
                  <c:v>121073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100730</c:v>
                </c:pt>
                <c:pt idx="201">
                  <c:v>127010</c:v>
                </c:pt>
                <c:pt idx="202">
                  <c:v>132403</c:v>
                </c:pt>
                <c:pt idx="203">
                  <c:v>147360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100115</c:v>
                </c:pt>
                <c:pt idx="208">
                  <c:v>#N/A</c:v>
                </c:pt>
                <c:pt idx="209">
                  <c:v>132277</c:v>
                </c:pt>
                <c:pt idx="210">
                  <c:v>#N/A</c:v>
                </c:pt>
                <c:pt idx="211">
                  <c:v>145190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137307</c:v>
                </c:pt>
                <c:pt idx="223">
                  <c:v>139658</c:v>
                </c:pt>
                <c:pt idx="224">
                  <c:v>107702</c:v>
                </c:pt>
                <c:pt idx="225">
                  <c:v>#N/A</c:v>
                </c:pt>
                <c:pt idx="226">
                  <c:v>104830</c:v>
                </c:pt>
                <c:pt idx="227">
                  <c:v>#N/A</c:v>
                </c:pt>
                <c:pt idx="228">
                  <c:v>#N/A</c:v>
                </c:pt>
                <c:pt idx="229">
                  <c:v>113097</c:v>
                </c:pt>
                <c:pt idx="230">
                  <c:v>108115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113154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116566</c:v>
                </c:pt>
                <c:pt idx="244">
                  <c:v>111788</c:v>
                </c:pt>
                <c:pt idx="245">
                  <c:v>144573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141748</c:v>
                </c:pt>
                <c:pt idx="250">
                  <c:v>#N/A</c:v>
                </c:pt>
                <c:pt idx="251">
                  <c:v>#N/A</c:v>
                </c:pt>
                <c:pt idx="252">
                  <c:v>145308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105810</c:v>
                </c:pt>
                <c:pt idx="257">
                  <c:v>#N/A</c:v>
                </c:pt>
                <c:pt idx="258">
                  <c:v>#N/A</c:v>
                </c:pt>
                <c:pt idx="259">
                  <c:v>134502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144083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143235</c:v>
                </c:pt>
                <c:pt idx="271">
                  <c:v>143899</c:v>
                </c:pt>
                <c:pt idx="272">
                  <c:v>#N/A</c:v>
                </c:pt>
                <c:pt idx="273">
                  <c:v>138008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148121</c:v>
                </c:pt>
                <c:pt idx="278">
                  <c:v>114848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107033</c:v>
                </c:pt>
                <c:pt idx="285">
                  <c:v>127745</c:v>
                </c:pt>
                <c:pt idx="286">
                  <c:v>#N/A</c:v>
                </c:pt>
                <c:pt idx="287">
                  <c:v>127302</c:v>
                </c:pt>
                <c:pt idx="288">
                  <c:v>111795</c:v>
                </c:pt>
                <c:pt idx="289">
                  <c:v>134801</c:v>
                </c:pt>
                <c:pt idx="290">
                  <c:v>121037</c:v>
                </c:pt>
                <c:pt idx="291">
                  <c:v>#N/A</c:v>
                </c:pt>
                <c:pt idx="292">
                  <c:v>149973</c:v>
                </c:pt>
                <c:pt idx="293">
                  <c:v>131020</c:v>
                </c:pt>
                <c:pt idx="294">
                  <c:v>#N/A</c:v>
                </c:pt>
                <c:pt idx="295">
                  <c:v>138152</c:v>
                </c:pt>
                <c:pt idx="296">
                  <c:v>149936</c:v>
                </c:pt>
                <c:pt idx="297">
                  <c:v>#N/A</c:v>
                </c:pt>
                <c:pt idx="298">
                  <c:v>130645</c:v>
                </c:pt>
                <c:pt idx="299">
                  <c:v>100314</c:v>
                </c:pt>
                <c:pt idx="300">
                  <c:v>148451</c:v>
                </c:pt>
                <c:pt idx="301">
                  <c:v>129284</c:v>
                </c:pt>
                <c:pt idx="302">
                  <c:v>102535</c:v>
                </c:pt>
                <c:pt idx="303">
                  <c:v>115529</c:v>
                </c:pt>
                <c:pt idx="304">
                  <c:v>101100</c:v>
                </c:pt>
                <c:pt idx="305">
                  <c:v>108480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100745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142287</c:v>
                </c:pt>
                <c:pt idx="314">
                  <c:v>#N/A</c:v>
                </c:pt>
                <c:pt idx="315">
                  <c:v>#N/A</c:v>
                </c:pt>
                <c:pt idx="316">
                  <c:v>124670</c:v>
                </c:pt>
                <c:pt idx="317">
                  <c:v>119460</c:v>
                </c:pt>
                <c:pt idx="318">
                  <c:v>#N/A</c:v>
                </c:pt>
                <c:pt idx="319">
                  <c:v>#N/A</c:v>
                </c:pt>
                <c:pt idx="320">
                  <c:v>112118</c:v>
                </c:pt>
                <c:pt idx="321">
                  <c:v>149062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129999</c:v>
                </c:pt>
                <c:pt idx="327">
                  <c:v>133701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129568</c:v>
                </c:pt>
                <c:pt idx="332">
                  <c:v>114808</c:v>
                </c:pt>
                <c:pt idx="333">
                  <c:v>145578</c:v>
                </c:pt>
                <c:pt idx="334">
                  <c:v>#N/A</c:v>
                </c:pt>
                <c:pt idx="335">
                  <c:v>#N/A</c:v>
                </c:pt>
                <c:pt idx="336">
                  <c:v>115674</c:v>
                </c:pt>
                <c:pt idx="337">
                  <c:v>#N/A</c:v>
                </c:pt>
                <c:pt idx="338">
                  <c:v>#N/A</c:v>
                </c:pt>
                <c:pt idx="339">
                  <c:v>136278</c:v>
                </c:pt>
                <c:pt idx="340">
                  <c:v>104971</c:v>
                </c:pt>
                <c:pt idx="341">
                  <c:v>#N/A</c:v>
                </c:pt>
                <c:pt idx="342">
                  <c:v>107042</c:v>
                </c:pt>
                <c:pt idx="343">
                  <c:v>#N/A</c:v>
                </c:pt>
                <c:pt idx="344">
                  <c:v>101111</c:v>
                </c:pt>
                <c:pt idx="345">
                  <c:v>125996</c:v>
                </c:pt>
                <c:pt idx="346">
                  <c:v>115470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105157</c:v>
                </c:pt>
                <c:pt idx="351">
                  <c:v>134592</c:v>
                </c:pt>
                <c:pt idx="352">
                  <c:v>#N/A</c:v>
                </c:pt>
                <c:pt idx="353">
                  <c:v>#N/A</c:v>
                </c:pt>
                <c:pt idx="354">
                  <c:v>120294</c:v>
                </c:pt>
                <c:pt idx="355">
                  <c:v>#N/A</c:v>
                </c:pt>
                <c:pt idx="356">
                  <c:v>112170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141757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134241</c:v>
                </c:pt>
                <c:pt idx="369">
                  <c:v>#N/A</c:v>
                </c:pt>
                <c:pt idx="370">
                  <c:v>#N/A</c:v>
                </c:pt>
                <c:pt idx="371">
                  <c:v>143037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105470</c:v>
                </c:pt>
                <c:pt idx="376">
                  <c:v>#N/A</c:v>
                </c:pt>
                <c:pt idx="377">
                  <c:v>#N/A</c:v>
                </c:pt>
                <c:pt idx="378">
                  <c:v>104031</c:v>
                </c:pt>
                <c:pt idx="379">
                  <c:v>113116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101084</c:v>
                </c:pt>
                <c:pt idx="384">
                  <c:v>#N/A</c:v>
                </c:pt>
                <c:pt idx="385">
                  <c:v>#N/A</c:v>
                </c:pt>
                <c:pt idx="386">
                  <c:v>107818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124138</c:v>
                </c:pt>
                <c:pt idx="393">
                  <c:v>106631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148368</c:v>
                </c:pt>
                <c:pt idx="398">
                  <c:v>134414</c:v>
                </c:pt>
                <c:pt idx="399">
                  <c:v>105185</c:v>
                </c:pt>
                <c:pt idx="400">
                  <c:v>129014</c:v>
                </c:pt>
                <c:pt idx="401">
                  <c:v>112847</c:v>
                </c:pt>
                <c:pt idx="402">
                  <c:v>139589</c:v>
                </c:pt>
                <c:pt idx="403">
                  <c:v>#N/A</c:v>
                </c:pt>
                <c:pt idx="404">
                  <c:v>#N/A</c:v>
                </c:pt>
                <c:pt idx="405">
                  <c:v>101024</c:v>
                </c:pt>
                <c:pt idx="406">
                  <c:v>#N/A</c:v>
                </c:pt>
                <c:pt idx="407">
                  <c:v>107232</c:v>
                </c:pt>
                <c:pt idx="408">
                  <c:v>128623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144624</c:v>
                </c:pt>
                <c:pt idx="414">
                  <c:v>130668</c:v>
                </c:pt>
                <c:pt idx="415">
                  <c:v>135530</c:v>
                </c:pt>
                <c:pt idx="416">
                  <c:v>#N/A</c:v>
                </c:pt>
                <c:pt idx="417">
                  <c:v>126553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107488</c:v>
                </c:pt>
                <c:pt idx="424">
                  <c:v>115381</c:v>
                </c:pt>
                <c:pt idx="425">
                  <c:v>#N/A</c:v>
                </c:pt>
                <c:pt idx="426">
                  <c:v>122661</c:v>
                </c:pt>
                <c:pt idx="427">
                  <c:v>120516</c:v>
                </c:pt>
                <c:pt idx="428">
                  <c:v>#N/A</c:v>
                </c:pt>
                <c:pt idx="429">
                  <c:v>103191</c:v>
                </c:pt>
                <c:pt idx="430">
                  <c:v>149741</c:v>
                </c:pt>
                <c:pt idx="431">
                  <c:v>#N/A</c:v>
                </c:pt>
                <c:pt idx="432">
                  <c:v>105019</c:v>
                </c:pt>
                <c:pt idx="433">
                  <c:v>#N/A</c:v>
                </c:pt>
                <c:pt idx="434">
                  <c:v>127948</c:v>
                </c:pt>
                <c:pt idx="435">
                  <c:v>141369</c:v>
                </c:pt>
                <c:pt idx="436">
                  <c:v>119844</c:v>
                </c:pt>
                <c:pt idx="437">
                  <c:v>135305</c:v>
                </c:pt>
                <c:pt idx="438">
                  <c:v>#N/A</c:v>
                </c:pt>
                <c:pt idx="439">
                  <c:v>101105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124369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147555</c:v>
                </c:pt>
                <c:pt idx="448">
                  <c:v>#N/A</c:v>
                </c:pt>
                <c:pt idx="449">
                  <c:v>100399</c:v>
                </c:pt>
                <c:pt idx="450">
                  <c:v>143640</c:v>
                </c:pt>
                <c:pt idx="451">
                  <c:v>100736</c:v>
                </c:pt>
                <c:pt idx="452">
                  <c:v>139508</c:v>
                </c:pt>
                <c:pt idx="453">
                  <c:v>112674</c:v>
                </c:pt>
                <c:pt idx="454">
                  <c:v>143424</c:v>
                </c:pt>
                <c:pt idx="455">
                  <c:v>120542</c:v>
                </c:pt>
                <c:pt idx="456">
                  <c:v>#N/A</c:v>
                </c:pt>
                <c:pt idx="457">
                  <c:v>124597</c:v>
                </c:pt>
                <c:pt idx="458">
                  <c:v>112021</c:v>
                </c:pt>
                <c:pt idx="459">
                  <c:v>#N/A</c:v>
                </c:pt>
                <c:pt idx="460">
                  <c:v>#N/A</c:v>
                </c:pt>
                <c:pt idx="461">
                  <c:v>112137</c:v>
                </c:pt>
                <c:pt idx="462">
                  <c:v>137276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115578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116378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106345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105994</c:v>
                </c:pt>
                <c:pt idx="490">
                  <c:v>#N/A</c:v>
                </c:pt>
                <c:pt idx="491">
                  <c:v>#N/A</c:v>
                </c:pt>
                <c:pt idx="492">
                  <c:v>115537</c:v>
                </c:pt>
                <c:pt idx="493">
                  <c:v>#N/A</c:v>
                </c:pt>
                <c:pt idx="494">
                  <c:v>130443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145028</c:v>
                </c:pt>
                <c:pt idx="504">
                  <c:v>143612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149578</c:v>
                </c:pt>
                <c:pt idx="510">
                  <c:v>111784</c:v>
                </c:pt>
                <c:pt idx="511">
                  <c:v>#N/A</c:v>
                </c:pt>
                <c:pt idx="512">
                  <c:v>120644</c:v>
                </c:pt>
                <c:pt idx="513">
                  <c:v>135627</c:v>
                </c:pt>
                <c:pt idx="514">
                  <c:v>145884</c:v>
                </c:pt>
                <c:pt idx="515">
                  <c:v>#N/A</c:v>
                </c:pt>
                <c:pt idx="516">
                  <c:v>106632</c:v>
                </c:pt>
                <c:pt idx="517">
                  <c:v>#N/A</c:v>
                </c:pt>
                <c:pt idx="518">
                  <c:v>112212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113706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128064</c:v>
                </c:pt>
                <c:pt idx="529">
                  <c:v>129592</c:v>
                </c:pt>
                <c:pt idx="530">
                  <c:v>#N/A</c:v>
                </c:pt>
                <c:pt idx="531">
                  <c:v>111493</c:v>
                </c:pt>
                <c:pt idx="532">
                  <c:v>114390</c:v>
                </c:pt>
                <c:pt idx="533">
                  <c:v>#N/A</c:v>
                </c:pt>
                <c:pt idx="534">
                  <c:v>133888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105024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122472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117432</c:v>
                </c:pt>
                <c:pt idx="556">
                  <c:v>#N/A</c:v>
                </c:pt>
                <c:pt idx="557">
                  <c:v>129611</c:v>
                </c:pt>
                <c:pt idx="558">
                  <c:v>#N/A</c:v>
                </c:pt>
                <c:pt idx="559">
                  <c:v>126598</c:v>
                </c:pt>
                <c:pt idx="560">
                  <c:v>#N/A</c:v>
                </c:pt>
                <c:pt idx="561">
                  <c:v>#N/A</c:v>
                </c:pt>
                <c:pt idx="562">
                  <c:v>145117</c:v>
                </c:pt>
                <c:pt idx="563">
                  <c:v>#N/A</c:v>
                </c:pt>
                <c:pt idx="564">
                  <c:v>#N/A</c:v>
                </c:pt>
                <c:pt idx="565">
                  <c:v>140349</c:v>
                </c:pt>
                <c:pt idx="566">
                  <c:v>118622</c:v>
                </c:pt>
                <c:pt idx="567">
                  <c:v>#N/A</c:v>
                </c:pt>
                <c:pt idx="568">
                  <c:v>136827</c:v>
                </c:pt>
                <c:pt idx="569">
                  <c:v>#N/A</c:v>
                </c:pt>
                <c:pt idx="570">
                  <c:v>113760</c:v>
                </c:pt>
                <c:pt idx="571">
                  <c:v>109039</c:v>
                </c:pt>
                <c:pt idx="572">
                  <c:v>113794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102269</c:v>
                </c:pt>
                <c:pt idx="579">
                  <c:v>108744</c:v>
                </c:pt>
                <c:pt idx="580">
                  <c:v>141667</c:v>
                </c:pt>
                <c:pt idx="581">
                  <c:v>#N/A</c:v>
                </c:pt>
                <c:pt idx="582">
                  <c:v>#N/A</c:v>
                </c:pt>
                <c:pt idx="583">
                  <c:v>114762</c:v>
                </c:pt>
                <c:pt idx="584">
                  <c:v>#N/A</c:v>
                </c:pt>
                <c:pt idx="585">
                  <c:v>#N/A</c:v>
                </c:pt>
                <c:pt idx="586">
                  <c:v>140475</c:v>
                </c:pt>
                <c:pt idx="587">
                  <c:v>#N/A</c:v>
                </c:pt>
                <c:pt idx="588">
                  <c:v>114874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120195</c:v>
                </c:pt>
                <c:pt idx="594">
                  <c:v>113532</c:v>
                </c:pt>
                <c:pt idx="595">
                  <c:v>146269</c:v>
                </c:pt>
                <c:pt idx="596">
                  <c:v>#N/A</c:v>
                </c:pt>
                <c:pt idx="597">
                  <c:v>#N/A</c:v>
                </c:pt>
                <c:pt idx="598">
                  <c:v>119492</c:v>
                </c:pt>
                <c:pt idx="599">
                  <c:v>106771</c:v>
                </c:pt>
                <c:pt idx="600">
                  <c:v>141567</c:v>
                </c:pt>
                <c:pt idx="601">
                  <c:v>#N/A</c:v>
                </c:pt>
                <c:pt idx="602">
                  <c:v>#N/A</c:v>
                </c:pt>
                <c:pt idx="603">
                  <c:v>117520</c:v>
                </c:pt>
                <c:pt idx="604">
                  <c:v>128667</c:v>
                </c:pt>
                <c:pt idx="605">
                  <c:v>109221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117157</c:v>
                </c:pt>
                <c:pt idx="614">
                  <c:v>102834</c:v>
                </c:pt>
                <c:pt idx="615">
                  <c:v>#N/A</c:v>
                </c:pt>
                <c:pt idx="616">
                  <c:v>#N/A</c:v>
                </c:pt>
                <c:pt idx="617">
                  <c:v>122987</c:v>
                </c:pt>
                <c:pt idx="618">
                  <c:v>#N/A</c:v>
                </c:pt>
                <c:pt idx="619">
                  <c:v>138064</c:v>
                </c:pt>
                <c:pt idx="620">
                  <c:v>#N/A</c:v>
                </c:pt>
                <c:pt idx="621">
                  <c:v>146312</c:v>
                </c:pt>
                <c:pt idx="622">
                  <c:v>123680</c:v>
                </c:pt>
                <c:pt idx="623">
                  <c:v>#N/A</c:v>
                </c:pt>
                <c:pt idx="624">
                  <c:v>109506</c:v>
                </c:pt>
                <c:pt idx="625">
                  <c:v>#N/A</c:v>
                </c:pt>
                <c:pt idx="626">
                  <c:v>#N/A</c:v>
                </c:pt>
                <c:pt idx="627">
                  <c:v>127086</c:v>
                </c:pt>
                <c:pt idx="628">
                  <c:v>133538</c:v>
                </c:pt>
                <c:pt idx="629">
                  <c:v>#N/A</c:v>
                </c:pt>
                <c:pt idx="630">
                  <c:v>109583</c:v>
                </c:pt>
                <c:pt idx="631">
                  <c:v>#N/A</c:v>
                </c:pt>
                <c:pt idx="632">
                  <c:v>#N/A</c:v>
                </c:pt>
                <c:pt idx="633">
                  <c:v>115366</c:v>
                </c:pt>
                <c:pt idx="634">
                  <c:v>#N/A</c:v>
                </c:pt>
                <c:pt idx="635">
                  <c:v>135713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142251</c:v>
                </c:pt>
                <c:pt idx="645">
                  <c:v>138199</c:v>
                </c:pt>
                <c:pt idx="646">
                  <c:v>126571</c:v>
                </c:pt>
                <c:pt idx="647">
                  <c:v>120083</c:v>
                </c:pt>
                <c:pt idx="648">
                  <c:v>#N/A</c:v>
                </c:pt>
                <c:pt idx="649">
                  <c:v>142641</c:v>
                </c:pt>
                <c:pt idx="650">
                  <c:v>137280</c:v>
                </c:pt>
                <c:pt idx="651">
                  <c:v>100338</c:v>
                </c:pt>
                <c:pt idx="652">
                  <c:v>108533</c:v>
                </c:pt>
                <c:pt idx="653">
                  <c:v>134923</c:v>
                </c:pt>
                <c:pt idx="654">
                  <c:v>106635</c:v>
                </c:pt>
                <c:pt idx="655">
                  <c:v>#N/A</c:v>
                </c:pt>
                <c:pt idx="656">
                  <c:v>147903</c:v>
                </c:pt>
                <c:pt idx="657">
                  <c:v>#N/A</c:v>
                </c:pt>
                <c:pt idx="658">
                  <c:v>#N/A</c:v>
                </c:pt>
                <c:pt idx="659">
                  <c:v>143678</c:v>
                </c:pt>
                <c:pt idx="660">
                  <c:v>122371</c:v>
                </c:pt>
                <c:pt idx="661">
                  <c:v>#N/A</c:v>
                </c:pt>
                <c:pt idx="662">
                  <c:v>#N/A</c:v>
                </c:pt>
                <c:pt idx="663">
                  <c:v>115974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129367</c:v>
                </c:pt>
                <c:pt idx="671">
                  <c:v>108344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149723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134487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102944</c:v>
                </c:pt>
                <c:pt idx="689">
                  <c:v>131101</c:v>
                </c:pt>
                <c:pt idx="690">
                  <c:v>#N/A</c:v>
                </c:pt>
                <c:pt idx="691">
                  <c:v>116124</c:v>
                </c:pt>
                <c:pt idx="692">
                  <c:v>#N/A</c:v>
                </c:pt>
                <c:pt idx="693">
                  <c:v>104517</c:v>
                </c:pt>
                <c:pt idx="694">
                  <c:v>#N/A</c:v>
                </c:pt>
                <c:pt idx="695">
                  <c:v>103766</c:v>
                </c:pt>
                <c:pt idx="696">
                  <c:v>111754</c:v>
                </c:pt>
                <c:pt idx="697">
                  <c:v>#N/A</c:v>
                </c:pt>
                <c:pt idx="698">
                  <c:v>104337</c:v>
                </c:pt>
                <c:pt idx="699">
                  <c:v>#N/A</c:v>
                </c:pt>
                <c:pt idx="700">
                  <c:v>124416</c:v>
                </c:pt>
                <c:pt idx="701">
                  <c:v>#N/A</c:v>
                </c:pt>
                <c:pt idx="702">
                  <c:v>108356</c:v>
                </c:pt>
                <c:pt idx="703">
                  <c:v>114972</c:v>
                </c:pt>
                <c:pt idx="704">
                  <c:v>136141</c:v>
                </c:pt>
                <c:pt idx="705">
                  <c:v>130474</c:v>
                </c:pt>
                <c:pt idx="706">
                  <c:v>110174</c:v>
                </c:pt>
                <c:pt idx="707">
                  <c:v>119075</c:v>
                </c:pt>
                <c:pt idx="708">
                  <c:v>#N/A</c:v>
                </c:pt>
                <c:pt idx="709">
                  <c:v>#N/A</c:v>
                </c:pt>
                <c:pt idx="710">
                  <c:v>105731</c:v>
                </c:pt>
                <c:pt idx="711">
                  <c:v>#N/A</c:v>
                </c:pt>
                <c:pt idx="712">
                  <c:v>104435</c:v>
                </c:pt>
                <c:pt idx="713">
                  <c:v>104781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145746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108833</c:v>
                </c:pt>
                <c:pt idx="729">
                  <c:v>129687</c:v>
                </c:pt>
                <c:pt idx="730">
                  <c:v>#N/A</c:v>
                </c:pt>
                <c:pt idx="731">
                  <c:v>123481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128481</c:v>
                </c:pt>
                <c:pt idx="739">
                  <c:v>#N/A</c:v>
                </c:pt>
                <c:pt idx="740">
                  <c:v>127950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135440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125479</c:v>
                </c:pt>
                <c:pt idx="752">
                  <c:v>#N/A</c:v>
                </c:pt>
                <c:pt idx="753">
                  <c:v>146519</c:v>
                </c:pt>
                <c:pt idx="754">
                  <c:v>112452</c:v>
                </c:pt>
                <c:pt idx="755">
                  <c:v>148542</c:v>
                </c:pt>
                <c:pt idx="756">
                  <c:v>115569</c:v>
                </c:pt>
                <c:pt idx="757">
                  <c:v>112072</c:v>
                </c:pt>
                <c:pt idx="758">
                  <c:v>#N/A</c:v>
                </c:pt>
                <c:pt idx="759">
                  <c:v>#N/A</c:v>
                </c:pt>
                <c:pt idx="760">
                  <c:v>102050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124599</c:v>
                </c:pt>
                <c:pt idx="767">
                  <c:v>121975</c:v>
                </c:pt>
                <c:pt idx="768">
                  <c:v>#N/A</c:v>
                </c:pt>
                <c:pt idx="769">
                  <c:v>106147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117737</c:v>
                </c:pt>
                <c:pt idx="775">
                  <c:v>#N/A</c:v>
                </c:pt>
                <c:pt idx="776">
                  <c:v>111261</c:v>
                </c:pt>
                <c:pt idx="777">
                  <c:v>#N/A</c:v>
                </c:pt>
                <c:pt idx="778">
                  <c:v>#N/A</c:v>
                </c:pt>
                <c:pt idx="779">
                  <c:v>110280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143338</c:v>
                </c:pt>
                <c:pt idx="784">
                  <c:v>#N/A</c:v>
                </c:pt>
                <c:pt idx="785">
                  <c:v>149744</c:v>
                </c:pt>
                <c:pt idx="786">
                  <c:v>137854</c:v>
                </c:pt>
                <c:pt idx="787">
                  <c:v>108766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146159</c:v>
                </c:pt>
                <c:pt idx="792">
                  <c:v>142450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123947</c:v>
                </c:pt>
                <c:pt idx="798">
                  <c:v>#N/A</c:v>
                </c:pt>
                <c:pt idx="799">
                  <c:v>115734</c:v>
                </c:pt>
                <c:pt idx="800">
                  <c:v>#N/A</c:v>
                </c:pt>
                <c:pt idx="801">
                  <c:v>#N/A</c:v>
                </c:pt>
                <c:pt idx="802">
                  <c:v>106629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133264</c:v>
                </c:pt>
                <c:pt idx="807">
                  <c:v>122557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140621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127346</c:v>
                </c:pt>
                <c:pt idx="824">
                  <c:v>#N/A</c:v>
                </c:pt>
                <c:pt idx="825">
                  <c:v>147187</c:v>
                </c:pt>
                <c:pt idx="826">
                  <c:v>#N/A</c:v>
                </c:pt>
                <c:pt idx="827">
                  <c:v>#N/A</c:v>
                </c:pt>
                <c:pt idx="828">
                  <c:v>130300</c:v>
                </c:pt>
                <c:pt idx="829">
                  <c:v>147024</c:v>
                </c:pt>
                <c:pt idx="830">
                  <c:v>#N/A</c:v>
                </c:pt>
                <c:pt idx="831">
                  <c:v>147572</c:v>
                </c:pt>
                <c:pt idx="832">
                  <c:v>125501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114587</c:v>
                </c:pt>
                <c:pt idx="841">
                  <c:v>148694</c:v>
                </c:pt>
                <c:pt idx="842">
                  <c:v>#N/A</c:v>
                </c:pt>
                <c:pt idx="843">
                  <c:v>130938</c:v>
                </c:pt>
                <c:pt idx="844">
                  <c:v>#N/A</c:v>
                </c:pt>
                <c:pt idx="845">
                  <c:v>#N/A</c:v>
                </c:pt>
                <c:pt idx="846">
                  <c:v>105658</c:v>
                </c:pt>
                <c:pt idx="847">
                  <c:v>100053</c:v>
                </c:pt>
                <c:pt idx="848">
                  <c:v>#N/A</c:v>
                </c:pt>
                <c:pt idx="849">
                  <c:v>100832</c:v>
                </c:pt>
                <c:pt idx="850">
                  <c:v>#N/A</c:v>
                </c:pt>
                <c:pt idx="851">
                  <c:v>#N/A</c:v>
                </c:pt>
                <c:pt idx="852">
                  <c:v>137836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103063</c:v>
                </c:pt>
                <c:pt idx="857">
                  <c:v>#N/A</c:v>
                </c:pt>
                <c:pt idx="858">
                  <c:v>149256</c:v>
                </c:pt>
                <c:pt idx="859">
                  <c:v>#N/A</c:v>
                </c:pt>
                <c:pt idx="860">
                  <c:v>144275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122669</c:v>
                </c:pt>
                <c:pt idx="865">
                  <c:v>114408</c:v>
                </c:pt>
                <c:pt idx="866">
                  <c:v>113174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136320</c:v>
                </c:pt>
                <c:pt idx="871">
                  <c:v>119083</c:v>
                </c:pt>
                <c:pt idx="872">
                  <c:v>#N/A</c:v>
                </c:pt>
                <c:pt idx="873">
                  <c:v>111050</c:v>
                </c:pt>
                <c:pt idx="874">
                  <c:v>#N/A</c:v>
                </c:pt>
                <c:pt idx="875">
                  <c:v>#N/A</c:v>
                </c:pt>
                <c:pt idx="876">
                  <c:v>121358</c:v>
                </c:pt>
                <c:pt idx="877">
                  <c:v>#N/A</c:v>
                </c:pt>
                <c:pt idx="878">
                  <c:v>#N/A</c:v>
                </c:pt>
                <c:pt idx="879">
                  <c:v>140081</c:v>
                </c:pt>
                <c:pt idx="880">
                  <c:v>117203</c:v>
                </c:pt>
                <c:pt idx="881">
                  <c:v>#N/A</c:v>
                </c:pt>
                <c:pt idx="882">
                  <c:v>113695</c:v>
                </c:pt>
                <c:pt idx="883">
                  <c:v>#N/A</c:v>
                </c:pt>
                <c:pt idx="884">
                  <c:v>126573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112198</c:v>
                </c:pt>
                <c:pt idx="893">
                  <c:v>139387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142407</c:v>
                </c:pt>
                <c:pt idx="899">
                  <c:v>#N/A</c:v>
                </c:pt>
                <c:pt idx="900">
                  <c:v>131607</c:v>
                </c:pt>
                <c:pt idx="901">
                  <c:v>100290</c:v>
                </c:pt>
                <c:pt idx="902">
                  <c:v>120561</c:v>
                </c:pt>
                <c:pt idx="903">
                  <c:v>#N/A</c:v>
                </c:pt>
                <c:pt idx="904">
                  <c:v>#N/A</c:v>
                </c:pt>
                <c:pt idx="905">
                  <c:v>117782</c:v>
                </c:pt>
                <c:pt idx="906">
                  <c:v>#N/A</c:v>
                </c:pt>
                <c:pt idx="907">
                  <c:v>#N/A</c:v>
                </c:pt>
                <c:pt idx="908">
                  <c:v>113240</c:v>
                </c:pt>
                <c:pt idx="909">
                  <c:v>#N/A</c:v>
                </c:pt>
                <c:pt idx="910">
                  <c:v>#N/A</c:v>
                </c:pt>
                <c:pt idx="911">
                  <c:v>121498</c:v>
                </c:pt>
                <c:pt idx="912">
                  <c:v>#N/A</c:v>
                </c:pt>
                <c:pt idx="913">
                  <c:v>146546</c:v>
                </c:pt>
                <c:pt idx="914">
                  <c:v>#N/A</c:v>
                </c:pt>
                <c:pt idx="915">
                  <c:v>#N/A</c:v>
                </c:pt>
                <c:pt idx="916">
                  <c:v>134743</c:v>
                </c:pt>
                <c:pt idx="917">
                  <c:v>#N/A</c:v>
                </c:pt>
                <c:pt idx="918">
                  <c:v>118116</c:v>
                </c:pt>
                <c:pt idx="919">
                  <c:v>104033</c:v>
                </c:pt>
                <c:pt idx="920">
                  <c:v>#N/A</c:v>
                </c:pt>
                <c:pt idx="921">
                  <c:v>121652</c:v>
                </c:pt>
                <c:pt idx="922">
                  <c:v>#N/A</c:v>
                </c:pt>
                <c:pt idx="923">
                  <c:v>#N/A</c:v>
                </c:pt>
                <c:pt idx="924">
                  <c:v>111697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104036</c:v>
                </c:pt>
                <c:pt idx="931">
                  <c:v>101759</c:v>
                </c:pt>
                <c:pt idx="932">
                  <c:v>127542</c:v>
                </c:pt>
                <c:pt idx="933">
                  <c:v>#N/A</c:v>
                </c:pt>
                <c:pt idx="934">
                  <c:v>147962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133291</c:v>
                </c:pt>
                <c:pt idx="940">
                  <c:v>118402</c:v>
                </c:pt>
                <c:pt idx="941">
                  <c:v>130546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105647</c:v>
                </c:pt>
                <c:pt idx="946">
                  <c:v>138529</c:v>
                </c:pt>
                <c:pt idx="947">
                  <c:v>#N/A</c:v>
                </c:pt>
                <c:pt idx="948">
                  <c:v>#N/A</c:v>
                </c:pt>
                <c:pt idx="949">
                  <c:v>113254</c:v>
                </c:pt>
                <c:pt idx="950">
                  <c:v>120616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117704</c:v>
                </c:pt>
                <c:pt idx="955">
                  <c:v>144577</c:v>
                </c:pt>
                <c:pt idx="956">
                  <c:v>#N/A</c:v>
                </c:pt>
                <c:pt idx="957">
                  <c:v>126893</c:v>
                </c:pt>
                <c:pt idx="958">
                  <c:v>123168</c:v>
                </c:pt>
                <c:pt idx="959">
                  <c:v>#N/A</c:v>
                </c:pt>
                <c:pt idx="960">
                  <c:v>148501</c:v>
                </c:pt>
                <c:pt idx="961">
                  <c:v>#N/A</c:v>
                </c:pt>
                <c:pt idx="962">
                  <c:v>116106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135394</c:v>
                </c:pt>
                <c:pt idx="970">
                  <c:v>#N/A</c:v>
                </c:pt>
                <c:pt idx="971">
                  <c:v>#N/A</c:v>
                </c:pt>
                <c:pt idx="972">
                  <c:v>112770</c:v>
                </c:pt>
                <c:pt idx="973">
                  <c:v>141586</c:v>
                </c:pt>
                <c:pt idx="974">
                  <c:v>114281</c:v>
                </c:pt>
                <c:pt idx="975">
                  <c:v>#N/A</c:v>
                </c:pt>
                <c:pt idx="976">
                  <c:v>102972</c:v>
                </c:pt>
                <c:pt idx="977">
                  <c:v>128439</c:v>
                </c:pt>
                <c:pt idx="978">
                  <c:v>118123</c:v>
                </c:pt>
                <c:pt idx="979">
                  <c:v>#N/A</c:v>
                </c:pt>
                <c:pt idx="980">
                  <c:v>119226</c:v>
                </c:pt>
                <c:pt idx="981">
                  <c:v>108563</c:v>
                </c:pt>
                <c:pt idx="982">
                  <c:v>130875</c:v>
                </c:pt>
                <c:pt idx="983">
                  <c:v>116123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126398</c:v>
                </c:pt>
                <c:pt idx="992">
                  <c:v>127546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135047</c:v>
                </c:pt>
              </c:numCache>
            </c:numRef>
          </c:xVal>
          <c:yVal>
            <c:numRef>
              <c:f>'Income_vs_spending score'!$P$2:$P$1001</c:f>
              <c:numCache>
                <c:formatCode>General</c:formatCode>
                <c:ptCount val="1000"/>
                <c:pt idx="0">
                  <c:v>17</c:v>
                </c:pt>
                <c:pt idx="1">
                  <c:v>#N/A</c:v>
                </c:pt>
                <c:pt idx="2">
                  <c:v>#N/A</c:v>
                </c:pt>
                <c:pt idx="3">
                  <c:v>14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69</c:v>
                </c:pt>
                <c:pt idx="8">
                  <c:v>#N/A</c:v>
                </c:pt>
                <c:pt idx="9">
                  <c:v>#N/A</c:v>
                </c:pt>
                <c:pt idx="10">
                  <c:v>89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13</c:v>
                </c:pt>
                <c:pt idx="15">
                  <c:v>30</c:v>
                </c:pt>
                <c:pt idx="16">
                  <c:v>5</c:v>
                </c:pt>
                <c:pt idx="17">
                  <c:v>53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69</c:v>
                </c:pt>
                <c:pt idx="22">
                  <c:v>15</c:v>
                </c:pt>
                <c:pt idx="23">
                  <c:v>#N/A</c:v>
                </c:pt>
                <c:pt idx="24">
                  <c:v>42</c:v>
                </c:pt>
                <c:pt idx="25">
                  <c:v>32</c:v>
                </c:pt>
                <c:pt idx="26">
                  <c:v>100</c:v>
                </c:pt>
                <c:pt idx="27">
                  <c:v>1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31</c:v>
                </c:pt>
                <c:pt idx="33">
                  <c:v>100</c:v>
                </c:pt>
                <c:pt idx="34">
                  <c:v>#N/A</c:v>
                </c:pt>
                <c:pt idx="35">
                  <c:v>38</c:v>
                </c:pt>
                <c:pt idx="36">
                  <c:v>#N/A</c:v>
                </c:pt>
                <c:pt idx="37">
                  <c:v>17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57</c:v>
                </c:pt>
                <c:pt idx="42">
                  <c:v>#N/A</c:v>
                </c:pt>
                <c:pt idx="43">
                  <c:v>#N/A</c:v>
                </c:pt>
                <c:pt idx="44">
                  <c:v>88</c:v>
                </c:pt>
                <c:pt idx="45">
                  <c:v>#N/A</c:v>
                </c:pt>
                <c:pt idx="46">
                  <c:v>#N/A</c:v>
                </c:pt>
                <c:pt idx="47">
                  <c:v>35</c:v>
                </c:pt>
                <c:pt idx="48">
                  <c:v>26</c:v>
                </c:pt>
                <c:pt idx="49">
                  <c:v>#N/A</c:v>
                </c:pt>
                <c:pt idx="50">
                  <c:v>#N/A</c:v>
                </c:pt>
                <c:pt idx="51">
                  <c:v>64</c:v>
                </c:pt>
                <c:pt idx="52">
                  <c:v>#N/A</c:v>
                </c:pt>
                <c:pt idx="53">
                  <c:v>37</c:v>
                </c:pt>
                <c:pt idx="54">
                  <c:v>99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1</c:v>
                </c:pt>
                <c:pt idx="60">
                  <c:v>12</c:v>
                </c:pt>
                <c:pt idx="61">
                  <c:v>#N/A</c:v>
                </c:pt>
                <c:pt idx="62">
                  <c:v>10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32</c:v>
                </c:pt>
                <c:pt idx="67">
                  <c:v>33</c:v>
                </c:pt>
                <c:pt idx="68">
                  <c:v>17</c:v>
                </c:pt>
                <c:pt idx="69">
                  <c:v>62</c:v>
                </c:pt>
                <c:pt idx="70">
                  <c:v>3</c:v>
                </c:pt>
                <c:pt idx="71">
                  <c:v>73</c:v>
                </c:pt>
                <c:pt idx="72">
                  <c:v>#N/A</c:v>
                </c:pt>
                <c:pt idx="73">
                  <c:v>17</c:v>
                </c:pt>
                <c:pt idx="74">
                  <c:v>#N/A</c:v>
                </c:pt>
                <c:pt idx="75">
                  <c:v>32</c:v>
                </c:pt>
                <c:pt idx="76">
                  <c:v>#N/A</c:v>
                </c:pt>
                <c:pt idx="77">
                  <c:v>30</c:v>
                </c:pt>
                <c:pt idx="78">
                  <c:v>#N/A</c:v>
                </c:pt>
                <c:pt idx="79">
                  <c:v>78</c:v>
                </c:pt>
                <c:pt idx="80">
                  <c:v>40</c:v>
                </c:pt>
                <c:pt idx="81">
                  <c:v>#N/A</c:v>
                </c:pt>
                <c:pt idx="82">
                  <c:v>88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44</c:v>
                </c:pt>
                <c:pt idx="87">
                  <c:v>#N/A</c:v>
                </c:pt>
                <c:pt idx="88">
                  <c:v>#N/A</c:v>
                </c:pt>
                <c:pt idx="89">
                  <c:v>36</c:v>
                </c:pt>
                <c:pt idx="90">
                  <c:v>32</c:v>
                </c:pt>
                <c:pt idx="91">
                  <c:v>62</c:v>
                </c:pt>
                <c:pt idx="92">
                  <c:v>80</c:v>
                </c:pt>
                <c:pt idx="93">
                  <c:v>78</c:v>
                </c:pt>
                <c:pt idx="94">
                  <c:v>#N/A</c:v>
                </c:pt>
                <c:pt idx="95">
                  <c:v>90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27</c:v>
                </c:pt>
                <c:pt idx="101">
                  <c:v>#N/A</c:v>
                </c:pt>
                <c:pt idx="102">
                  <c:v>#N/A</c:v>
                </c:pt>
                <c:pt idx="103">
                  <c:v>45</c:v>
                </c:pt>
                <c:pt idx="104">
                  <c:v>18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95</c:v>
                </c:pt>
                <c:pt idx="119">
                  <c:v>#N/A</c:v>
                </c:pt>
                <c:pt idx="120">
                  <c:v>50</c:v>
                </c:pt>
                <c:pt idx="121">
                  <c:v>21</c:v>
                </c:pt>
                <c:pt idx="122">
                  <c:v>64</c:v>
                </c:pt>
                <c:pt idx="123">
                  <c:v>98</c:v>
                </c:pt>
                <c:pt idx="124">
                  <c:v>40</c:v>
                </c:pt>
                <c:pt idx="125">
                  <c:v>78</c:v>
                </c:pt>
                <c:pt idx="126">
                  <c:v>#N/A</c:v>
                </c:pt>
                <c:pt idx="127">
                  <c:v>27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27</c:v>
                </c:pt>
                <c:pt idx="133">
                  <c:v>#N/A</c:v>
                </c:pt>
                <c:pt idx="134">
                  <c:v>#N/A</c:v>
                </c:pt>
                <c:pt idx="135">
                  <c:v>32</c:v>
                </c:pt>
                <c:pt idx="136">
                  <c:v>58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32</c:v>
                </c:pt>
                <c:pt idx="146">
                  <c:v>100</c:v>
                </c:pt>
                <c:pt idx="147">
                  <c:v>#N/A</c:v>
                </c:pt>
                <c:pt idx="148">
                  <c:v>72</c:v>
                </c:pt>
                <c:pt idx="149">
                  <c:v>#N/A</c:v>
                </c:pt>
                <c:pt idx="150">
                  <c:v>84</c:v>
                </c:pt>
                <c:pt idx="151">
                  <c:v>20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33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25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19</c:v>
                </c:pt>
                <c:pt idx="169">
                  <c:v>#N/A</c:v>
                </c:pt>
                <c:pt idx="170">
                  <c:v>#N/A</c:v>
                </c:pt>
                <c:pt idx="171">
                  <c:v>40</c:v>
                </c:pt>
                <c:pt idx="172">
                  <c:v>#N/A</c:v>
                </c:pt>
                <c:pt idx="173">
                  <c:v>#N/A</c:v>
                </c:pt>
                <c:pt idx="174">
                  <c:v>45</c:v>
                </c:pt>
                <c:pt idx="175">
                  <c:v>38</c:v>
                </c:pt>
                <c:pt idx="176">
                  <c:v>#N/A</c:v>
                </c:pt>
                <c:pt idx="177">
                  <c:v>4</c:v>
                </c:pt>
                <c:pt idx="178">
                  <c:v>#N/A</c:v>
                </c:pt>
                <c:pt idx="179">
                  <c:v>#N/A</c:v>
                </c:pt>
                <c:pt idx="180">
                  <c:v>19</c:v>
                </c:pt>
                <c:pt idx="181">
                  <c:v>17</c:v>
                </c:pt>
                <c:pt idx="182">
                  <c:v>#N/A</c:v>
                </c:pt>
                <c:pt idx="183">
                  <c:v>24</c:v>
                </c:pt>
                <c:pt idx="184">
                  <c:v>45</c:v>
                </c:pt>
                <c:pt idx="185">
                  <c:v>48</c:v>
                </c:pt>
                <c:pt idx="186">
                  <c:v>79</c:v>
                </c:pt>
                <c:pt idx="187">
                  <c:v>91</c:v>
                </c:pt>
                <c:pt idx="188">
                  <c:v>7</c:v>
                </c:pt>
                <c:pt idx="189">
                  <c:v>49</c:v>
                </c:pt>
                <c:pt idx="190">
                  <c:v>#N/A</c:v>
                </c:pt>
                <c:pt idx="191">
                  <c:v>39</c:v>
                </c:pt>
                <c:pt idx="192">
                  <c:v>63</c:v>
                </c:pt>
                <c:pt idx="193">
                  <c:v>#N/A</c:v>
                </c:pt>
                <c:pt idx="194">
                  <c:v>44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4</c:v>
                </c:pt>
                <c:pt idx="201">
                  <c:v>76</c:v>
                </c:pt>
                <c:pt idx="202">
                  <c:v>83</c:v>
                </c:pt>
                <c:pt idx="203">
                  <c:v>96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54</c:v>
                </c:pt>
                <c:pt idx="208">
                  <c:v>#N/A</c:v>
                </c:pt>
                <c:pt idx="209">
                  <c:v>81</c:v>
                </c:pt>
                <c:pt idx="210">
                  <c:v>#N/A</c:v>
                </c:pt>
                <c:pt idx="211">
                  <c:v>42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34</c:v>
                </c:pt>
                <c:pt idx="223">
                  <c:v>77</c:v>
                </c:pt>
                <c:pt idx="224">
                  <c:v>73</c:v>
                </c:pt>
                <c:pt idx="225">
                  <c:v>#N/A</c:v>
                </c:pt>
                <c:pt idx="226">
                  <c:v>43</c:v>
                </c:pt>
                <c:pt idx="227">
                  <c:v>#N/A</c:v>
                </c:pt>
                <c:pt idx="228">
                  <c:v>#N/A</c:v>
                </c:pt>
                <c:pt idx="229">
                  <c:v>40</c:v>
                </c:pt>
                <c:pt idx="230">
                  <c:v>94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75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76</c:v>
                </c:pt>
                <c:pt idx="244">
                  <c:v>28</c:v>
                </c:pt>
                <c:pt idx="245">
                  <c:v>41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55</c:v>
                </c:pt>
                <c:pt idx="250">
                  <c:v>#N/A</c:v>
                </c:pt>
                <c:pt idx="251">
                  <c:v>#N/A</c:v>
                </c:pt>
                <c:pt idx="252">
                  <c:v>83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57</c:v>
                </c:pt>
                <c:pt idx="257">
                  <c:v>#N/A</c:v>
                </c:pt>
                <c:pt idx="258">
                  <c:v>#N/A</c:v>
                </c:pt>
                <c:pt idx="259">
                  <c:v>46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23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46</c:v>
                </c:pt>
                <c:pt idx="271">
                  <c:v>10</c:v>
                </c:pt>
                <c:pt idx="272">
                  <c:v>#N/A</c:v>
                </c:pt>
                <c:pt idx="273">
                  <c:v>8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34</c:v>
                </c:pt>
                <c:pt idx="278">
                  <c:v>66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96</c:v>
                </c:pt>
                <c:pt idx="285">
                  <c:v>72</c:v>
                </c:pt>
                <c:pt idx="286">
                  <c:v>#N/A</c:v>
                </c:pt>
                <c:pt idx="287">
                  <c:v>43</c:v>
                </c:pt>
                <c:pt idx="288">
                  <c:v>41</c:v>
                </c:pt>
                <c:pt idx="289">
                  <c:v>47</c:v>
                </c:pt>
                <c:pt idx="290">
                  <c:v>70</c:v>
                </c:pt>
                <c:pt idx="291">
                  <c:v>#N/A</c:v>
                </c:pt>
                <c:pt idx="292">
                  <c:v>2</c:v>
                </c:pt>
                <c:pt idx="293">
                  <c:v>23</c:v>
                </c:pt>
                <c:pt idx="294">
                  <c:v>#N/A</c:v>
                </c:pt>
                <c:pt idx="295">
                  <c:v>53</c:v>
                </c:pt>
                <c:pt idx="296">
                  <c:v>80</c:v>
                </c:pt>
                <c:pt idx="297">
                  <c:v>#N/A</c:v>
                </c:pt>
                <c:pt idx="298">
                  <c:v>34</c:v>
                </c:pt>
                <c:pt idx="299">
                  <c:v>71</c:v>
                </c:pt>
                <c:pt idx="300">
                  <c:v>78</c:v>
                </c:pt>
                <c:pt idx="301">
                  <c:v>17</c:v>
                </c:pt>
                <c:pt idx="302">
                  <c:v>29</c:v>
                </c:pt>
                <c:pt idx="303">
                  <c:v>70</c:v>
                </c:pt>
                <c:pt idx="304">
                  <c:v>43</c:v>
                </c:pt>
                <c:pt idx="305">
                  <c:v>46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29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77</c:v>
                </c:pt>
                <c:pt idx="314">
                  <c:v>#N/A</c:v>
                </c:pt>
                <c:pt idx="315">
                  <c:v>#N/A</c:v>
                </c:pt>
                <c:pt idx="316">
                  <c:v>66</c:v>
                </c:pt>
                <c:pt idx="317">
                  <c:v>69</c:v>
                </c:pt>
                <c:pt idx="318">
                  <c:v>#N/A</c:v>
                </c:pt>
                <c:pt idx="319">
                  <c:v>#N/A</c:v>
                </c:pt>
                <c:pt idx="320">
                  <c:v>27</c:v>
                </c:pt>
                <c:pt idx="321">
                  <c:v>66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73</c:v>
                </c:pt>
                <c:pt idx="327">
                  <c:v>64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56</c:v>
                </c:pt>
                <c:pt idx="332">
                  <c:v>23</c:v>
                </c:pt>
                <c:pt idx="333">
                  <c:v>79</c:v>
                </c:pt>
                <c:pt idx="334">
                  <c:v>#N/A</c:v>
                </c:pt>
                <c:pt idx="335">
                  <c:v>#N/A</c:v>
                </c:pt>
                <c:pt idx="336">
                  <c:v>78</c:v>
                </c:pt>
                <c:pt idx="337">
                  <c:v>#N/A</c:v>
                </c:pt>
                <c:pt idx="338">
                  <c:v>#N/A</c:v>
                </c:pt>
                <c:pt idx="339">
                  <c:v>76</c:v>
                </c:pt>
                <c:pt idx="340">
                  <c:v>74</c:v>
                </c:pt>
                <c:pt idx="341">
                  <c:v>#N/A</c:v>
                </c:pt>
                <c:pt idx="342">
                  <c:v>27</c:v>
                </c:pt>
                <c:pt idx="343">
                  <c:v>#N/A</c:v>
                </c:pt>
                <c:pt idx="344">
                  <c:v>98</c:v>
                </c:pt>
                <c:pt idx="345">
                  <c:v>64</c:v>
                </c:pt>
                <c:pt idx="346">
                  <c:v>56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51</c:v>
                </c:pt>
                <c:pt idx="351">
                  <c:v>43</c:v>
                </c:pt>
                <c:pt idx="352">
                  <c:v>#N/A</c:v>
                </c:pt>
                <c:pt idx="353">
                  <c:v>#N/A</c:v>
                </c:pt>
                <c:pt idx="354">
                  <c:v>79</c:v>
                </c:pt>
                <c:pt idx="355">
                  <c:v>#N/A</c:v>
                </c:pt>
                <c:pt idx="356">
                  <c:v>57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60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73</c:v>
                </c:pt>
                <c:pt idx="369">
                  <c:v>#N/A</c:v>
                </c:pt>
                <c:pt idx="370">
                  <c:v>#N/A</c:v>
                </c:pt>
                <c:pt idx="371">
                  <c:v>56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8</c:v>
                </c:pt>
                <c:pt idx="376">
                  <c:v>#N/A</c:v>
                </c:pt>
                <c:pt idx="377">
                  <c:v>#N/A</c:v>
                </c:pt>
                <c:pt idx="378">
                  <c:v>67</c:v>
                </c:pt>
                <c:pt idx="379">
                  <c:v>7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73</c:v>
                </c:pt>
                <c:pt idx="384">
                  <c:v>#N/A</c:v>
                </c:pt>
                <c:pt idx="385">
                  <c:v>#N/A</c:v>
                </c:pt>
                <c:pt idx="386">
                  <c:v>70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84</c:v>
                </c:pt>
                <c:pt idx="393">
                  <c:v>41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19</c:v>
                </c:pt>
                <c:pt idx="398">
                  <c:v>19</c:v>
                </c:pt>
                <c:pt idx="399">
                  <c:v>70</c:v>
                </c:pt>
                <c:pt idx="400">
                  <c:v>25</c:v>
                </c:pt>
                <c:pt idx="401">
                  <c:v>98</c:v>
                </c:pt>
                <c:pt idx="402">
                  <c:v>69</c:v>
                </c:pt>
                <c:pt idx="403">
                  <c:v>#N/A</c:v>
                </c:pt>
                <c:pt idx="404">
                  <c:v>#N/A</c:v>
                </c:pt>
                <c:pt idx="405">
                  <c:v>29</c:v>
                </c:pt>
                <c:pt idx="406">
                  <c:v>#N/A</c:v>
                </c:pt>
                <c:pt idx="407">
                  <c:v>68</c:v>
                </c:pt>
                <c:pt idx="408">
                  <c:v>88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38</c:v>
                </c:pt>
                <c:pt idx="414">
                  <c:v>39</c:v>
                </c:pt>
                <c:pt idx="415">
                  <c:v>81</c:v>
                </c:pt>
                <c:pt idx="416">
                  <c:v>#N/A</c:v>
                </c:pt>
                <c:pt idx="417">
                  <c:v>16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96</c:v>
                </c:pt>
                <c:pt idx="424">
                  <c:v>70</c:v>
                </c:pt>
                <c:pt idx="425">
                  <c:v>#N/A</c:v>
                </c:pt>
                <c:pt idx="426">
                  <c:v>16</c:v>
                </c:pt>
                <c:pt idx="427">
                  <c:v>100</c:v>
                </c:pt>
                <c:pt idx="428">
                  <c:v>#N/A</c:v>
                </c:pt>
                <c:pt idx="429">
                  <c:v>34</c:v>
                </c:pt>
                <c:pt idx="430">
                  <c:v>51</c:v>
                </c:pt>
                <c:pt idx="431">
                  <c:v>#N/A</c:v>
                </c:pt>
                <c:pt idx="432">
                  <c:v>84</c:v>
                </c:pt>
                <c:pt idx="433">
                  <c:v>#N/A</c:v>
                </c:pt>
                <c:pt idx="434">
                  <c:v>29</c:v>
                </c:pt>
                <c:pt idx="435">
                  <c:v>42</c:v>
                </c:pt>
                <c:pt idx="436">
                  <c:v>78</c:v>
                </c:pt>
                <c:pt idx="437">
                  <c:v>54</c:v>
                </c:pt>
                <c:pt idx="438">
                  <c:v>#N/A</c:v>
                </c:pt>
                <c:pt idx="439">
                  <c:v>11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74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65</c:v>
                </c:pt>
                <c:pt idx="448">
                  <c:v>#N/A</c:v>
                </c:pt>
                <c:pt idx="449">
                  <c:v>96</c:v>
                </c:pt>
                <c:pt idx="450">
                  <c:v>14</c:v>
                </c:pt>
                <c:pt idx="451">
                  <c:v>84</c:v>
                </c:pt>
                <c:pt idx="452">
                  <c:v>92</c:v>
                </c:pt>
                <c:pt idx="453">
                  <c:v>12</c:v>
                </c:pt>
                <c:pt idx="454">
                  <c:v>24</c:v>
                </c:pt>
                <c:pt idx="455">
                  <c:v>52</c:v>
                </c:pt>
                <c:pt idx="456">
                  <c:v>#N/A</c:v>
                </c:pt>
                <c:pt idx="457">
                  <c:v>67</c:v>
                </c:pt>
                <c:pt idx="458">
                  <c:v>9</c:v>
                </c:pt>
                <c:pt idx="459">
                  <c:v>#N/A</c:v>
                </c:pt>
                <c:pt idx="460">
                  <c:v>#N/A</c:v>
                </c:pt>
                <c:pt idx="461">
                  <c:v>37</c:v>
                </c:pt>
                <c:pt idx="462">
                  <c:v>92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10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38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98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39</c:v>
                </c:pt>
                <c:pt idx="490">
                  <c:v>#N/A</c:v>
                </c:pt>
                <c:pt idx="491">
                  <c:v>#N/A</c:v>
                </c:pt>
                <c:pt idx="492">
                  <c:v>10</c:v>
                </c:pt>
                <c:pt idx="493">
                  <c:v>#N/A</c:v>
                </c:pt>
                <c:pt idx="494">
                  <c:v>29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2</c:v>
                </c:pt>
                <c:pt idx="504">
                  <c:v>71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28</c:v>
                </c:pt>
                <c:pt idx="510">
                  <c:v>31</c:v>
                </c:pt>
                <c:pt idx="511">
                  <c:v>#N/A</c:v>
                </c:pt>
                <c:pt idx="512">
                  <c:v>75</c:v>
                </c:pt>
                <c:pt idx="513">
                  <c:v>67</c:v>
                </c:pt>
                <c:pt idx="514">
                  <c:v>3</c:v>
                </c:pt>
                <c:pt idx="515">
                  <c:v>#N/A</c:v>
                </c:pt>
                <c:pt idx="516">
                  <c:v>26</c:v>
                </c:pt>
                <c:pt idx="517">
                  <c:v>#N/A</c:v>
                </c:pt>
                <c:pt idx="518">
                  <c:v>6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19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8</c:v>
                </c:pt>
                <c:pt idx="529">
                  <c:v>2</c:v>
                </c:pt>
                <c:pt idx="530">
                  <c:v>#N/A</c:v>
                </c:pt>
                <c:pt idx="531">
                  <c:v>40</c:v>
                </c:pt>
                <c:pt idx="532">
                  <c:v>38</c:v>
                </c:pt>
                <c:pt idx="533">
                  <c:v>#N/A</c:v>
                </c:pt>
                <c:pt idx="534">
                  <c:v>92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45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75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96</c:v>
                </c:pt>
                <c:pt idx="556">
                  <c:v>#N/A</c:v>
                </c:pt>
                <c:pt idx="557">
                  <c:v>23</c:v>
                </c:pt>
                <c:pt idx="558">
                  <c:v>#N/A</c:v>
                </c:pt>
                <c:pt idx="559">
                  <c:v>14</c:v>
                </c:pt>
                <c:pt idx="560">
                  <c:v>#N/A</c:v>
                </c:pt>
                <c:pt idx="561">
                  <c:v>#N/A</c:v>
                </c:pt>
                <c:pt idx="562">
                  <c:v>66</c:v>
                </c:pt>
                <c:pt idx="563">
                  <c:v>#N/A</c:v>
                </c:pt>
                <c:pt idx="564">
                  <c:v>#N/A</c:v>
                </c:pt>
                <c:pt idx="565">
                  <c:v>75</c:v>
                </c:pt>
                <c:pt idx="566">
                  <c:v>99</c:v>
                </c:pt>
                <c:pt idx="567">
                  <c:v>#N/A</c:v>
                </c:pt>
                <c:pt idx="568">
                  <c:v>87</c:v>
                </c:pt>
                <c:pt idx="569">
                  <c:v>#N/A</c:v>
                </c:pt>
                <c:pt idx="570">
                  <c:v>64</c:v>
                </c:pt>
                <c:pt idx="571">
                  <c:v>71</c:v>
                </c:pt>
                <c:pt idx="572">
                  <c:v>74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26</c:v>
                </c:pt>
                <c:pt idx="579">
                  <c:v>63</c:v>
                </c:pt>
                <c:pt idx="580">
                  <c:v>28</c:v>
                </c:pt>
                <c:pt idx="581">
                  <c:v>#N/A</c:v>
                </c:pt>
                <c:pt idx="582">
                  <c:v>#N/A</c:v>
                </c:pt>
                <c:pt idx="583">
                  <c:v>28</c:v>
                </c:pt>
                <c:pt idx="584">
                  <c:v>#N/A</c:v>
                </c:pt>
                <c:pt idx="585">
                  <c:v>#N/A</c:v>
                </c:pt>
                <c:pt idx="586">
                  <c:v>38</c:v>
                </c:pt>
                <c:pt idx="587">
                  <c:v>#N/A</c:v>
                </c:pt>
                <c:pt idx="588">
                  <c:v>40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68</c:v>
                </c:pt>
                <c:pt idx="594">
                  <c:v>70</c:v>
                </c:pt>
                <c:pt idx="595">
                  <c:v>92</c:v>
                </c:pt>
                <c:pt idx="596">
                  <c:v>#N/A</c:v>
                </c:pt>
                <c:pt idx="597">
                  <c:v>#N/A</c:v>
                </c:pt>
                <c:pt idx="598">
                  <c:v>25</c:v>
                </c:pt>
                <c:pt idx="599">
                  <c:v>23</c:v>
                </c:pt>
                <c:pt idx="600">
                  <c:v>27</c:v>
                </c:pt>
                <c:pt idx="601">
                  <c:v>#N/A</c:v>
                </c:pt>
                <c:pt idx="602">
                  <c:v>#N/A</c:v>
                </c:pt>
                <c:pt idx="603">
                  <c:v>34</c:v>
                </c:pt>
                <c:pt idx="604">
                  <c:v>37</c:v>
                </c:pt>
                <c:pt idx="605">
                  <c:v>91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90</c:v>
                </c:pt>
                <c:pt idx="614">
                  <c:v>31</c:v>
                </c:pt>
                <c:pt idx="615">
                  <c:v>#N/A</c:v>
                </c:pt>
                <c:pt idx="616">
                  <c:v>#N/A</c:v>
                </c:pt>
                <c:pt idx="617">
                  <c:v>29</c:v>
                </c:pt>
                <c:pt idx="618">
                  <c:v>#N/A</c:v>
                </c:pt>
                <c:pt idx="619">
                  <c:v>86</c:v>
                </c:pt>
                <c:pt idx="620">
                  <c:v>#N/A</c:v>
                </c:pt>
                <c:pt idx="621">
                  <c:v>58</c:v>
                </c:pt>
                <c:pt idx="622">
                  <c:v>30</c:v>
                </c:pt>
                <c:pt idx="623">
                  <c:v>#N/A</c:v>
                </c:pt>
                <c:pt idx="624">
                  <c:v>48</c:v>
                </c:pt>
                <c:pt idx="625">
                  <c:v>#N/A</c:v>
                </c:pt>
                <c:pt idx="626">
                  <c:v>#N/A</c:v>
                </c:pt>
                <c:pt idx="627">
                  <c:v>93</c:v>
                </c:pt>
                <c:pt idx="628">
                  <c:v>27</c:v>
                </c:pt>
                <c:pt idx="629">
                  <c:v>#N/A</c:v>
                </c:pt>
                <c:pt idx="630">
                  <c:v>6</c:v>
                </c:pt>
                <c:pt idx="631">
                  <c:v>#N/A</c:v>
                </c:pt>
                <c:pt idx="632">
                  <c:v>#N/A</c:v>
                </c:pt>
                <c:pt idx="633">
                  <c:v>68</c:v>
                </c:pt>
                <c:pt idx="634">
                  <c:v>#N/A</c:v>
                </c:pt>
                <c:pt idx="635">
                  <c:v>79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90</c:v>
                </c:pt>
                <c:pt idx="645">
                  <c:v>79</c:v>
                </c:pt>
                <c:pt idx="646">
                  <c:v>82</c:v>
                </c:pt>
                <c:pt idx="647">
                  <c:v>47</c:v>
                </c:pt>
                <c:pt idx="648">
                  <c:v>#N/A</c:v>
                </c:pt>
                <c:pt idx="649">
                  <c:v>40</c:v>
                </c:pt>
                <c:pt idx="650">
                  <c:v>95</c:v>
                </c:pt>
                <c:pt idx="651">
                  <c:v>13</c:v>
                </c:pt>
                <c:pt idx="652">
                  <c:v>23</c:v>
                </c:pt>
                <c:pt idx="653">
                  <c:v>18</c:v>
                </c:pt>
                <c:pt idx="654">
                  <c:v>85</c:v>
                </c:pt>
                <c:pt idx="655">
                  <c:v>#N/A</c:v>
                </c:pt>
                <c:pt idx="656">
                  <c:v>79</c:v>
                </c:pt>
                <c:pt idx="657">
                  <c:v>#N/A</c:v>
                </c:pt>
                <c:pt idx="658">
                  <c:v>#N/A</c:v>
                </c:pt>
                <c:pt idx="659">
                  <c:v>50</c:v>
                </c:pt>
                <c:pt idx="660">
                  <c:v>11</c:v>
                </c:pt>
                <c:pt idx="661">
                  <c:v>#N/A</c:v>
                </c:pt>
                <c:pt idx="662">
                  <c:v>#N/A</c:v>
                </c:pt>
                <c:pt idx="663">
                  <c:v>95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4</c:v>
                </c:pt>
                <c:pt idx="671">
                  <c:v>87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70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7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63</c:v>
                </c:pt>
                <c:pt idx="689">
                  <c:v>68</c:v>
                </c:pt>
                <c:pt idx="690">
                  <c:v>#N/A</c:v>
                </c:pt>
                <c:pt idx="691">
                  <c:v>78</c:v>
                </c:pt>
                <c:pt idx="692">
                  <c:v>#N/A</c:v>
                </c:pt>
                <c:pt idx="693">
                  <c:v>91</c:v>
                </c:pt>
                <c:pt idx="694">
                  <c:v>#N/A</c:v>
                </c:pt>
                <c:pt idx="695">
                  <c:v>77</c:v>
                </c:pt>
                <c:pt idx="696">
                  <c:v>96</c:v>
                </c:pt>
                <c:pt idx="697">
                  <c:v>#N/A</c:v>
                </c:pt>
                <c:pt idx="698">
                  <c:v>91</c:v>
                </c:pt>
                <c:pt idx="699">
                  <c:v>#N/A</c:v>
                </c:pt>
                <c:pt idx="700">
                  <c:v>24</c:v>
                </c:pt>
                <c:pt idx="701">
                  <c:v>#N/A</c:v>
                </c:pt>
                <c:pt idx="702">
                  <c:v>84</c:v>
                </c:pt>
                <c:pt idx="703">
                  <c:v>42</c:v>
                </c:pt>
                <c:pt idx="704">
                  <c:v>58</c:v>
                </c:pt>
                <c:pt idx="705">
                  <c:v>74</c:v>
                </c:pt>
                <c:pt idx="706">
                  <c:v>87</c:v>
                </c:pt>
                <c:pt idx="707">
                  <c:v>40</c:v>
                </c:pt>
                <c:pt idx="708">
                  <c:v>#N/A</c:v>
                </c:pt>
                <c:pt idx="709">
                  <c:v>#N/A</c:v>
                </c:pt>
                <c:pt idx="710">
                  <c:v>9</c:v>
                </c:pt>
                <c:pt idx="711">
                  <c:v>#N/A</c:v>
                </c:pt>
                <c:pt idx="712">
                  <c:v>42</c:v>
                </c:pt>
                <c:pt idx="713">
                  <c:v>64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76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77</c:v>
                </c:pt>
                <c:pt idx="729">
                  <c:v>78</c:v>
                </c:pt>
                <c:pt idx="730">
                  <c:v>#N/A</c:v>
                </c:pt>
                <c:pt idx="731">
                  <c:v>26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86</c:v>
                </c:pt>
                <c:pt idx="739">
                  <c:v>#N/A</c:v>
                </c:pt>
                <c:pt idx="740">
                  <c:v>27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46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57</c:v>
                </c:pt>
                <c:pt idx="752">
                  <c:v>#N/A</c:v>
                </c:pt>
                <c:pt idx="753">
                  <c:v>96</c:v>
                </c:pt>
                <c:pt idx="754">
                  <c:v>21</c:v>
                </c:pt>
                <c:pt idx="755">
                  <c:v>60</c:v>
                </c:pt>
                <c:pt idx="756">
                  <c:v>1</c:v>
                </c:pt>
                <c:pt idx="757">
                  <c:v>50</c:v>
                </c:pt>
                <c:pt idx="758">
                  <c:v>#N/A</c:v>
                </c:pt>
                <c:pt idx="759">
                  <c:v>#N/A</c:v>
                </c:pt>
                <c:pt idx="760">
                  <c:v>57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41</c:v>
                </c:pt>
                <c:pt idx="767">
                  <c:v>33</c:v>
                </c:pt>
                <c:pt idx="768">
                  <c:v>#N/A</c:v>
                </c:pt>
                <c:pt idx="769">
                  <c:v>2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6</c:v>
                </c:pt>
                <c:pt idx="775">
                  <c:v>#N/A</c:v>
                </c:pt>
                <c:pt idx="776">
                  <c:v>56</c:v>
                </c:pt>
                <c:pt idx="777">
                  <c:v>#N/A</c:v>
                </c:pt>
                <c:pt idx="778">
                  <c:v>#N/A</c:v>
                </c:pt>
                <c:pt idx="779">
                  <c:v>85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6</c:v>
                </c:pt>
                <c:pt idx="784">
                  <c:v>#N/A</c:v>
                </c:pt>
                <c:pt idx="785">
                  <c:v>99</c:v>
                </c:pt>
                <c:pt idx="786">
                  <c:v>33</c:v>
                </c:pt>
                <c:pt idx="787">
                  <c:v>37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99</c:v>
                </c:pt>
                <c:pt idx="792">
                  <c:v>80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25</c:v>
                </c:pt>
                <c:pt idx="798">
                  <c:v>#N/A</c:v>
                </c:pt>
                <c:pt idx="799">
                  <c:v>87</c:v>
                </c:pt>
                <c:pt idx="800">
                  <c:v>#N/A</c:v>
                </c:pt>
                <c:pt idx="801">
                  <c:v>#N/A</c:v>
                </c:pt>
                <c:pt idx="802">
                  <c:v>4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93</c:v>
                </c:pt>
                <c:pt idx="807">
                  <c:v>87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21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75</c:v>
                </c:pt>
                <c:pt idx="824">
                  <c:v>#N/A</c:v>
                </c:pt>
                <c:pt idx="825">
                  <c:v>37</c:v>
                </c:pt>
                <c:pt idx="826">
                  <c:v>#N/A</c:v>
                </c:pt>
                <c:pt idx="827">
                  <c:v>#N/A</c:v>
                </c:pt>
                <c:pt idx="828">
                  <c:v>75</c:v>
                </c:pt>
                <c:pt idx="829">
                  <c:v>24</c:v>
                </c:pt>
                <c:pt idx="830">
                  <c:v>#N/A</c:v>
                </c:pt>
                <c:pt idx="831">
                  <c:v>44</c:v>
                </c:pt>
                <c:pt idx="832">
                  <c:v>74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14</c:v>
                </c:pt>
                <c:pt idx="841">
                  <c:v>44</c:v>
                </c:pt>
                <c:pt idx="842">
                  <c:v>#N/A</c:v>
                </c:pt>
                <c:pt idx="843">
                  <c:v>98</c:v>
                </c:pt>
                <c:pt idx="844">
                  <c:v>#N/A</c:v>
                </c:pt>
                <c:pt idx="845">
                  <c:v>#N/A</c:v>
                </c:pt>
                <c:pt idx="846">
                  <c:v>49</c:v>
                </c:pt>
                <c:pt idx="847">
                  <c:v>6</c:v>
                </c:pt>
                <c:pt idx="848">
                  <c:v>#N/A</c:v>
                </c:pt>
                <c:pt idx="849">
                  <c:v>90</c:v>
                </c:pt>
                <c:pt idx="850">
                  <c:v>#N/A</c:v>
                </c:pt>
                <c:pt idx="851">
                  <c:v>#N/A</c:v>
                </c:pt>
                <c:pt idx="852">
                  <c:v>19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16</c:v>
                </c:pt>
                <c:pt idx="857">
                  <c:v>#N/A</c:v>
                </c:pt>
                <c:pt idx="858">
                  <c:v>96</c:v>
                </c:pt>
                <c:pt idx="859">
                  <c:v>#N/A</c:v>
                </c:pt>
                <c:pt idx="860">
                  <c:v>69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15</c:v>
                </c:pt>
                <c:pt idx="865">
                  <c:v>38</c:v>
                </c:pt>
                <c:pt idx="866">
                  <c:v>36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52</c:v>
                </c:pt>
                <c:pt idx="871">
                  <c:v>18</c:v>
                </c:pt>
                <c:pt idx="872">
                  <c:v>#N/A</c:v>
                </c:pt>
                <c:pt idx="873">
                  <c:v>61</c:v>
                </c:pt>
                <c:pt idx="874">
                  <c:v>#N/A</c:v>
                </c:pt>
                <c:pt idx="875">
                  <c:v>#N/A</c:v>
                </c:pt>
                <c:pt idx="876">
                  <c:v>16</c:v>
                </c:pt>
                <c:pt idx="877">
                  <c:v>#N/A</c:v>
                </c:pt>
                <c:pt idx="878">
                  <c:v>#N/A</c:v>
                </c:pt>
                <c:pt idx="879">
                  <c:v>100</c:v>
                </c:pt>
                <c:pt idx="880">
                  <c:v>76</c:v>
                </c:pt>
                <c:pt idx="881">
                  <c:v>#N/A</c:v>
                </c:pt>
                <c:pt idx="882">
                  <c:v>63</c:v>
                </c:pt>
                <c:pt idx="883">
                  <c:v>#N/A</c:v>
                </c:pt>
                <c:pt idx="884">
                  <c:v>30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48</c:v>
                </c:pt>
                <c:pt idx="893">
                  <c:v>1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4</c:v>
                </c:pt>
                <c:pt idx="899">
                  <c:v>#N/A</c:v>
                </c:pt>
                <c:pt idx="900">
                  <c:v>25</c:v>
                </c:pt>
                <c:pt idx="901">
                  <c:v>85</c:v>
                </c:pt>
                <c:pt idx="902">
                  <c:v>66</c:v>
                </c:pt>
                <c:pt idx="903">
                  <c:v>#N/A</c:v>
                </c:pt>
                <c:pt idx="904">
                  <c:v>#N/A</c:v>
                </c:pt>
                <c:pt idx="905">
                  <c:v>18</c:v>
                </c:pt>
                <c:pt idx="906">
                  <c:v>#N/A</c:v>
                </c:pt>
                <c:pt idx="907">
                  <c:v>#N/A</c:v>
                </c:pt>
                <c:pt idx="908">
                  <c:v>47</c:v>
                </c:pt>
                <c:pt idx="909">
                  <c:v>#N/A</c:v>
                </c:pt>
                <c:pt idx="910">
                  <c:v>#N/A</c:v>
                </c:pt>
                <c:pt idx="911">
                  <c:v>29</c:v>
                </c:pt>
                <c:pt idx="912">
                  <c:v>#N/A</c:v>
                </c:pt>
                <c:pt idx="913">
                  <c:v>12</c:v>
                </c:pt>
                <c:pt idx="914">
                  <c:v>#N/A</c:v>
                </c:pt>
                <c:pt idx="915">
                  <c:v>#N/A</c:v>
                </c:pt>
                <c:pt idx="916">
                  <c:v>98</c:v>
                </c:pt>
                <c:pt idx="917">
                  <c:v>#N/A</c:v>
                </c:pt>
                <c:pt idx="918">
                  <c:v>100</c:v>
                </c:pt>
                <c:pt idx="919">
                  <c:v>6</c:v>
                </c:pt>
                <c:pt idx="920">
                  <c:v>#N/A</c:v>
                </c:pt>
                <c:pt idx="921">
                  <c:v>20</c:v>
                </c:pt>
                <c:pt idx="922">
                  <c:v>#N/A</c:v>
                </c:pt>
                <c:pt idx="923">
                  <c:v>#N/A</c:v>
                </c:pt>
                <c:pt idx="924">
                  <c:v>92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56</c:v>
                </c:pt>
                <c:pt idx="931">
                  <c:v>57</c:v>
                </c:pt>
                <c:pt idx="932">
                  <c:v>79</c:v>
                </c:pt>
                <c:pt idx="933">
                  <c:v>#N/A</c:v>
                </c:pt>
                <c:pt idx="934">
                  <c:v>90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52</c:v>
                </c:pt>
                <c:pt idx="940">
                  <c:v>74</c:v>
                </c:pt>
                <c:pt idx="941">
                  <c:v>71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94</c:v>
                </c:pt>
                <c:pt idx="946">
                  <c:v>87</c:v>
                </c:pt>
                <c:pt idx="947">
                  <c:v>#N/A</c:v>
                </c:pt>
                <c:pt idx="948">
                  <c:v>#N/A</c:v>
                </c:pt>
                <c:pt idx="949">
                  <c:v>38</c:v>
                </c:pt>
                <c:pt idx="950">
                  <c:v>71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37</c:v>
                </c:pt>
                <c:pt idx="955">
                  <c:v>75</c:v>
                </c:pt>
                <c:pt idx="956">
                  <c:v>#N/A</c:v>
                </c:pt>
                <c:pt idx="957">
                  <c:v>3</c:v>
                </c:pt>
                <c:pt idx="958">
                  <c:v>80</c:v>
                </c:pt>
                <c:pt idx="959">
                  <c:v>#N/A</c:v>
                </c:pt>
                <c:pt idx="960">
                  <c:v>41</c:v>
                </c:pt>
                <c:pt idx="961">
                  <c:v>#N/A</c:v>
                </c:pt>
                <c:pt idx="962">
                  <c:v>5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53</c:v>
                </c:pt>
                <c:pt idx="970">
                  <c:v>#N/A</c:v>
                </c:pt>
                <c:pt idx="971">
                  <c:v>#N/A</c:v>
                </c:pt>
                <c:pt idx="972">
                  <c:v>6</c:v>
                </c:pt>
                <c:pt idx="973">
                  <c:v>50</c:v>
                </c:pt>
                <c:pt idx="974">
                  <c:v>99</c:v>
                </c:pt>
                <c:pt idx="975">
                  <c:v>#N/A</c:v>
                </c:pt>
                <c:pt idx="976">
                  <c:v>68</c:v>
                </c:pt>
                <c:pt idx="977">
                  <c:v>42</c:v>
                </c:pt>
                <c:pt idx="978">
                  <c:v>40</c:v>
                </c:pt>
                <c:pt idx="979">
                  <c:v>#N/A</c:v>
                </c:pt>
                <c:pt idx="980">
                  <c:v>21</c:v>
                </c:pt>
                <c:pt idx="981">
                  <c:v>3</c:v>
                </c:pt>
                <c:pt idx="982">
                  <c:v>76</c:v>
                </c:pt>
                <c:pt idx="983">
                  <c:v>96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19</c:v>
                </c:pt>
                <c:pt idx="992">
                  <c:v>54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AA6-41EC-B092-B3E45EDB5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55344"/>
        <c:axId val="454552944"/>
      </c:scatterChart>
      <c:valAx>
        <c:axId val="454555344"/>
        <c:scaling>
          <c:orientation val="minMax"/>
          <c:min val="2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#,##0,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52944"/>
        <c:crosses val="autoZero"/>
        <c:crossBetween val="midCat"/>
      </c:valAx>
      <c:valAx>
        <c:axId val="45455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5534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EBD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analysis 2.xlsx]gender_breakdown!PivotTable1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WHAT IS THE GENDER BREAKDOWN?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6E675F"/>
          </a:solidFill>
          <a:ln w="19050">
            <a:noFill/>
          </a:ln>
          <a:effectLst/>
        </c:spPr>
        <c:dLbl>
          <c:idx val="0"/>
          <c:layout>
            <c:manualLayout>
              <c:x val="0.11388888888888889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E3B23C"/>
          </a:solidFill>
          <a:ln w="19050">
            <a:noFill/>
          </a:ln>
          <a:effectLst/>
        </c:spPr>
        <c:dLbl>
          <c:idx val="0"/>
          <c:layout>
            <c:manualLayout>
              <c:x val="0.22777777777777777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423E37"/>
          </a:solidFill>
          <a:ln w="19050">
            <a:noFill/>
          </a:ln>
          <a:effectLst/>
        </c:spPr>
        <c:dLbl>
          <c:idx val="0"/>
          <c:layout>
            <c:manualLayout>
              <c:x val="-0.1"/>
              <c:y val="-0.111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6E675F"/>
          </a:solidFill>
          <a:ln w="19050">
            <a:noFill/>
          </a:ln>
          <a:effectLst/>
        </c:spPr>
        <c:dLbl>
          <c:idx val="0"/>
          <c:layout>
            <c:manualLayout>
              <c:x val="0.11388888888888889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E3B23C"/>
          </a:solidFill>
          <a:ln w="19050">
            <a:noFill/>
          </a:ln>
          <a:effectLst/>
        </c:spPr>
        <c:dLbl>
          <c:idx val="0"/>
          <c:layout>
            <c:manualLayout>
              <c:x val="0.22777777777777777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423E37"/>
          </a:solidFill>
          <a:ln w="19050">
            <a:noFill/>
          </a:ln>
          <a:effectLst/>
        </c:spPr>
        <c:dLbl>
          <c:idx val="0"/>
          <c:layout>
            <c:manualLayout>
              <c:x val="-0.1"/>
              <c:y val="-0.111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6E675F"/>
          </a:solidFill>
          <a:ln w="19050">
            <a:noFill/>
          </a:ln>
          <a:effectLst/>
        </c:spPr>
        <c:dLbl>
          <c:idx val="0"/>
          <c:layout>
            <c:manualLayout>
              <c:x val="0.11388888888888889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E3B23C"/>
          </a:solidFill>
          <a:ln w="19050">
            <a:noFill/>
          </a:ln>
          <a:effectLst/>
        </c:spPr>
        <c:dLbl>
          <c:idx val="0"/>
          <c:layout>
            <c:manualLayout>
              <c:x val="0.22777777777777777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423E37"/>
          </a:solidFill>
          <a:ln w="19050">
            <a:noFill/>
          </a:ln>
          <a:effectLst/>
        </c:spPr>
        <c:dLbl>
          <c:idx val="0"/>
          <c:layout>
            <c:manualLayout>
              <c:x val="-0.1"/>
              <c:y val="-0.111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423E37"/>
          </a:solidFill>
          <a:ln w="19050">
            <a:noFill/>
          </a:ln>
          <a:effectLst/>
        </c:spPr>
        <c:dLbl>
          <c:idx val="0"/>
          <c:layout>
            <c:manualLayout>
              <c:x val="-0.12445070704233209"/>
              <c:y val="-7.81849918470085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531780402449694"/>
          <c:y val="0.12481189851268591"/>
          <c:w val="0.50844619422572168"/>
          <c:h val="0.84741032370953617"/>
        </c:manualLayout>
      </c:layout>
      <c:doughnutChart>
        <c:varyColors val="1"/>
        <c:ser>
          <c:idx val="0"/>
          <c:order val="0"/>
          <c:tx>
            <c:strRef>
              <c:f>gender_breakdown!$B$1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6E675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DB-4EF9-B115-B7B91304D0D6}"/>
              </c:ext>
            </c:extLst>
          </c:dPt>
          <c:dPt>
            <c:idx val="1"/>
            <c:bubble3D val="0"/>
            <c:spPr>
              <a:solidFill>
                <a:srgbClr val="E3B23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DB-4EF9-B115-B7B91304D0D6}"/>
              </c:ext>
            </c:extLst>
          </c:dPt>
          <c:dPt>
            <c:idx val="2"/>
            <c:bubble3D val="0"/>
            <c:spPr>
              <a:solidFill>
                <a:srgbClr val="423E3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B4C-48B7-8F33-18D1022C1713}"/>
              </c:ext>
            </c:extLst>
          </c:dPt>
          <c:dLbls>
            <c:dLbl>
              <c:idx val="0"/>
              <c:layout>
                <c:manualLayout>
                  <c:x val="0.11388888888888889"/>
                  <c:y val="-0.11111111111111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DB-4EF9-B115-B7B91304D0D6}"/>
                </c:ext>
              </c:extLst>
            </c:dLbl>
            <c:dLbl>
              <c:idx val="1"/>
              <c:layout>
                <c:manualLayout>
                  <c:x val="0.22777777777777777"/>
                  <c:y val="-9.259259259259258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DB-4EF9-B115-B7B91304D0D6}"/>
                </c:ext>
              </c:extLst>
            </c:dLbl>
            <c:dLbl>
              <c:idx val="2"/>
              <c:layout>
                <c:manualLayout>
                  <c:x val="-0.12445070704233209"/>
                  <c:y val="-7.81849918470085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B4C-48B7-8F33-18D1022C17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gender_breakdown!$A$2:$A$5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gender_breakdown!$B$2:$B$5</c:f>
              <c:numCache>
                <c:formatCode>General</c:formatCode>
                <c:ptCount val="3"/>
                <c:pt idx="0">
                  <c:v>316</c:v>
                </c:pt>
                <c:pt idx="1">
                  <c:v>357</c:v>
                </c:pt>
                <c:pt idx="2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4C-48B7-8F33-18D1022C1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solidFill>
          <a:srgbClr val="EDEBD7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EBD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analysis 2.xlsx]Preferred Categories!PivotTable1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Which Category is the Most Popular?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rgbClr val="423E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23E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23E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'Preferred Categories'!$B$1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3E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'Preferred Categories'!$A$2:$A$7</c:f>
              <c:strCache>
                <c:ptCount val="5"/>
                <c:pt idx="0">
                  <c:v>Clothing</c:v>
                </c:pt>
                <c:pt idx="1">
                  <c:v>Groceries</c:v>
                </c:pt>
                <c:pt idx="2">
                  <c:v>Home &amp; Garden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'Preferred Categories'!$B$2:$B$7</c:f>
              <c:numCache>
                <c:formatCode>General</c:formatCode>
                <c:ptCount val="5"/>
                <c:pt idx="0">
                  <c:v>170</c:v>
                </c:pt>
                <c:pt idx="1">
                  <c:v>199</c:v>
                </c:pt>
                <c:pt idx="2">
                  <c:v>206</c:v>
                </c:pt>
                <c:pt idx="3">
                  <c:v>210</c:v>
                </c:pt>
                <c:pt idx="4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D-489E-B41F-68A5C1B3D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4563024"/>
        <c:axId val="454555824"/>
      </c:barChart>
      <c:catAx>
        <c:axId val="454563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55824"/>
        <c:crosses val="autoZero"/>
        <c:auto val="1"/>
        <c:lblAlgn val="ctr"/>
        <c:lblOffset val="100"/>
        <c:noMultiLvlLbl val="0"/>
      </c:catAx>
      <c:valAx>
        <c:axId val="4545558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crossAx val="45456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EBD7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Which Spending Score is Common Among Customers?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Spending_score_segments!$N$1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23E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Spending_score_segments!$L$2:$L$4</c:f>
              <c:strCache>
                <c:ptCount val="3"/>
                <c:pt idx="0">
                  <c:v>High(&gt;66)</c:v>
                </c:pt>
                <c:pt idx="1">
                  <c:v>Low(34&gt; &lt;66)</c:v>
                </c:pt>
                <c:pt idx="2">
                  <c:v>Medium(&lt;33)</c:v>
                </c:pt>
              </c:strCache>
            </c:strRef>
          </c:cat>
          <c:val>
            <c:numRef>
              <c:f>Spending_score_segments!$N$2:$N$4</c:f>
              <c:numCache>
                <c:formatCode>General</c:formatCode>
                <c:ptCount val="3"/>
                <c:pt idx="0">
                  <c:v>374</c:v>
                </c:pt>
                <c:pt idx="1">
                  <c:v>327</c:v>
                </c:pt>
                <c:pt idx="2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5-4521-BE2F-42A4A92149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4548624"/>
        <c:axId val="454559664"/>
      </c:barChart>
      <c:catAx>
        <c:axId val="45454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59664"/>
        <c:crosses val="autoZero"/>
        <c:auto val="1"/>
        <c:lblAlgn val="ctr"/>
        <c:lblOffset val="100"/>
        <c:noMultiLvlLbl val="0"/>
      </c:catAx>
      <c:valAx>
        <c:axId val="4545596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5454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DEBD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Income VS Last</a:t>
            </a:r>
            <a:r>
              <a:rPr lang="en-US" baseline="0">
                <a:solidFill>
                  <a:schemeClr val="tx1"/>
                </a:solidFill>
              </a:rPr>
              <a:t> Purchase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9.1222236564691708E-2"/>
          <c:y val="0.10756698821007503"/>
          <c:w val="0.8762423303644421"/>
          <c:h val="0.76208657197593066"/>
        </c:manualLayout>
      </c:layout>
      <c:scatterChart>
        <c:scatterStyle val="lineMarker"/>
        <c:varyColors val="0"/>
        <c:ser>
          <c:idx val="0"/>
          <c:order val="0"/>
          <c:tx>
            <c:v>Income Vs Last Purchase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23E37">
                  <a:alpha val="70000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>
                    <a:lumMod val="95000"/>
                    <a:lumOff val="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'Income_vs_Last Purchase Amount'!$D$2:$D$1001</c:f>
              <c:numCache>
                <c:formatCode>_-[$$-409]* #,##0_ ;_-[$$-409]* \-#,##0\ ;_-[$$-409]* "-"??_ ;_-@_ </c:formatCode>
                <c:ptCount val="1000"/>
                <c:pt idx="0">
                  <c:v>112260</c:v>
                </c:pt>
                <c:pt idx="1">
                  <c:v>95491</c:v>
                </c:pt>
                <c:pt idx="2">
                  <c:v>49077</c:v>
                </c:pt>
                <c:pt idx="3">
                  <c:v>107057</c:v>
                </c:pt>
                <c:pt idx="4">
                  <c:v>70723</c:v>
                </c:pt>
                <c:pt idx="5">
                  <c:v>72179</c:v>
                </c:pt>
                <c:pt idx="6">
                  <c:v>42404</c:v>
                </c:pt>
                <c:pt idx="7">
                  <c:v>100270</c:v>
                </c:pt>
                <c:pt idx="8">
                  <c:v>47990</c:v>
                </c:pt>
                <c:pt idx="9">
                  <c:v>81753</c:v>
                </c:pt>
                <c:pt idx="10">
                  <c:v>125014</c:v>
                </c:pt>
                <c:pt idx="11">
                  <c:v>48693</c:v>
                </c:pt>
                <c:pt idx="12">
                  <c:v>51454</c:v>
                </c:pt>
                <c:pt idx="13">
                  <c:v>61695</c:v>
                </c:pt>
                <c:pt idx="14">
                  <c:v>140801</c:v>
                </c:pt>
                <c:pt idx="15">
                  <c:v>121325</c:v>
                </c:pt>
                <c:pt idx="16">
                  <c:v>108550</c:v>
                </c:pt>
                <c:pt idx="17">
                  <c:v>100258</c:v>
                </c:pt>
                <c:pt idx="18">
                  <c:v>84883</c:v>
                </c:pt>
                <c:pt idx="19">
                  <c:v>57651</c:v>
                </c:pt>
                <c:pt idx="20">
                  <c:v>91491</c:v>
                </c:pt>
                <c:pt idx="21">
                  <c:v>117922</c:v>
                </c:pt>
                <c:pt idx="22">
                  <c:v>119162</c:v>
                </c:pt>
                <c:pt idx="23">
                  <c:v>48445</c:v>
                </c:pt>
                <c:pt idx="24">
                  <c:v>136928</c:v>
                </c:pt>
                <c:pt idx="25">
                  <c:v>107934</c:v>
                </c:pt>
                <c:pt idx="26">
                  <c:v>123037</c:v>
                </c:pt>
                <c:pt idx="27">
                  <c:v>120914</c:v>
                </c:pt>
                <c:pt idx="28">
                  <c:v>59278</c:v>
                </c:pt>
                <c:pt idx="29">
                  <c:v>42889</c:v>
                </c:pt>
                <c:pt idx="30">
                  <c:v>60671</c:v>
                </c:pt>
                <c:pt idx="31">
                  <c:v>46524</c:v>
                </c:pt>
                <c:pt idx="32">
                  <c:v>143992</c:v>
                </c:pt>
                <c:pt idx="33">
                  <c:v>141605</c:v>
                </c:pt>
                <c:pt idx="34">
                  <c:v>39113</c:v>
                </c:pt>
                <c:pt idx="35">
                  <c:v>146165</c:v>
                </c:pt>
                <c:pt idx="36">
                  <c:v>95367</c:v>
                </c:pt>
                <c:pt idx="37">
                  <c:v>121639</c:v>
                </c:pt>
                <c:pt idx="38">
                  <c:v>82296</c:v>
                </c:pt>
                <c:pt idx="39">
                  <c:v>38240</c:v>
                </c:pt>
                <c:pt idx="40">
                  <c:v>73370</c:v>
                </c:pt>
                <c:pt idx="41">
                  <c:v>132598</c:v>
                </c:pt>
                <c:pt idx="42">
                  <c:v>64592</c:v>
                </c:pt>
                <c:pt idx="43">
                  <c:v>48641</c:v>
                </c:pt>
                <c:pt idx="44">
                  <c:v>102200</c:v>
                </c:pt>
                <c:pt idx="45">
                  <c:v>36763</c:v>
                </c:pt>
                <c:pt idx="46">
                  <c:v>97035</c:v>
                </c:pt>
                <c:pt idx="47">
                  <c:v>140959</c:v>
                </c:pt>
                <c:pt idx="48">
                  <c:v>105623</c:v>
                </c:pt>
                <c:pt idx="49">
                  <c:v>54274</c:v>
                </c:pt>
                <c:pt idx="50">
                  <c:v>94803</c:v>
                </c:pt>
                <c:pt idx="51">
                  <c:v>104041</c:v>
                </c:pt>
                <c:pt idx="52">
                  <c:v>65196</c:v>
                </c:pt>
                <c:pt idx="53">
                  <c:v>141318</c:v>
                </c:pt>
                <c:pt idx="54">
                  <c:v>127989</c:v>
                </c:pt>
                <c:pt idx="55">
                  <c:v>85349</c:v>
                </c:pt>
                <c:pt idx="56">
                  <c:v>73023</c:v>
                </c:pt>
                <c:pt idx="57">
                  <c:v>85928</c:v>
                </c:pt>
                <c:pt idx="58">
                  <c:v>94896</c:v>
                </c:pt>
                <c:pt idx="59">
                  <c:v>112510</c:v>
                </c:pt>
                <c:pt idx="60">
                  <c:v>115204</c:v>
                </c:pt>
                <c:pt idx="61">
                  <c:v>52167</c:v>
                </c:pt>
                <c:pt idx="62">
                  <c:v>147355</c:v>
                </c:pt>
                <c:pt idx="63">
                  <c:v>38558</c:v>
                </c:pt>
                <c:pt idx="64">
                  <c:v>92114</c:v>
                </c:pt>
                <c:pt idx="65">
                  <c:v>86651</c:v>
                </c:pt>
                <c:pt idx="66">
                  <c:v>129445</c:v>
                </c:pt>
                <c:pt idx="67">
                  <c:v>112949</c:v>
                </c:pt>
                <c:pt idx="68">
                  <c:v>136418</c:v>
                </c:pt>
                <c:pt idx="69">
                  <c:v>140638</c:v>
                </c:pt>
                <c:pt idx="70">
                  <c:v>128640</c:v>
                </c:pt>
                <c:pt idx="71">
                  <c:v>122436</c:v>
                </c:pt>
                <c:pt idx="72">
                  <c:v>48329</c:v>
                </c:pt>
                <c:pt idx="73">
                  <c:v>148784</c:v>
                </c:pt>
                <c:pt idx="74">
                  <c:v>70213</c:v>
                </c:pt>
                <c:pt idx="75">
                  <c:v>117373</c:v>
                </c:pt>
                <c:pt idx="76">
                  <c:v>45147</c:v>
                </c:pt>
                <c:pt idx="77">
                  <c:v>104106</c:v>
                </c:pt>
                <c:pt idx="78">
                  <c:v>71951</c:v>
                </c:pt>
                <c:pt idx="79">
                  <c:v>108074</c:v>
                </c:pt>
                <c:pt idx="80">
                  <c:v>129005</c:v>
                </c:pt>
                <c:pt idx="81">
                  <c:v>76317</c:v>
                </c:pt>
                <c:pt idx="82">
                  <c:v>135861</c:v>
                </c:pt>
                <c:pt idx="83">
                  <c:v>58971</c:v>
                </c:pt>
                <c:pt idx="84">
                  <c:v>62792</c:v>
                </c:pt>
                <c:pt idx="85">
                  <c:v>87595</c:v>
                </c:pt>
                <c:pt idx="86">
                  <c:v>128322</c:v>
                </c:pt>
                <c:pt idx="87">
                  <c:v>42855</c:v>
                </c:pt>
                <c:pt idx="88">
                  <c:v>90929</c:v>
                </c:pt>
                <c:pt idx="89">
                  <c:v>136323</c:v>
                </c:pt>
                <c:pt idx="90">
                  <c:v>137307</c:v>
                </c:pt>
                <c:pt idx="91">
                  <c:v>108335</c:v>
                </c:pt>
                <c:pt idx="92">
                  <c:v>100208</c:v>
                </c:pt>
                <c:pt idx="93">
                  <c:v>132541</c:v>
                </c:pt>
                <c:pt idx="94">
                  <c:v>97962</c:v>
                </c:pt>
                <c:pt idx="95">
                  <c:v>142216</c:v>
                </c:pt>
                <c:pt idx="96">
                  <c:v>89274</c:v>
                </c:pt>
                <c:pt idx="97">
                  <c:v>31154</c:v>
                </c:pt>
                <c:pt idx="98">
                  <c:v>83880</c:v>
                </c:pt>
                <c:pt idx="99">
                  <c:v>89688</c:v>
                </c:pt>
                <c:pt idx="100">
                  <c:v>113187</c:v>
                </c:pt>
                <c:pt idx="101">
                  <c:v>77006</c:v>
                </c:pt>
                <c:pt idx="102">
                  <c:v>64136</c:v>
                </c:pt>
                <c:pt idx="103">
                  <c:v>138922</c:v>
                </c:pt>
                <c:pt idx="104">
                  <c:v>137205</c:v>
                </c:pt>
                <c:pt idx="105">
                  <c:v>40590</c:v>
                </c:pt>
                <c:pt idx="106">
                  <c:v>65343</c:v>
                </c:pt>
                <c:pt idx="107">
                  <c:v>67039</c:v>
                </c:pt>
                <c:pt idx="108">
                  <c:v>49308</c:v>
                </c:pt>
                <c:pt idx="109">
                  <c:v>60668</c:v>
                </c:pt>
                <c:pt idx="110">
                  <c:v>56570</c:v>
                </c:pt>
                <c:pt idx="111">
                  <c:v>60382</c:v>
                </c:pt>
                <c:pt idx="112">
                  <c:v>35565</c:v>
                </c:pt>
                <c:pt idx="113">
                  <c:v>75626</c:v>
                </c:pt>
                <c:pt idx="114">
                  <c:v>53863</c:v>
                </c:pt>
                <c:pt idx="115">
                  <c:v>54918</c:v>
                </c:pt>
                <c:pt idx="116">
                  <c:v>73823</c:v>
                </c:pt>
                <c:pt idx="117">
                  <c:v>43965</c:v>
                </c:pt>
                <c:pt idx="118">
                  <c:v>134193</c:v>
                </c:pt>
                <c:pt idx="119">
                  <c:v>43175</c:v>
                </c:pt>
                <c:pt idx="120">
                  <c:v>135968</c:v>
                </c:pt>
                <c:pt idx="121">
                  <c:v>108263</c:v>
                </c:pt>
                <c:pt idx="122">
                  <c:v>145924</c:v>
                </c:pt>
                <c:pt idx="123">
                  <c:v>141965</c:v>
                </c:pt>
                <c:pt idx="124">
                  <c:v>122028</c:v>
                </c:pt>
                <c:pt idx="125">
                  <c:v>113856</c:v>
                </c:pt>
                <c:pt idx="126">
                  <c:v>81110</c:v>
                </c:pt>
                <c:pt idx="127">
                  <c:v>136973</c:v>
                </c:pt>
                <c:pt idx="128">
                  <c:v>57558</c:v>
                </c:pt>
                <c:pt idx="129">
                  <c:v>53474</c:v>
                </c:pt>
                <c:pt idx="130">
                  <c:v>33604</c:v>
                </c:pt>
                <c:pt idx="131">
                  <c:v>56707</c:v>
                </c:pt>
                <c:pt idx="132">
                  <c:v>113380</c:v>
                </c:pt>
                <c:pt idx="133">
                  <c:v>90816</c:v>
                </c:pt>
                <c:pt idx="134">
                  <c:v>34657</c:v>
                </c:pt>
                <c:pt idx="135">
                  <c:v>118840</c:v>
                </c:pt>
                <c:pt idx="136">
                  <c:v>103921</c:v>
                </c:pt>
                <c:pt idx="137">
                  <c:v>83547</c:v>
                </c:pt>
                <c:pt idx="138">
                  <c:v>43316</c:v>
                </c:pt>
                <c:pt idx="139">
                  <c:v>98928</c:v>
                </c:pt>
                <c:pt idx="140">
                  <c:v>62752</c:v>
                </c:pt>
                <c:pt idx="141">
                  <c:v>46866</c:v>
                </c:pt>
                <c:pt idx="142">
                  <c:v>92371</c:v>
                </c:pt>
                <c:pt idx="143">
                  <c:v>48068</c:v>
                </c:pt>
                <c:pt idx="144">
                  <c:v>81701</c:v>
                </c:pt>
                <c:pt idx="145">
                  <c:v>134463</c:v>
                </c:pt>
                <c:pt idx="146">
                  <c:v>130604</c:v>
                </c:pt>
                <c:pt idx="147">
                  <c:v>45551</c:v>
                </c:pt>
                <c:pt idx="148">
                  <c:v>109314</c:v>
                </c:pt>
                <c:pt idx="149">
                  <c:v>48768</c:v>
                </c:pt>
                <c:pt idx="150">
                  <c:v>117893</c:v>
                </c:pt>
                <c:pt idx="151">
                  <c:v>123822</c:v>
                </c:pt>
                <c:pt idx="152">
                  <c:v>54930</c:v>
                </c:pt>
                <c:pt idx="153">
                  <c:v>34424</c:v>
                </c:pt>
                <c:pt idx="154">
                  <c:v>41849</c:v>
                </c:pt>
                <c:pt idx="155">
                  <c:v>55100</c:v>
                </c:pt>
                <c:pt idx="156">
                  <c:v>111242</c:v>
                </c:pt>
                <c:pt idx="157">
                  <c:v>35514</c:v>
                </c:pt>
                <c:pt idx="158">
                  <c:v>32860</c:v>
                </c:pt>
                <c:pt idx="159">
                  <c:v>42337</c:v>
                </c:pt>
                <c:pt idx="160">
                  <c:v>62131</c:v>
                </c:pt>
                <c:pt idx="161">
                  <c:v>145261</c:v>
                </c:pt>
                <c:pt idx="162">
                  <c:v>81763</c:v>
                </c:pt>
                <c:pt idx="163">
                  <c:v>76259</c:v>
                </c:pt>
                <c:pt idx="164">
                  <c:v>79572</c:v>
                </c:pt>
                <c:pt idx="165">
                  <c:v>77060</c:v>
                </c:pt>
                <c:pt idx="166">
                  <c:v>30570</c:v>
                </c:pt>
                <c:pt idx="167">
                  <c:v>48714</c:v>
                </c:pt>
                <c:pt idx="168">
                  <c:v>134203</c:v>
                </c:pt>
                <c:pt idx="169">
                  <c:v>84577</c:v>
                </c:pt>
                <c:pt idx="170">
                  <c:v>97995</c:v>
                </c:pt>
                <c:pt idx="171">
                  <c:v>132488</c:v>
                </c:pt>
                <c:pt idx="172">
                  <c:v>39407</c:v>
                </c:pt>
                <c:pt idx="173">
                  <c:v>39407</c:v>
                </c:pt>
                <c:pt idx="174">
                  <c:v>100320</c:v>
                </c:pt>
                <c:pt idx="175">
                  <c:v>143200</c:v>
                </c:pt>
                <c:pt idx="176">
                  <c:v>32030</c:v>
                </c:pt>
                <c:pt idx="177">
                  <c:v>124796</c:v>
                </c:pt>
                <c:pt idx="178">
                  <c:v>78829</c:v>
                </c:pt>
                <c:pt idx="179">
                  <c:v>36282</c:v>
                </c:pt>
                <c:pt idx="180">
                  <c:v>115342</c:v>
                </c:pt>
                <c:pt idx="181">
                  <c:v>105641</c:v>
                </c:pt>
                <c:pt idx="182">
                  <c:v>84725</c:v>
                </c:pt>
                <c:pt idx="183">
                  <c:v>141134</c:v>
                </c:pt>
                <c:pt idx="184">
                  <c:v>140809</c:v>
                </c:pt>
                <c:pt idx="185">
                  <c:v>145254</c:v>
                </c:pt>
                <c:pt idx="186">
                  <c:v>149505</c:v>
                </c:pt>
                <c:pt idx="187">
                  <c:v>132215</c:v>
                </c:pt>
                <c:pt idx="188">
                  <c:v>111238</c:v>
                </c:pt>
                <c:pt idx="189">
                  <c:v>132968</c:v>
                </c:pt>
                <c:pt idx="190">
                  <c:v>82506</c:v>
                </c:pt>
                <c:pt idx="191">
                  <c:v>139366</c:v>
                </c:pt>
                <c:pt idx="192">
                  <c:v>106944</c:v>
                </c:pt>
                <c:pt idx="193">
                  <c:v>92031</c:v>
                </c:pt>
                <c:pt idx="194">
                  <c:v>121073</c:v>
                </c:pt>
                <c:pt idx="195">
                  <c:v>30004</c:v>
                </c:pt>
                <c:pt idx="196">
                  <c:v>47499</c:v>
                </c:pt>
                <c:pt idx="197">
                  <c:v>51759</c:v>
                </c:pt>
                <c:pt idx="198">
                  <c:v>62536</c:v>
                </c:pt>
                <c:pt idx="199">
                  <c:v>93599</c:v>
                </c:pt>
                <c:pt idx="200">
                  <c:v>100730</c:v>
                </c:pt>
                <c:pt idx="201">
                  <c:v>127010</c:v>
                </c:pt>
                <c:pt idx="202">
                  <c:v>132403</c:v>
                </c:pt>
                <c:pt idx="203">
                  <c:v>147360</c:v>
                </c:pt>
                <c:pt idx="204">
                  <c:v>82356</c:v>
                </c:pt>
                <c:pt idx="205">
                  <c:v>94970</c:v>
                </c:pt>
                <c:pt idx="206">
                  <c:v>32144</c:v>
                </c:pt>
                <c:pt idx="207">
                  <c:v>100115</c:v>
                </c:pt>
                <c:pt idx="208">
                  <c:v>86985</c:v>
                </c:pt>
                <c:pt idx="209">
                  <c:v>132277</c:v>
                </c:pt>
                <c:pt idx="210">
                  <c:v>80545</c:v>
                </c:pt>
                <c:pt idx="211">
                  <c:v>145190</c:v>
                </c:pt>
                <c:pt idx="212">
                  <c:v>85583</c:v>
                </c:pt>
                <c:pt idx="213">
                  <c:v>51225</c:v>
                </c:pt>
                <c:pt idx="214">
                  <c:v>43192</c:v>
                </c:pt>
                <c:pt idx="215">
                  <c:v>96409</c:v>
                </c:pt>
                <c:pt idx="216">
                  <c:v>68304</c:v>
                </c:pt>
                <c:pt idx="217">
                  <c:v>85068</c:v>
                </c:pt>
                <c:pt idx="218">
                  <c:v>90687</c:v>
                </c:pt>
                <c:pt idx="219">
                  <c:v>30102</c:v>
                </c:pt>
                <c:pt idx="220">
                  <c:v>33546</c:v>
                </c:pt>
                <c:pt idx="221">
                  <c:v>80995</c:v>
                </c:pt>
                <c:pt idx="222">
                  <c:v>137307</c:v>
                </c:pt>
                <c:pt idx="223">
                  <c:v>139658</c:v>
                </c:pt>
                <c:pt idx="224">
                  <c:v>107702</c:v>
                </c:pt>
                <c:pt idx="225">
                  <c:v>33087</c:v>
                </c:pt>
                <c:pt idx="226">
                  <c:v>104830</c:v>
                </c:pt>
                <c:pt idx="227">
                  <c:v>50661</c:v>
                </c:pt>
                <c:pt idx="228">
                  <c:v>80049</c:v>
                </c:pt>
                <c:pt idx="229">
                  <c:v>113097</c:v>
                </c:pt>
                <c:pt idx="230">
                  <c:v>108115</c:v>
                </c:pt>
                <c:pt idx="231">
                  <c:v>97103</c:v>
                </c:pt>
                <c:pt idx="232">
                  <c:v>35394</c:v>
                </c:pt>
                <c:pt idx="233">
                  <c:v>69133</c:v>
                </c:pt>
                <c:pt idx="234">
                  <c:v>30708</c:v>
                </c:pt>
                <c:pt idx="235">
                  <c:v>49346</c:v>
                </c:pt>
                <c:pt idx="236">
                  <c:v>82856</c:v>
                </c:pt>
                <c:pt idx="237">
                  <c:v>113154</c:v>
                </c:pt>
                <c:pt idx="238">
                  <c:v>33030</c:v>
                </c:pt>
                <c:pt idx="239">
                  <c:v>33987</c:v>
                </c:pt>
                <c:pt idx="240">
                  <c:v>98446</c:v>
                </c:pt>
                <c:pt idx="241">
                  <c:v>76202</c:v>
                </c:pt>
                <c:pt idx="242">
                  <c:v>63313</c:v>
                </c:pt>
                <c:pt idx="243">
                  <c:v>116566</c:v>
                </c:pt>
                <c:pt idx="244">
                  <c:v>111788</c:v>
                </c:pt>
                <c:pt idx="245">
                  <c:v>144573</c:v>
                </c:pt>
                <c:pt idx="246">
                  <c:v>49725</c:v>
                </c:pt>
                <c:pt idx="247">
                  <c:v>47458</c:v>
                </c:pt>
                <c:pt idx="248">
                  <c:v>36383</c:v>
                </c:pt>
                <c:pt idx="249">
                  <c:v>141748</c:v>
                </c:pt>
                <c:pt idx="250">
                  <c:v>51087</c:v>
                </c:pt>
                <c:pt idx="251">
                  <c:v>90651</c:v>
                </c:pt>
                <c:pt idx="252">
                  <c:v>145308</c:v>
                </c:pt>
                <c:pt idx="253">
                  <c:v>60768</c:v>
                </c:pt>
                <c:pt idx="254">
                  <c:v>85888</c:v>
                </c:pt>
                <c:pt idx="255">
                  <c:v>87520</c:v>
                </c:pt>
                <c:pt idx="256">
                  <c:v>105810</c:v>
                </c:pt>
                <c:pt idx="257">
                  <c:v>30121</c:v>
                </c:pt>
                <c:pt idx="258">
                  <c:v>52164</c:v>
                </c:pt>
                <c:pt idx="259">
                  <c:v>134502</c:v>
                </c:pt>
                <c:pt idx="260">
                  <c:v>99618</c:v>
                </c:pt>
                <c:pt idx="261">
                  <c:v>32827</c:v>
                </c:pt>
                <c:pt idx="262">
                  <c:v>99668</c:v>
                </c:pt>
                <c:pt idx="263">
                  <c:v>38683</c:v>
                </c:pt>
                <c:pt idx="264">
                  <c:v>144083</c:v>
                </c:pt>
                <c:pt idx="265">
                  <c:v>61052</c:v>
                </c:pt>
                <c:pt idx="266">
                  <c:v>33065</c:v>
                </c:pt>
                <c:pt idx="267">
                  <c:v>66961</c:v>
                </c:pt>
                <c:pt idx="268">
                  <c:v>49970</c:v>
                </c:pt>
                <c:pt idx="269">
                  <c:v>37595</c:v>
                </c:pt>
                <c:pt idx="270">
                  <c:v>143235</c:v>
                </c:pt>
                <c:pt idx="271">
                  <c:v>143899</c:v>
                </c:pt>
                <c:pt idx="272">
                  <c:v>38012</c:v>
                </c:pt>
                <c:pt idx="273">
                  <c:v>138008</c:v>
                </c:pt>
                <c:pt idx="274">
                  <c:v>84223</c:v>
                </c:pt>
                <c:pt idx="275">
                  <c:v>57700</c:v>
                </c:pt>
                <c:pt idx="276">
                  <c:v>89720</c:v>
                </c:pt>
                <c:pt idx="277">
                  <c:v>148121</c:v>
                </c:pt>
                <c:pt idx="278">
                  <c:v>114848</c:v>
                </c:pt>
                <c:pt idx="279">
                  <c:v>48504</c:v>
                </c:pt>
                <c:pt idx="280">
                  <c:v>44725</c:v>
                </c:pt>
                <c:pt idx="281">
                  <c:v>37201</c:v>
                </c:pt>
                <c:pt idx="282">
                  <c:v>49342</c:v>
                </c:pt>
                <c:pt idx="283">
                  <c:v>32692</c:v>
                </c:pt>
                <c:pt idx="284">
                  <c:v>107033</c:v>
                </c:pt>
                <c:pt idx="285">
                  <c:v>127745</c:v>
                </c:pt>
                <c:pt idx="286">
                  <c:v>69864</c:v>
                </c:pt>
                <c:pt idx="287">
                  <c:v>127302</c:v>
                </c:pt>
                <c:pt idx="288">
                  <c:v>111795</c:v>
                </c:pt>
                <c:pt idx="289">
                  <c:v>134801</c:v>
                </c:pt>
                <c:pt idx="290">
                  <c:v>121037</c:v>
                </c:pt>
                <c:pt idx="291">
                  <c:v>98882</c:v>
                </c:pt>
                <c:pt idx="292">
                  <c:v>149973</c:v>
                </c:pt>
                <c:pt idx="293">
                  <c:v>131020</c:v>
                </c:pt>
                <c:pt idx="294">
                  <c:v>88778</c:v>
                </c:pt>
                <c:pt idx="295">
                  <c:v>138152</c:v>
                </c:pt>
                <c:pt idx="296">
                  <c:v>149936</c:v>
                </c:pt>
                <c:pt idx="297">
                  <c:v>98537</c:v>
                </c:pt>
                <c:pt idx="298">
                  <c:v>130645</c:v>
                </c:pt>
                <c:pt idx="299">
                  <c:v>100314</c:v>
                </c:pt>
                <c:pt idx="300">
                  <c:v>148451</c:v>
                </c:pt>
                <c:pt idx="301">
                  <c:v>129284</c:v>
                </c:pt>
                <c:pt idx="302">
                  <c:v>102535</c:v>
                </c:pt>
                <c:pt idx="303">
                  <c:v>115529</c:v>
                </c:pt>
                <c:pt idx="304">
                  <c:v>101100</c:v>
                </c:pt>
                <c:pt idx="305">
                  <c:v>108480</c:v>
                </c:pt>
                <c:pt idx="306">
                  <c:v>46695</c:v>
                </c:pt>
                <c:pt idx="307">
                  <c:v>75430</c:v>
                </c:pt>
                <c:pt idx="308">
                  <c:v>87006</c:v>
                </c:pt>
                <c:pt idx="309">
                  <c:v>100745</c:v>
                </c:pt>
                <c:pt idx="310">
                  <c:v>74519</c:v>
                </c:pt>
                <c:pt idx="311">
                  <c:v>33009</c:v>
                </c:pt>
                <c:pt idx="312">
                  <c:v>82623</c:v>
                </c:pt>
                <c:pt idx="313">
                  <c:v>142287</c:v>
                </c:pt>
                <c:pt idx="314">
                  <c:v>48225</c:v>
                </c:pt>
                <c:pt idx="315">
                  <c:v>68250</c:v>
                </c:pt>
                <c:pt idx="316">
                  <c:v>124670</c:v>
                </c:pt>
                <c:pt idx="317">
                  <c:v>119460</c:v>
                </c:pt>
                <c:pt idx="318">
                  <c:v>31668</c:v>
                </c:pt>
                <c:pt idx="319">
                  <c:v>36022</c:v>
                </c:pt>
                <c:pt idx="320">
                  <c:v>112118</c:v>
                </c:pt>
                <c:pt idx="321">
                  <c:v>149062</c:v>
                </c:pt>
                <c:pt idx="322">
                  <c:v>68970</c:v>
                </c:pt>
                <c:pt idx="323">
                  <c:v>37569</c:v>
                </c:pt>
                <c:pt idx="324">
                  <c:v>32276</c:v>
                </c:pt>
                <c:pt idx="325">
                  <c:v>69168</c:v>
                </c:pt>
                <c:pt idx="326">
                  <c:v>129999</c:v>
                </c:pt>
                <c:pt idx="327">
                  <c:v>133701</c:v>
                </c:pt>
                <c:pt idx="328">
                  <c:v>51199</c:v>
                </c:pt>
                <c:pt idx="329">
                  <c:v>60262</c:v>
                </c:pt>
                <c:pt idx="330">
                  <c:v>55027</c:v>
                </c:pt>
                <c:pt idx="331">
                  <c:v>129568</c:v>
                </c:pt>
                <c:pt idx="332">
                  <c:v>114808</c:v>
                </c:pt>
                <c:pt idx="333">
                  <c:v>145578</c:v>
                </c:pt>
                <c:pt idx="334">
                  <c:v>87717</c:v>
                </c:pt>
                <c:pt idx="335">
                  <c:v>56378</c:v>
                </c:pt>
                <c:pt idx="336">
                  <c:v>115674</c:v>
                </c:pt>
                <c:pt idx="337">
                  <c:v>49140</c:v>
                </c:pt>
                <c:pt idx="338">
                  <c:v>47482</c:v>
                </c:pt>
                <c:pt idx="339">
                  <c:v>136278</c:v>
                </c:pt>
                <c:pt idx="340">
                  <c:v>104971</c:v>
                </c:pt>
                <c:pt idx="341">
                  <c:v>59583</c:v>
                </c:pt>
                <c:pt idx="342">
                  <c:v>107042</c:v>
                </c:pt>
                <c:pt idx="343">
                  <c:v>68172</c:v>
                </c:pt>
                <c:pt idx="344">
                  <c:v>101111</c:v>
                </c:pt>
                <c:pt idx="345">
                  <c:v>125996</c:v>
                </c:pt>
                <c:pt idx="346">
                  <c:v>115470</c:v>
                </c:pt>
                <c:pt idx="347">
                  <c:v>79899</c:v>
                </c:pt>
                <c:pt idx="348">
                  <c:v>49557</c:v>
                </c:pt>
                <c:pt idx="349">
                  <c:v>69676</c:v>
                </c:pt>
                <c:pt idx="350">
                  <c:v>105157</c:v>
                </c:pt>
                <c:pt idx="351">
                  <c:v>134592</c:v>
                </c:pt>
                <c:pt idx="352">
                  <c:v>33706</c:v>
                </c:pt>
                <c:pt idx="353">
                  <c:v>42779</c:v>
                </c:pt>
                <c:pt idx="354">
                  <c:v>120294</c:v>
                </c:pt>
                <c:pt idx="355">
                  <c:v>71923</c:v>
                </c:pt>
                <c:pt idx="356">
                  <c:v>112170</c:v>
                </c:pt>
                <c:pt idx="357">
                  <c:v>47099</c:v>
                </c:pt>
                <c:pt idx="358">
                  <c:v>57305</c:v>
                </c:pt>
                <c:pt idx="359">
                  <c:v>54319</c:v>
                </c:pt>
                <c:pt idx="360">
                  <c:v>69659</c:v>
                </c:pt>
                <c:pt idx="361">
                  <c:v>30058</c:v>
                </c:pt>
                <c:pt idx="362">
                  <c:v>81758</c:v>
                </c:pt>
                <c:pt idx="363">
                  <c:v>141757</c:v>
                </c:pt>
                <c:pt idx="364">
                  <c:v>76756</c:v>
                </c:pt>
                <c:pt idx="365">
                  <c:v>86593</c:v>
                </c:pt>
                <c:pt idx="366">
                  <c:v>62405</c:v>
                </c:pt>
                <c:pt idx="367">
                  <c:v>94531</c:v>
                </c:pt>
                <c:pt idx="368">
                  <c:v>134241</c:v>
                </c:pt>
                <c:pt idx="369">
                  <c:v>89149</c:v>
                </c:pt>
                <c:pt idx="370">
                  <c:v>56120</c:v>
                </c:pt>
                <c:pt idx="371">
                  <c:v>143037</c:v>
                </c:pt>
                <c:pt idx="372">
                  <c:v>44048</c:v>
                </c:pt>
                <c:pt idx="373">
                  <c:v>95501</c:v>
                </c:pt>
                <c:pt idx="374">
                  <c:v>61849</c:v>
                </c:pt>
                <c:pt idx="375">
                  <c:v>105470</c:v>
                </c:pt>
                <c:pt idx="376">
                  <c:v>63381</c:v>
                </c:pt>
                <c:pt idx="377">
                  <c:v>92089</c:v>
                </c:pt>
                <c:pt idx="378">
                  <c:v>104031</c:v>
                </c:pt>
                <c:pt idx="379">
                  <c:v>113116</c:v>
                </c:pt>
                <c:pt idx="380">
                  <c:v>34982</c:v>
                </c:pt>
                <c:pt idx="381">
                  <c:v>69362</c:v>
                </c:pt>
                <c:pt idx="382">
                  <c:v>94016</c:v>
                </c:pt>
                <c:pt idx="383">
                  <c:v>101084</c:v>
                </c:pt>
                <c:pt idx="384">
                  <c:v>79949</c:v>
                </c:pt>
                <c:pt idx="385">
                  <c:v>46738</c:v>
                </c:pt>
                <c:pt idx="386">
                  <c:v>107818</c:v>
                </c:pt>
                <c:pt idx="387">
                  <c:v>83511</c:v>
                </c:pt>
                <c:pt idx="388">
                  <c:v>96494</c:v>
                </c:pt>
                <c:pt idx="389">
                  <c:v>46707</c:v>
                </c:pt>
                <c:pt idx="390">
                  <c:v>87275</c:v>
                </c:pt>
                <c:pt idx="391">
                  <c:v>66932</c:v>
                </c:pt>
                <c:pt idx="392">
                  <c:v>124138</c:v>
                </c:pt>
                <c:pt idx="393">
                  <c:v>106631</c:v>
                </c:pt>
                <c:pt idx="394">
                  <c:v>54421</c:v>
                </c:pt>
                <c:pt idx="395">
                  <c:v>64134</c:v>
                </c:pt>
                <c:pt idx="396">
                  <c:v>52470</c:v>
                </c:pt>
                <c:pt idx="397">
                  <c:v>148368</c:v>
                </c:pt>
                <c:pt idx="398">
                  <c:v>134414</c:v>
                </c:pt>
                <c:pt idx="399">
                  <c:v>105185</c:v>
                </c:pt>
                <c:pt idx="400">
                  <c:v>129014</c:v>
                </c:pt>
                <c:pt idx="401">
                  <c:v>112847</c:v>
                </c:pt>
                <c:pt idx="402">
                  <c:v>139589</c:v>
                </c:pt>
                <c:pt idx="403">
                  <c:v>38785</c:v>
                </c:pt>
                <c:pt idx="404">
                  <c:v>84616</c:v>
                </c:pt>
                <c:pt idx="405">
                  <c:v>101024</c:v>
                </c:pt>
                <c:pt idx="406">
                  <c:v>84117</c:v>
                </c:pt>
                <c:pt idx="407">
                  <c:v>107232</c:v>
                </c:pt>
                <c:pt idx="408">
                  <c:v>128623</c:v>
                </c:pt>
                <c:pt idx="409">
                  <c:v>94392</c:v>
                </c:pt>
                <c:pt idx="410">
                  <c:v>47689</c:v>
                </c:pt>
                <c:pt idx="411">
                  <c:v>38250</c:v>
                </c:pt>
                <c:pt idx="412">
                  <c:v>89077</c:v>
                </c:pt>
                <c:pt idx="413">
                  <c:v>144624</c:v>
                </c:pt>
                <c:pt idx="414">
                  <c:v>130668</c:v>
                </c:pt>
                <c:pt idx="415">
                  <c:v>135530</c:v>
                </c:pt>
                <c:pt idx="416">
                  <c:v>47790</c:v>
                </c:pt>
                <c:pt idx="417">
                  <c:v>126553</c:v>
                </c:pt>
                <c:pt idx="418">
                  <c:v>80006</c:v>
                </c:pt>
                <c:pt idx="419">
                  <c:v>71410</c:v>
                </c:pt>
                <c:pt idx="420">
                  <c:v>49020</c:v>
                </c:pt>
                <c:pt idx="421">
                  <c:v>76921</c:v>
                </c:pt>
                <c:pt idx="422">
                  <c:v>99475</c:v>
                </c:pt>
                <c:pt idx="423">
                  <c:v>107488</c:v>
                </c:pt>
                <c:pt idx="424">
                  <c:v>115381</c:v>
                </c:pt>
                <c:pt idx="425">
                  <c:v>30374</c:v>
                </c:pt>
                <c:pt idx="426">
                  <c:v>122661</c:v>
                </c:pt>
                <c:pt idx="427">
                  <c:v>120516</c:v>
                </c:pt>
                <c:pt idx="428">
                  <c:v>94627</c:v>
                </c:pt>
                <c:pt idx="429">
                  <c:v>103191</c:v>
                </c:pt>
                <c:pt idx="430">
                  <c:v>149741</c:v>
                </c:pt>
                <c:pt idx="431">
                  <c:v>90000</c:v>
                </c:pt>
                <c:pt idx="432">
                  <c:v>105019</c:v>
                </c:pt>
                <c:pt idx="433">
                  <c:v>87418</c:v>
                </c:pt>
                <c:pt idx="434">
                  <c:v>127948</c:v>
                </c:pt>
                <c:pt idx="435">
                  <c:v>141369</c:v>
                </c:pt>
                <c:pt idx="436">
                  <c:v>119844</c:v>
                </c:pt>
                <c:pt idx="437">
                  <c:v>135305</c:v>
                </c:pt>
                <c:pt idx="438">
                  <c:v>80988</c:v>
                </c:pt>
                <c:pt idx="439">
                  <c:v>101105</c:v>
                </c:pt>
                <c:pt idx="440">
                  <c:v>71594</c:v>
                </c:pt>
                <c:pt idx="441">
                  <c:v>36843</c:v>
                </c:pt>
                <c:pt idx="442">
                  <c:v>90780</c:v>
                </c:pt>
                <c:pt idx="443">
                  <c:v>124369</c:v>
                </c:pt>
                <c:pt idx="444">
                  <c:v>51565</c:v>
                </c:pt>
                <c:pt idx="445">
                  <c:v>59481</c:v>
                </c:pt>
                <c:pt idx="446">
                  <c:v>68689</c:v>
                </c:pt>
                <c:pt idx="447">
                  <c:v>147555</c:v>
                </c:pt>
                <c:pt idx="448">
                  <c:v>57851</c:v>
                </c:pt>
                <c:pt idx="449">
                  <c:v>100399</c:v>
                </c:pt>
                <c:pt idx="450">
                  <c:v>143640</c:v>
                </c:pt>
                <c:pt idx="451">
                  <c:v>100736</c:v>
                </c:pt>
                <c:pt idx="452">
                  <c:v>139508</c:v>
                </c:pt>
                <c:pt idx="453">
                  <c:v>112674</c:v>
                </c:pt>
                <c:pt idx="454">
                  <c:v>143424</c:v>
                </c:pt>
                <c:pt idx="455">
                  <c:v>120542</c:v>
                </c:pt>
                <c:pt idx="456">
                  <c:v>91672</c:v>
                </c:pt>
                <c:pt idx="457">
                  <c:v>124597</c:v>
                </c:pt>
                <c:pt idx="458">
                  <c:v>112021</c:v>
                </c:pt>
                <c:pt idx="459">
                  <c:v>78534</c:v>
                </c:pt>
                <c:pt idx="460">
                  <c:v>86860</c:v>
                </c:pt>
                <c:pt idx="461">
                  <c:v>112137</c:v>
                </c:pt>
                <c:pt idx="462">
                  <c:v>137276</c:v>
                </c:pt>
                <c:pt idx="463">
                  <c:v>94701</c:v>
                </c:pt>
                <c:pt idx="464">
                  <c:v>93084</c:v>
                </c:pt>
                <c:pt idx="465">
                  <c:v>61541</c:v>
                </c:pt>
                <c:pt idx="466">
                  <c:v>55753</c:v>
                </c:pt>
                <c:pt idx="467">
                  <c:v>80868</c:v>
                </c:pt>
                <c:pt idx="468">
                  <c:v>61870</c:v>
                </c:pt>
                <c:pt idx="469">
                  <c:v>69204</c:v>
                </c:pt>
                <c:pt idx="470">
                  <c:v>67215</c:v>
                </c:pt>
                <c:pt idx="471">
                  <c:v>53295</c:v>
                </c:pt>
                <c:pt idx="472">
                  <c:v>83172</c:v>
                </c:pt>
                <c:pt idx="473">
                  <c:v>88288</c:v>
                </c:pt>
                <c:pt idx="474">
                  <c:v>66196</c:v>
                </c:pt>
                <c:pt idx="475">
                  <c:v>85267</c:v>
                </c:pt>
                <c:pt idx="476">
                  <c:v>115578</c:v>
                </c:pt>
                <c:pt idx="477">
                  <c:v>88268</c:v>
                </c:pt>
                <c:pt idx="478">
                  <c:v>47989</c:v>
                </c:pt>
                <c:pt idx="479">
                  <c:v>65142</c:v>
                </c:pt>
                <c:pt idx="480">
                  <c:v>116378</c:v>
                </c:pt>
                <c:pt idx="481">
                  <c:v>38652</c:v>
                </c:pt>
                <c:pt idx="482">
                  <c:v>30492</c:v>
                </c:pt>
                <c:pt idx="483">
                  <c:v>59108</c:v>
                </c:pt>
                <c:pt idx="484">
                  <c:v>56374</c:v>
                </c:pt>
                <c:pt idx="485">
                  <c:v>106345</c:v>
                </c:pt>
                <c:pt idx="486">
                  <c:v>45024</c:v>
                </c:pt>
                <c:pt idx="487">
                  <c:v>84686</c:v>
                </c:pt>
                <c:pt idx="488">
                  <c:v>53164</c:v>
                </c:pt>
                <c:pt idx="489">
                  <c:v>105994</c:v>
                </c:pt>
                <c:pt idx="490">
                  <c:v>84764</c:v>
                </c:pt>
                <c:pt idx="491">
                  <c:v>53503</c:v>
                </c:pt>
                <c:pt idx="492">
                  <c:v>115537</c:v>
                </c:pt>
                <c:pt idx="493">
                  <c:v>30738</c:v>
                </c:pt>
                <c:pt idx="494">
                  <c:v>130443</c:v>
                </c:pt>
                <c:pt idx="495">
                  <c:v>74198</c:v>
                </c:pt>
                <c:pt idx="496">
                  <c:v>62582</c:v>
                </c:pt>
                <c:pt idx="497">
                  <c:v>92798</c:v>
                </c:pt>
                <c:pt idx="498">
                  <c:v>53069</c:v>
                </c:pt>
                <c:pt idx="499">
                  <c:v>71987</c:v>
                </c:pt>
                <c:pt idx="500">
                  <c:v>64229</c:v>
                </c:pt>
                <c:pt idx="501">
                  <c:v>56547</c:v>
                </c:pt>
                <c:pt idx="502">
                  <c:v>76842</c:v>
                </c:pt>
                <c:pt idx="503">
                  <c:v>145028</c:v>
                </c:pt>
                <c:pt idx="504">
                  <c:v>143612</c:v>
                </c:pt>
                <c:pt idx="505">
                  <c:v>58692</c:v>
                </c:pt>
                <c:pt idx="506">
                  <c:v>37547</c:v>
                </c:pt>
                <c:pt idx="507">
                  <c:v>81964</c:v>
                </c:pt>
                <c:pt idx="508">
                  <c:v>42089</c:v>
                </c:pt>
                <c:pt idx="509">
                  <c:v>149578</c:v>
                </c:pt>
                <c:pt idx="510">
                  <c:v>111784</c:v>
                </c:pt>
                <c:pt idx="511">
                  <c:v>59566</c:v>
                </c:pt>
                <c:pt idx="512">
                  <c:v>120644</c:v>
                </c:pt>
                <c:pt idx="513">
                  <c:v>135627</c:v>
                </c:pt>
                <c:pt idx="514">
                  <c:v>145884</c:v>
                </c:pt>
                <c:pt idx="515">
                  <c:v>77292</c:v>
                </c:pt>
                <c:pt idx="516">
                  <c:v>106632</c:v>
                </c:pt>
                <c:pt idx="517">
                  <c:v>83467</c:v>
                </c:pt>
                <c:pt idx="518">
                  <c:v>112212</c:v>
                </c:pt>
                <c:pt idx="519">
                  <c:v>97355</c:v>
                </c:pt>
                <c:pt idx="520">
                  <c:v>97909</c:v>
                </c:pt>
                <c:pt idx="521">
                  <c:v>73059</c:v>
                </c:pt>
                <c:pt idx="522">
                  <c:v>82140</c:v>
                </c:pt>
                <c:pt idx="523">
                  <c:v>113706</c:v>
                </c:pt>
                <c:pt idx="524">
                  <c:v>45562</c:v>
                </c:pt>
                <c:pt idx="525">
                  <c:v>57107</c:v>
                </c:pt>
                <c:pt idx="526">
                  <c:v>32539</c:v>
                </c:pt>
                <c:pt idx="527">
                  <c:v>46368</c:v>
                </c:pt>
                <c:pt idx="528">
                  <c:v>128064</c:v>
                </c:pt>
                <c:pt idx="529">
                  <c:v>129592</c:v>
                </c:pt>
                <c:pt idx="530">
                  <c:v>65498</c:v>
                </c:pt>
                <c:pt idx="531">
                  <c:v>111493</c:v>
                </c:pt>
                <c:pt idx="532">
                  <c:v>114390</c:v>
                </c:pt>
                <c:pt idx="533">
                  <c:v>48802</c:v>
                </c:pt>
                <c:pt idx="534">
                  <c:v>133888</c:v>
                </c:pt>
                <c:pt idx="535">
                  <c:v>87884</c:v>
                </c:pt>
                <c:pt idx="536">
                  <c:v>78149</c:v>
                </c:pt>
                <c:pt idx="537">
                  <c:v>65337</c:v>
                </c:pt>
                <c:pt idx="538">
                  <c:v>33018</c:v>
                </c:pt>
                <c:pt idx="539">
                  <c:v>85473</c:v>
                </c:pt>
                <c:pt idx="540">
                  <c:v>43138</c:v>
                </c:pt>
                <c:pt idx="541">
                  <c:v>85309</c:v>
                </c:pt>
                <c:pt idx="542">
                  <c:v>73466</c:v>
                </c:pt>
                <c:pt idx="543">
                  <c:v>90557</c:v>
                </c:pt>
                <c:pt idx="544">
                  <c:v>40936</c:v>
                </c:pt>
                <c:pt idx="545">
                  <c:v>75926</c:v>
                </c:pt>
                <c:pt idx="546">
                  <c:v>105024</c:v>
                </c:pt>
                <c:pt idx="547">
                  <c:v>37993</c:v>
                </c:pt>
                <c:pt idx="548">
                  <c:v>55515</c:v>
                </c:pt>
                <c:pt idx="549">
                  <c:v>40385</c:v>
                </c:pt>
                <c:pt idx="550">
                  <c:v>122472</c:v>
                </c:pt>
                <c:pt idx="551">
                  <c:v>98771</c:v>
                </c:pt>
                <c:pt idx="552">
                  <c:v>66495</c:v>
                </c:pt>
                <c:pt idx="553">
                  <c:v>48896</c:v>
                </c:pt>
                <c:pt idx="554">
                  <c:v>48383</c:v>
                </c:pt>
                <c:pt idx="555">
                  <c:v>117432</c:v>
                </c:pt>
                <c:pt idx="556">
                  <c:v>54819</c:v>
                </c:pt>
                <c:pt idx="557">
                  <c:v>129611</c:v>
                </c:pt>
                <c:pt idx="558">
                  <c:v>50518</c:v>
                </c:pt>
                <c:pt idx="559">
                  <c:v>126598</c:v>
                </c:pt>
                <c:pt idx="560">
                  <c:v>37003</c:v>
                </c:pt>
                <c:pt idx="561">
                  <c:v>81837</c:v>
                </c:pt>
                <c:pt idx="562">
                  <c:v>145117</c:v>
                </c:pt>
                <c:pt idx="563">
                  <c:v>77411</c:v>
                </c:pt>
                <c:pt idx="564">
                  <c:v>84380</c:v>
                </c:pt>
                <c:pt idx="565">
                  <c:v>140349</c:v>
                </c:pt>
                <c:pt idx="566">
                  <c:v>118622</c:v>
                </c:pt>
                <c:pt idx="567">
                  <c:v>51327</c:v>
                </c:pt>
                <c:pt idx="568">
                  <c:v>136827</c:v>
                </c:pt>
                <c:pt idx="569">
                  <c:v>72108</c:v>
                </c:pt>
                <c:pt idx="570">
                  <c:v>113760</c:v>
                </c:pt>
                <c:pt idx="571">
                  <c:v>109039</c:v>
                </c:pt>
                <c:pt idx="572">
                  <c:v>113794</c:v>
                </c:pt>
                <c:pt idx="573">
                  <c:v>61090</c:v>
                </c:pt>
                <c:pt idx="574">
                  <c:v>53345</c:v>
                </c:pt>
                <c:pt idx="575">
                  <c:v>98150</c:v>
                </c:pt>
                <c:pt idx="576">
                  <c:v>62024</c:v>
                </c:pt>
                <c:pt idx="577">
                  <c:v>50215</c:v>
                </c:pt>
                <c:pt idx="578">
                  <c:v>102269</c:v>
                </c:pt>
                <c:pt idx="579">
                  <c:v>108744</c:v>
                </c:pt>
                <c:pt idx="580">
                  <c:v>141667</c:v>
                </c:pt>
                <c:pt idx="581">
                  <c:v>85972</c:v>
                </c:pt>
                <c:pt idx="582">
                  <c:v>51398</c:v>
                </c:pt>
                <c:pt idx="583">
                  <c:v>114762</c:v>
                </c:pt>
                <c:pt idx="584">
                  <c:v>45781</c:v>
                </c:pt>
                <c:pt idx="585">
                  <c:v>80686</c:v>
                </c:pt>
                <c:pt idx="586">
                  <c:v>140475</c:v>
                </c:pt>
                <c:pt idx="587">
                  <c:v>44597</c:v>
                </c:pt>
                <c:pt idx="588">
                  <c:v>114874</c:v>
                </c:pt>
                <c:pt idx="589">
                  <c:v>69791</c:v>
                </c:pt>
                <c:pt idx="590">
                  <c:v>73723</c:v>
                </c:pt>
                <c:pt idx="591">
                  <c:v>88975</c:v>
                </c:pt>
                <c:pt idx="592">
                  <c:v>35122</c:v>
                </c:pt>
                <c:pt idx="593">
                  <c:v>120195</c:v>
                </c:pt>
                <c:pt idx="594">
                  <c:v>113532</c:v>
                </c:pt>
                <c:pt idx="595">
                  <c:v>146269</c:v>
                </c:pt>
                <c:pt idx="596">
                  <c:v>87909</c:v>
                </c:pt>
                <c:pt idx="597">
                  <c:v>40932</c:v>
                </c:pt>
                <c:pt idx="598">
                  <c:v>119492</c:v>
                </c:pt>
                <c:pt idx="599">
                  <c:v>106771</c:v>
                </c:pt>
                <c:pt idx="600">
                  <c:v>141567</c:v>
                </c:pt>
                <c:pt idx="601">
                  <c:v>69502</c:v>
                </c:pt>
                <c:pt idx="602">
                  <c:v>30969</c:v>
                </c:pt>
                <c:pt idx="603">
                  <c:v>117520</c:v>
                </c:pt>
                <c:pt idx="604">
                  <c:v>128667</c:v>
                </c:pt>
                <c:pt idx="605">
                  <c:v>109221</c:v>
                </c:pt>
                <c:pt idx="606">
                  <c:v>38209</c:v>
                </c:pt>
                <c:pt idx="607">
                  <c:v>82057</c:v>
                </c:pt>
                <c:pt idx="608">
                  <c:v>80264</c:v>
                </c:pt>
                <c:pt idx="609">
                  <c:v>83578</c:v>
                </c:pt>
                <c:pt idx="610">
                  <c:v>81794</c:v>
                </c:pt>
                <c:pt idx="611">
                  <c:v>49607</c:v>
                </c:pt>
                <c:pt idx="612">
                  <c:v>45092</c:v>
                </c:pt>
                <c:pt idx="613">
                  <c:v>117157</c:v>
                </c:pt>
                <c:pt idx="614">
                  <c:v>102834</c:v>
                </c:pt>
                <c:pt idx="615">
                  <c:v>81037</c:v>
                </c:pt>
                <c:pt idx="616">
                  <c:v>67237</c:v>
                </c:pt>
                <c:pt idx="617">
                  <c:v>122987</c:v>
                </c:pt>
                <c:pt idx="618">
                  <c:v>90389</c:v>
                </c:pt>
                <c:pt idx="619">
                  <c:v>138064</c:v>
                </c:pt>
                <c:pt idx="620">
                  <c:v>78653</c:v>
                </c:pt>
                <c:pt idx="621">
                  <c:v>146312</c:v>
                </c:pt>
                <c:pt idx="622">
                  <c:v>123680</c:v>
                </c:pt>
                <c:pt idx="623">
                  <c:v>59408</c:v>
                </c:pt>
                <c:pt idx="624">
                  <c:v>109506</c:v>
                </c:pt>
                <c:pt idx="625">
                  <c:v>31806</c:v>
                </c:pt>
                <c:pt idx="626">
                  <c:v>93783</c:v>
                </c:pt>
                <c:pt idx="627">
                  <c:v>127086</c:v>
                </c:pt>
                <c:pt idx="628">
                  <c:v>133538</c:v>
                </c:pt>
                <c:pt idx="629">
                  <c:v>52480</c:v>
                </c:pt>
                <c:pt idx="630">
                  <c:v>109583</c:v>
                </c:pt>
                <c:pt idx="631">
                  <c:v>86856</c:v>
                </c:pt>
                <c:pt idx="632">
                  <c:v>45827</c:v>
                </c:pt>
                <c:pt idx="633">
                  <c:v>115366</c:v>
                </c:pt>
                <c:pt idx="634">
                  <c:v>95656</c:v>
                </c:pt>
                <c:pt idx="635">
                  <c:v>135713</c:v>
                </c:pt>
                <c:pt idx="636">
                  <c:v>35218</c:v>
                </c:pt>
                <c:pt idx="637">
                  <c:v>92363</c:v>
                </c:pt>
                <c:pt idx="638">
                  <c:v>84664</c:v>
                </c:pt>
                <c:pt idx="639">
                  <c:v>35406</c:v>
                </c:pt>
                <c:pt idx="640">
                  <c:v>80320</c:v>
                </c:pt>
                <c:pt idx="641">
                  <c:v>93926</c:v>
                </c:pt>
                <c:pt idx="642">
                  <c:v>37713</c:v>
                </c:pt>
                <c:pt idx="643">
                  <c:v>86268</c:v>
                </c:pt>
                <c:pt idx="644">
                  <c:v>142251</c:v>
                </c:pt>
                <c:pt idx="645">
                  <c:v>138199</c:v>
                </c:pt>
                <c:pt idx="646">
                  <c:v>126571</c:v>
                </c:pt>
                <c:pt idx="647">
                  <c:v>120083</c:v>
                </c:pt>
                <c:pt idx="648">
                  <c:v>42390</c:v>
                </c:pt>
                <c:pt idx="649">
                  <c:v>142641</c:v>
                </c:pt>
                <c:pt idx="650">
                  <c:v>137280</c:v>
                </c:pt>
                <c:pt idx="651">
                  <c:v>100338</c:v>
                </c:pt>
                <c:pt idx="652">
                  <c:v>108533</c:v>
                </c:pt>
                <c:pt idx="653">
                  <c:v>134923</c:v>
                </c:pt>
                <c:pt idx="654">
                  <c:v>106635</c:v>
                </c:pt>
                <c:pt idx="655">
                  <c:v>92601</c:v>
                </c:pt>
                <c:pt idx="656">
                  <c:v>147903</c:v>
                </c:pt>
                <c:pt idx="657">
                  <c:v>55695</c:v>
                </c:pt>
                <c:pt idx="658">
                  <c:v>96499</c:v>
                </c:pt>
                <c:pt idx="659">
                  <c:v>143678</c:v>
                </c:pt>
                <c:pt idx="660">
                  <c:v>122371</c:v>
                </c:pt>
                <c:pt idx="661">
                  <c:v>95862</c:v>
                </c:pt>
                <c:pt idx="662">
                  <c:v>41072</c:v>
                </c:pt>
                <c:pt idx="663">
                  <c:v>115974</c:v>
                </c:pt>
                <c:pt idx="664">
                  <c:v>36577</c:v>
                </c:pt>
                <c:pt idx="665">
                  <c:v>67912</c:v>
                </c:pt>
                <c:pt idx="666">
                  <c:v>72651</c:v>
                </c:pt>
                <c:pt idx="667">
                  <c:v>66264</c:v>
                </c:pt>
                <c:pt idx="668">
                  <c:v>66886</c:v>
                </c:pt>
                <c:pt idx="669">
                  <c:v>74985</c:v>
                </c:pt>
                <c:pt idx="670">
                  <c:v>129367</c:v>
                </c:pt>
                <c:pt idx="671">
                  <c:v>108344</c:v>
                </c:pt>
                <c:pt idx="672">
                  <c:v>43031</c:v>
                </c:pt>
                <c:pt idx="673">
                  <c:v>91845</c:v>
                </c:pt>
                <c:pt idx="674">
                  <c:v>61376</c:v>
                </c:pt>
                <c:pt idx="675">
                  <c:v>149723</c:v>
                </c:pt>
                <c:pt idx="676">
                  <c:v>30523</c:v>
                </c:pt>
                <c:pt idx="677">
                  <c:v>44555</c:v>
                </c:pt>
                <c:pt idx="678">
                  <c:v>37014</c:v>
                </c:pt>
                <c:pt idx="679">
                  <c:v>134487</c:v>
                </c:pt>
                <c:pt idx="680">
                  <c:v>94218</c:v>
                </c:pt>
                <c:pt idx="681">
                  <c:v>75118</c:v>
                </c:pt>
                <c:pt idx="682">
                  <c:v>91682</c:v>
                </c:pt>
                <c:pt idx="683">
                  <c:v>45695</c:v>
                </c:pt>
                <c:pt idx="684">
                  <c:v>87461</c:v>
                </c:pt>
                <c:pt idx="685">
                  <c:v>82519</c:v>
                </c:pt>
                <c:pt idx="686">
                  <c:v>70721</c:v>
                </c:pt>
                <c:pt idx="687">
                  <c:v>45136</c:v>
                </c:pt>
                <c:pt idx="688">
                  <c:v>102944</c:v>
                </c:pt>
                <c:pt idx="689">
                  <c:v>131101</c:v>
                </c:pt>
                <c:pt idx="690">
                  <c:v>40676</c:v>
                </c:pt>
                <c:pt idx="691">
                  <c:v>116124</c:v>
                </c:pt>
                <c:pt idx="692">
                  <c:v>82613</c:v>
                </c:pt>
                <c:pt idx="693">
                  <c:v>104517</c:v>
                </c:pt>
                <c:pt idx="694">
                  <c:v>79721</c:v>
                </c:pt>
                <c:pt idx="695">
                  <c:v>103766</c:v>
                </c:pt>
                <c:pt idx="696">
                  <c:v>111754</c:v>
                </c:pt>
                <c:pt idx="697">
                  <c:v>32512</c:v>
                </c:pt>
                <c:pt idx="698">
                  <c:v>104337</c:v>
                </c:pt>
                <c:pt idx="699">
                  <c:v>56125</c:v>
                </c:pt>
                <c:pt idx="700">
                  <c:v>124416</c:v>
                </c:pt>
                <c:pt idx="701">
                  <c:v>51355</c:v>
                </c:pt>
                <c:pt idx="702">
                  <c:v>108356</c:v>
                </c:pt>
                <c:pt idx="703">
                  <c:v>114972</c:v>
                </c:pt>
                <c:pt idx="704">
                  <c:v>136141</c:v>
                </c:pt>
                <c:pt idx="705">
                  <c:v>130474</c:v>
                </c:pt>
                <c:pt idx="706">
                  <c:v>110174</c:v>
                </c:pt>
                <c:pt idx="707">
                  <c:v>119075</c:v>
                </c:pt>
                <c:pt idx="708">
                  <c:v>70967</c:v>
                </c:pt>
                <c:pt idx="709">
                  <c:v>98213</c:v>
                </c:pt>
                <c:pt idx="710">
                  <c:v>105731</c:v>
                </c:pt>
                <c:pt idx="711">
                  <c:v>69782</c:v>
                </c:pt>
                <c:pt idx="712">
                  <c:v>104435</c:v>
                </c:pt>
                <c:pt idx="713">
                  <c:v>104781</c:v>
                </c:pt>
                <c:pt idx="714">
                  <c:v>96845</c:v>
                </c:pt>
                <c:pt idx="715">
                  <c:v>58668</c:v>
                </c:pt>
                <c:pt idx="716">
                  <c:v>51471</c:v>
                </c:pt>
                <c:pt idx="717">
                  <c:v>57932</c:v>
                </c:pt>
                <c:pt idx="718">
                  <c:v>93861</c:v>
                </c:pt>
                <c:pt idx="719">
                  <c:v>54256</c:v>
                </c:pt>
                <c:pt idx="720">
                  <c:v>41917</c:v>
                </c:pt>
                <c:pt idx="721">
                  <c:v>83912</c:v>
                </c:pt>
                <c:pt idx="722">
                  <c:v>63444</c:v>
                </c:pt>
                <c:pt idx="723">
                  <c:v>145746</c:v>
                </c:pt>
                <c:pt idx="724">
                  <c:v>60489</c:v>
                </c:pt>
                <c:pt idx="725">
                  <c:v>67704</c:v>
                </c:pt>
                <c:pt idx="726">
                  <c:v>89855</c:v>
                </c:pt>
                <c:pt idx="727">
                  <c:v>56466</c:v>
                </c:pt>
                <c:pt idx="728">
                  <c:v>108833</c:v>
                </c:pt>
                <c:pt idx="729">
                  <c:v>129687</c:v>
                </c:pt>
                <c:pt idx="730">
                  <c:v>97756</c:v>
                </c:pt>
                <c:pt idx="731">
                  <c:v>123481</c:v>
                </c:pt>
                <c:pt idx="732">
                  <c:v>78001</c:v>
                </c:pt>
                <c:pt idx="733">
                  <c:v>58486</c:v>
                </c:pt>
                <c:pt idx="734">
                  <c:v>81244</c:v>
                </c:pt>
                <c:pt idx="735">
                  <c:v>76811</c:v>
                </c:pt>
                <c:pt idx="736">
                  <c:v>90561</c:v>
                </c:pt>
                <c:pt idx="737">
                  <c:v>61376</c:v>
                </c:pt>
                <c:pt idx="738">
                  <c:v>128481</c:v>
                </c:pt>
                <c:pt idx="739">
                  <c:v>76606</c:v>
                </c:pt>
                <c:pt idx="740">
                  <c:v>127950</c:v>
                </c:pt>
                <c:pt idx="741">
                  <c:v>51646</c:v>
                </c:pt>
                <c:pt idx="742">
                  <c:v>60763</c:v>
                </c:pt>
                <c:pt idx="743">
                  <c:v>41544</c:v>
                </c:pt>
                <c:pt idx="744">
                  <c:v>135440</c:v>
                </c:pt>
                <c:pt idx="745">
                  <c:v>72193</c:v>
                </c:pt>
                <c:pt idx="746">
                  <c:v>42201</c:v>
                </c:pt>
                <c:pt idx="747">
                  <c:v>51736</c:v>
                </c:pt>
                <c:pt idx="748">
                  <c:v>60808</c:v>
                </c:pt>
                <c:pt idx="749">
                  <c:v>51913</c:v>
                </c:pt>
                <c:pt idx="750">
                  <c:v>79546</c:v>
                </c:pt>
                <c:pt idx="751">
                  <c:v>125479</c:v>
                </c:pt>
                <c:pt idx="752">
                  <c:v>99342</c:v>
                </c:pt>
                <c:pt idx="753">
                  <c:v>146519</c:v>
                </c:pt>
                <c:pt idx="754">
                  <c:v>112452</c:v>
                </c:pt>
                <c:pt idx="755">
                  <c:v>148542</c:v>
                </c:pt>
                <c:pt idx="756">
                  <c:v>115569</c:v>
                </c:pt>
                <c:pt idx="757">
                  <c:v>112072</c:v>
                </c:pt>
                <c:pt idx="758">
                  <c:v>99638</c:v>
                </c:pt>
                <c:pt idx="759">
                  <c:v>48155</c:v>
                </c:pt>
                <c:pt idx="760">
                  <c:v>102050</c:v>
                </c:pt>
                <c:pt idx="761">
                  <c:v>39509</c:v>
                </c:pt>
                <c:pt idx="762">
                  <c:v>82014</c:v>
                </c:pt>
                <c:pt idx="763">
                  <c:v>33665</c:v>
                </c:pt>
                <c:pt idx="764">
                  <c:v>88312</c:v>
                </c:pt>
                <c:pt idx="765">
                  <c:v>41542</c:v>
                </c:pt>
                <c:pt idx="766">
                  <c:v>124599</c:v>
                </c:pt>
                <c:pt idx="767">
                  <c:v>121975</c:v>
                </c:pt>
                <c:pt idx="768">
                  <c:v>39931</c:v>
                </c:pt>
                <c:pt idx="769">
                  <c:v>106147</c:v>
                </c:pt>
                <c:pt idx="770">
                  <c:v>96182</c:v>
                </c:pt>
                <c:pt idx="771">
                  <c:v>64634</c:v>
                </c:pt>
                <c:pt idx="772">
                  <c:v>58367</c:v>
                </c:pt>
                <c:pt idx="773">
                  <c:v>69790</c:v>
                </c:pt>
                <c:pt idx="774">
                  <c:v>117737</c:v>
                </c:pt>
                <c:pt idx="775">
                  <c:v>75974</c:v>
                </c:pt>
                <c:pt idx="776">
                  <c:v>111261</c:v>
                </c:pt>
                <c:pt idx="777">
                  <c:v>43069</c:v>
                </c:pt>
                <c:pt idx="778">
                  <c:v>46900</c:v>
                </c:pt>
                <c:pt idx="779">
                  <c:v>110280</c:v>
                </c:pt>
                <c:pt idx="780">
                  <c:v>40478</c:v>
                </c:pt>
                <c:pt idx="781">
                  <c:v>52403</c:v>
                </c:pt>
                <c:pt idx="782">
                  <c:v>59815</c:v>
                </c:pt>
                <c:pt idx="783">
                  <c:v>143338</c:v>
                </c:pt>
                <c:pt idx="784">
                  <c:v>46610</c:v>
                </c:pt>
                <c:pt idx="785">
                  <c:v>149744</c:v>
                </c:pt>
                <c:pt idx="786">
                  <c:v>137854</c:v>
                </c:pt>
                <c:pt idx="787">
                  <c:v>108766</c:v>
                </c:pt>
                <c:pt idx="788">
                  <c:v>67979</c:v>
                </c:pt>
                <c:pt idx="789">
                  <c:v>76658</c:v>
                </c:pt>
                <c:pt idx="790">
                  <c:v>48169</c:v>
                </c:pt>
                <c:pt idx="791">
                  <c:v>146159</c:v>
                </c:pt>
                <c:pt idx="792">
                  <c:v>142450</c:v>
                </c:pt>
                <c:pt idx="793">
                  <c:v>52855</c:v>
                </c:pt>
                <c:pt idx="794">
                  <c:v>64288</c:v>
                </c:pt>
                <c:pt idx="795">
                  <c:v>58696</c:v>
                </c:pt>
                <c:pt idx="796">
                  <c:v>70099</c:v>
                </c:pt>
                <c:pt idx="797">
                  <c:v>123947</c:v>
                </c:pt>
                <c:pt idx="798">
                  <c:v>58656</c:v>
                </c:pt>
                <c:pt idx="799">
                  <c:v>115734</c:v>
                </c:pt>
                <c:pt idx="800">
                  <c:v>34901</c:v>
                </c:pt>
                <c:pt idx="801">
                  <c:v>68147</c:v>
                </c:pt>
                <c:pt idx="802">
                  <c:v>106629</c:v>
                </c:pt>
                <c:pt idx="803">
                  <c:v>68764</c:v>
                </c:pt>
                <c:pt idx="804">
                  <c:v>63123</c:v>
                </c:pt>
                <c:pt idx="805">
                  <c:v>40595</c:v>
                </c:pt>
                <c:pt idx="806">
                  <c:v>133264</c:v>
                </c:pt>
                <c:pt idx="807">
                  <c:v>122557</c:v>
                </c:pt>
                <c:pt idx="808">
                  <c:v>89618</c:v>
                </c:pt>
                <c:pt idx="809">
                  <c:v>45458</c:v>
                </c:pt>
                <c:pt idx="810">
                  <c:v>53091</c:v>
                </c:pt>
                <c:pt idx="811">
                  <c:v>45164</c:v>
                </c:pt>
                <c:pt idx="812">
                  <c:v>56429</c:v>
                </c:pt>
                <c:pt idx="813">
                  <c:v>99054</c:v>
                </c:pt>
                <c:pt idx="814">
                  <c:v>72885</c:v>
                </c:pt>
                <c:pt idx="815">
                  <c:v>74773</c:v>
                </c:pt>
                <c:pt idx="816">
                  <c:v>40471</c:v>
                </c:pt>
                <c:pt idx="817">
                  <c:v>90420</c:v>
                </c:pt>
                <c:pt idx="818">
                  <c:v>140621</c:v>
                </c:pt>
                <c:pt idx="819">
                  <c:v>45839</c:v>
                </c:pt>
                <c:pt idx="820">
                  <c:v>45733</c:v>
                </c:pt>
                <c:pt idx="821">
                  <c:v>81595</c:v>
                </c:pt>
                <c:pt idx="822">
                  <c:v>85111</c:v>
                </c:pt>
                <c:pt idx="823">
                  <c:v>127346</c:v>
                </c:pt>
                <c:pt idx="824">
                  <c:v>66376</c:v>
                </c:pt>
                <c:pt idx="825">
                  <c:v>147187</c:v>
                </c:pt>
                <c:pt idx="826">
                  <c:v>81695</c:v>
                </c:pt>
                <c:pt idx="827">
                  <c:v>69795</c:v>
                </c:pt>
                <c:pt idx="828">
                  <c:v>130300</c:v>
                </c:pt>
                <c:pt idx="829">
                  <c:v>147024</c:v>
                </c:pt>
                <c:pt idx="830">
                  <c:v>92156</c:v>
                </c:pt>
                <c:pt idx="831">
                  <c:v>147572</c:v>
                </c:pt>
                <c:pt idx="832">
                  <c:v>125501</c:v>
                </c:pt>
                <c:pt idx="833">
                  <c:v>31451</c:v>
                </c:pt>
                <c:pt idx="834">
                  <c:v>49020</c:v>
                </c:pt>
                <c:pt idx="835">
                  <c:v>57745</c:v>
                </c:pt>
                <c:pt idx="836">
                  <c:v>78296</c:v>
                </c:pt>
                <c:pt idx="837">
                  <c:v>76995</c:v>
                </c:pt>
                <c:pt idx="838">
                  <c:v>62971</c:v>
                </c:pt>
                <c:pt idx="839">
                  <c:v>57260</c:v>
                </c:pt>
                <c:pt idx="840">
                  <c:v>114587</c:v>
                </c:pt>
                <c:pt idx="841">
                  <c:v>148694</c:v>
                </c:pt>
                <c:pt idx="842">
                  <c:v>54571</c:v>
                </c:pt>
                <c:pt idx="843">
                  <c:v>130938</c:v>
                </c:pt>
                <c:pt idx="844">
                  <c:v>30751</c:v>
                </c:pt>
                <c:pt idx="845">
                  <c:v>56110</c:v>
                </c:pt>
                <c:pt idx="846">
                  <c:v>105658</c:v>
                </c:pt>
                <c:pt idx="847">
                  <c:v>100053</c:v>
                </c:pt>
                <c:pt idx="848">
                  <c:v>96260</c:v>
                </c:pt>
                <c:pt idx="849">
                  <c:v>100832</c:v>
                </c:pt>
                <c:pt idx="850">
                  <c:v>95033</c:v>
                </c:pt>
                <c:pt idx="851">
                  <c:v>46563</c:v>
                </c:pt>
                <c:pt idx="852">
                  <c:v>137836</c:v>
                </c:pt>
                <c:pt idx="853">
                  <c:v>43308</c:v>
                </c:pt>
                <c:pt idx="854">
                  <c:v>41730</c:v>
                </c:pt>
                <c:pt idx="855">
                  <c:v>58144</c:v>
                </c:pt>
                <c:pt idx="856">
                  <c:v>103063</c:v>
                </c:pt>
                <c:pt idx="857">
                  <c:v>31458</c:v>
                </c:pt>
                <c:pt idx="858">
                  <c:v>149256</c:v>
                </c:pt>
                <c:pt idx="859">
                  <c:v>71227</c:v>
                </c:pt>
                <c:pt idx="860">
                  <c:v>144275</c:v>
                </c:pt>
                <c:pt idx="861">
                  <c:v>38271</c:v>
                </c:pt>
                <c:pt idx="862">
                  <c:v>96762</c:v>
                </c:pt>
                <c:pt idx="863">
                  <c:v>97989</c:v>
                </c:pt>
                <c:pt idx="864">
                  <c:v>122669</c:v>
                </c:pt>
                <c:pt idx="865">
                  <c:v>114408</c:v>
                </c:pt>
                <c:pt idx="866">
                  <c:v>113174</c:v>
                </c:pt>
                <c:pt idx="867">
                  <c:v>42499</c:v>
                </c:pt>
                <c:pt idx="868">
                  <c:v>43545</c:v>
                </c:pt>
                <c:pt idx="869">
                  <c:v>76416</c:v>
                </c:pt>
                <c:pt idx="870">
                  <c:v>136320</c:v>
                </c:pt>
                <c:pt idx="871">
                  <c:v>119083</c:v>
                </c:pt>
                <c:pt idx="872">
                  <c:v>50944</c:v>
                </c:pt>
                <c:pt idx="873">
                  <c:v>111050</c:v>
                </c:pt>
                <c:pt idx="874">
                  <c:v>88366</c:v>
                </c:pt>
                <c:pt idx="875">
                  <c:v>45432</c:v>
                </c:pt>
                <c:pt idx="876">
                  <c:v>121358</c:v>
                </c:pt>
                <c:pt idx="877">
                  <c:v>57615</c:v>
                </c:pt>
                <c:pt idx="878">
                  <c:v>55154</c:v>
                </c:pt>
                <c:pt idx="879">
                  <c:v>140081</c:v>
                </c:pt>
                <c:pt idx="880">
                  <c:v>117203</c:v>
                </c:pt>
                <c:pt idx="881">
                  <c:v>64799</c:v>
                </c:pt>
                <c:pt idx="882">
                  <c:v>113695</c:v>
                </c:pt>
                <c:pt idx="883">
                  <c:v>78852</c:v>
                </c:pt>
                <c:pt idx="884">
                  <c:v>126573</c:v>
                </c:pt>
                <c:pt idx="885">
                  <c:v>36140</c:v>
                </c:pt>
                <c:pt idx="886">
                  <c:v>50680</c:v>
                </c:pt>
                <c:pt idx="887">
                  <c:v>73464</c:v>
                </c:pt>
                <c:pt idx="888">
                  <c:v>75392</c:v>
                </c:pt>
                <c:pt idx="889">
                  <c:v>61290</c:v>
                </c:pt>
                <c:pt idx="890">
                  <c:v>96082</c:v>
                </c:pt>
                <c:pt idx="891">
                  <c:v>85476</c:v>
                </c:pt>
                <c:pt idx="892">
                  <c:v>112198</c:v>
                </c:pt>
                <c:pt idx="893">
                  <c:v>139387</c:v>
                </c:pt>
                <c:pt idx="894">
                  <c:v>79992</c:v>
                </c:pt>
                <c:pt idx="895">
                  <c:v>87807</c:v>
                </c:pt>
                <c:pt idx="896">
                  <c:v>99427</c:v>
                </c:pt>
                <c:pt idx="897">
                  <c:v>59496</c:v>
                </c:pt>
                <c:pt idx="898">
                  <c:v>142407</c:v>
                </c:pt>
                <c:pt idx="899">
                  <c:v>78309</c:v>
                </c:pt>
                <c:pt idx="900">
                  <c:v>131607</c:v>
                </c:pt>
                <c:pt idx="901">
                  <c:v>100290</c:v>
                </c:pt>
                <c:pt idx="902">
                  <c:v>120561</c:v>
                </c:pt>
                <c:pt idx="903">
                  <c:v>78097</c:v>
                </c:pt>
                <c:pt idx="904">
                  <c:v>51990</c:v>
                </c:pt>
                <c:pt idx="905">
                  <c:v>117782</c:v>
                </c:pt>
                <c:pt idx="906">
                  <c:v>58930</c:v>
                </c:pt>
                <c:pt idx="907">
                  <c:v>81766</c:v>
                </c:pt>
                <c:pt idx="908">
                  <c:v>113240</c:v>
                </c:pt>
                <c:pt idx="909">
                  <c:v>70050</c:v>
                </c:pt>
                <c:pt idx="910">
                  <c:v>83445</c:v>
                </c:pt>
                <c:pt idx="911">
                  <c:v>121498</c:v>
                </c:pt>
                <c:pt idx="912">
                  <c:v>82034</c:v>
                </c:pt>
                <c:pt idx="913">
                  <c:v>146546</c:v>
                </c:pt>
                <c:pt idx="914">
                  <c:v>96066</c:v>
                </c:pt>
                <c:pt idx="915">
                  <c:v>41748</c:v>
                </c:pt>
                <c:pt idx="916">
                  <c:v>134743</c:v>
                </c:pt>
                <c:pt idx="917">
                  <c:v>56381</c:v>
                </c:pt>
                <c:pt idx="918">
                  <c:v>118116</c:v>
                </c:pt>
                <c:pt idx="919">
                  <c:v>104033</c:v>
                </c:pt>
                <c:pt idx="920">
                  <c:v>61826</c:v>
                </c:pt>
                <c:pt idx="921">
                  <c:v>121652</c:v>
                </c:pt>
                <c:pt idx="922">
                  <c:v>57845</c:v>
                </c:pt>
                <c:pt idx="923">
                  <c:v>78858</c:v>
                </c:pt>
                <c:pt idx="924">
                  <c:v>111697</c:v>
                </c:pt>
                <c:pt idx="925">
                  <c:v>71688</c:v>
                </c:pt>
                <c:pt idx="926">
                  <c:v>42378</c:v>
                </c:pt>
                <c:pt idx="927">
                  <c:v>65576</c:v>
                </c:pt>
                <c:pt idx="928">
                  <c:v>53805</c:v>
                </c:pt>
                <c:pt idx="929">
                  <c:v>30074</c:v>
                </c:pt>
                <c:pt idx="930">
                  <c:v>104036</c:v>
                </c:pt>
                <c:pt idx="931">
                  <c:v>101759</c:v>
                </c:pt>
                <c:pt idx="932">
                  <c:v>127542</c:v>
                </c:pt>
                <c:pt idx="933">
                  <c:v>74331</c:v>
                </c:pt>
                <c:pt idx="934">
                  <c:v>147962</c:v>
                </c:pt>
                <c:pt idx="935">
                  <c:v>89856</c:v>
                </c:pt>
                <c:pt idx="936">
                  <c:v>97565</c:v>
                </c:pt>
                <c:pt idx="937">
                  <c:v>90871</c:v>
                </c:pt>
                <c:pt idx="938">
                  <c:v>49336</c:v>
                </c:pt>
                <c:pt idx="939">
                  <c:v>133291</c:v>
                </c:pt>
                <c:pt idx="940">
                  <c:v>118402</c:v>
                </c:pt>
                <c:pt idx="941">
                  <c:v>130546</c:v>
                </c:pt>
                <c:pt idx="942">
                  <c:v>84460</c:v>
                </c:pt>
                <c:pt idx="943">
                  <c:v>46106</c:v>
                </c:pt>
                <c:pt idx="944">
                  <c:v>93800</c:v>
                </c:pt>
                <c:pt idx="945">
                  <c:v>105647</c:v>
                </c:pt>
                <c:pt idx="946">
                  <c:v>138529</c:v>
                </c:pt>
                <c:pt idx="947">
                  <c:v>40858</c:v>
                </c:pt>
                <c:pt idx="948">
                  <c:v>35529</c:v>
                </c:pt>
                <c:pt idx="949">
                  <c:v>113254</c:v>
                </c:pt>
                <c:pt idx="950">
                  <c:v>120616</c:v>
                </c:pt>
                <c:pt idx="951">
                  <c:v>65486</c:v>
                </c:pt>
                <c:pt idx="952">
                  <c:v>67753</c:v>
                </c:pt>
                <c:pt idx="953">
                  <c:v>90232</c:v>
                </c:pt>
                <c:pt idx="954">
                  <c:v>117704</c:v>
                </c:pt>
                <c:pt idx="955">
                  <c:v>144577</c:v>
                </c:pt>
                <c:pt idx="956">
                  <c:v>74474</c:v>
                </c:pt>
                <c:pt idx="957">
                  <c:v>126893</c:v>
                </c:pt>
                <c:pt idx="958">
                  <c:v>123168</c:v>
                </c:pt>
                <c:pt idx="959">
                  <c:v>37310</c:v>
                </c:pt>
                <c:pt idx="960">
                  <c:v>148501</c:v>
                </c:pt>
                <c:pt idx="961">
                  <c:v>53219</c:v>
                </c:pt>
                <c:pt idx="962">
                  <c:v>116106</c:v>
                </c:pt>
                <c:pt idx="963">
                  <c:v>97829</c:v>
                </c:pt>
                <c:pt idx="964">
                  <c:v>72125</c:v>
                </c:pt>
                <c:pt idx="965">
                  <c:v>93266</c:v>
                </c:pt>
                <c:pt idx="966">
                  <c:v>92888</c:v>
                </c:pt>
                <c:pt idx="967">
                  <c:v>89035</c:v>
                </c:pt>
                <c:pt idx="968">
                  <c:v>34122</c:v>
                </c:pt>
                <c:pt idx="969">
                  <c:v>135394</c:v>
                </c:pt>
                <c:pt idx="970">
                  <c:v>48576</c:v>
                </c:pt>
                <c:pt idx="971">
                  <c:v>40790</c:v>
                </c:pt>
                <c:pt idx="972">
                  <c:v>112770</c:v>
                </c:pt>
                <c:pt idx="973">
                  <c:v>141586</c:v>
                </c:pt>
                <c:pt idx="974">
                  <c:v>114281</c:v>
                </c:pt>
                <c:pt idx="975">
                  <c:v>58805</c:v>
                </c:pt>
                <c:pt idx="976">
                  <c:v>102972</c:v>
                </c:pt>
                <c:pt idx="977">
                  <c:v>128439</c:v>
                </c:pt>
                <c:pt idx="978">
                  <c:v>118123</c:v>
                </c:pt>
                <c:pt idx="979">
                  <c:v>74273</c:v>
                </c:pt>
                <c:pt idx="980">
                  <c:v>119226</c:v>
                </c:pt>
                <c:pt idx="981">
                  <c:v>108563</c:v>
                </c:pt>
                <c:pt idx="982">
                  <c:v>130875</c:v>
                </c:pt>
                <c:pt idx="983">
                  <c:v>116123</c:v>
                </c:pt>
                <c:pt idx="984">
                  <c:v>79842</c:v>
                </c:pt>
                <c:pt idx="985">
                  <c:v>78023</c:v>
                </c:pt>
                <c:pt idx="986">
                  <c:v>52575</c:v>
                </c:pt>
                <c:pt idx="987">
                  <c:v>97660</c:v>
                </c:pt>
                <c:pt idx="988">
                  <c:v>85487</c:v>
                </c:pt>
                <c:pt idx="989">
                  <c:v>96916</c:v>
                </c:pt>
                <c:pt idx="990">
                  <c:v>86142</c:v>
                </c:pt>
                <c:pt idx="991">
                  <c:v>126398</c:v>
                </c:pt>
                <c:pt idx="992">
                  <c:v>127546</c:v>
                </c:pt>
                <c:pt idx="993">
                  <c:v>59695</c:v>
                </c:pt>
                <c:pt idx="994">
                  <c:v>41126</c:v>
                </c:pt>
                <c:pt idx="995">
                  <c:v>50349</c:v>
                </c:pt>
                <c:pt idx="996">
                  <c:v>67361</c:v>
                </c:pt>
                <c:pt idx="997">
                  <c:v>91381</c:v>
                </c:pt>
                <c:pt idx="998">
                  <c:v>74055</c:v>
                </c:pt>
                <c:pt idx="999">
                  <c:v>135047</c:v>
                </c:pt>
              </c:numCache>
            </c:numRef>
          </c:xVal>
          <c:yVal>
            <c:numRef>
              <c:f>'Income_vs_Last Purchase Amount'!$J$1:$J$1001</c:f>
              <c:numCache>
                <c:formatCode>General</c:formatCode>
                <c:ptCount val="1001"/>
                <c:pt idx="0">
                  <c:v>0</c:v>
                </c:pt>
                <c:pt idx="1">
                  <c:v>915.89</c:v>
                </c:pt>
                <c:pt idx="2">
                  <c:v>454.83</c:v>
                </c:pt>
                <c:pt idx="3">
                  <c:v>799.31</c:v>
                </c:pt>
                <c:pt idx="4">
                  <c:v>98.86</c:v>
                </c:pt>
                <c:pt idx="5">
                  <c:v>713.33</c:v>
                </c:pt>
                <c:pt idx="6">
                  <c:v>165.18</c:v>
                </c:pt>
                <c:pt idx="7">
                  <c:v>753.6</c:v>
                </c:pt>
                <c:pt idx="8">
                  <c:v>686.05</c:v>
                </c:pt>
                <c:pt idx="9">
                  <c:v>755.92</c:v>
                </c:pt>
                <c:pt idx="10">
                  <c:v>633.63</c:v>
                </c:pt>
                <c:pt idx="11">
                  <c:v>451.82</c:v>
                </c:pt>
                <c:pt idx="12">
                  <c:v>755.67</c:v>
                </c:pt>
                <c:pt idx="13">
                  <c:v>553.35</c:v>
                </c:pt>
                <c:pt idx="14">
                  <c:v>18.489999999999998</c:v>
                </c:pt>
                <c:pt idx="15">
                  <c:v>82.88</c:v>
                </c:pt>
                <c:pt idx="16">
                  <c:v>624.36</c:v>
                </c:pt>
                <c:pt idx="17">
                  <c:v>410.05</c:v>
                </c:pt>
                <c:pt idx="18">
                  <c:v>436.43</c:v>
                </c:pt>
                <c:pt idx="19">
                  <c:v>956.03</c:v>
                </c:pt>
                <c:pt idx="20">
                  <c:v>345.62</c:v>
                </c:pt>
                <c:pt idx="21">
                  <c:v>21.43</c:v>
                </c:pt>
                <c:pt idx="22">
                  <c:v>98.83</c:v>
                </c:pt>
                <c:pt idx="23">
                  <c:v>937.85</c:v>
                </c:pt>
                <c:pt idx="24">
                  <c:v>265.17</c:v>
                </c:pt>
                <c:pt idx="25">
                  <c:v>239.72</c:v>
                </c:pt>
                <c:pt idx="26">
                  <c:v>533.17999999999995</c:v>
                </c:pt>
                <c:pt idx="27">
                  <c:v>617.74</c:v>
                </c:pt>
                <c:pt idx="28">
                  <c:v>329.9</c:v>
                </c:pt>
                <c:pt idx="29">
                  <c:v>362.41</c:v>
                </c:pt>
                <c:pt idx="30">
                  <c:v>789.92</c:v>
                </c:pt>
                <c:pt idx="31">
                  <c:v>817.69</c:v>
                </c:pt>
                <c:pt idx="32">
                  <c:v>371.62</c:v>
                </c:pt>
                <c:pt idx="33">
                  <c:v>994.1</c:v>
                </c:pt>
                <c:pt idx="34">
                  <c:v>693.02</c:v>
                </c:pt>
                <c:pt idx="35">
                  <c:v>964.87</c:v>
                </c:pt>
                <c:pt idx="36">
                  <c:v>819.92</c:v>
                </c:pt>
                <c:pt idx="37">
                  <c:v>845.33</c:v>
                </c:pt>
                <c:pt idx="38">
                  <c:v>422.14</c:v>
                </c:pt>
                <c:pt idx="39">
                  <c:v>390.89</c:v>
                </c:pt>
                <c:pt idx="40">
                  <c:v>626.82000000000005</c:v>
                </c:pt>
                <c:pt idx="41">
                  <c:v>486.5</c:v>
                </c:pt>
                <c:pt idx="42">
                  <c:v>930.91</c:v>
                </c:pt>
                <c:pt idx="43">
                  <c:v>237.34</c:v>
                </c:pt>
                <c:pt idx="44">
                  <c:v>415.19</c:v>
                </c:pt>
                <c:pt idx="45">
                  <c:v>131.84</c:v>
                </c:pt>
                <c:pt idx="46">
                  <c:v>490.62</c:v>
                </c:pt>
                <c:pt idx="47">
                  <c:v>741.41</c:v>
                </c:pt>
                <c:pt idx="48">
                  <c:v>232.42</c:v>
                </c:pt>
                <c:pt idx="49">
                  <c:v>94.79</c:v>
                </c:pt>
                <c:pt idx="50">
                  <c:v>954.46</c:v>
                </c:pt>
                <c:pt idx="51">
                  <c:v>596.98</c:v>
                </c:pt>
                <c:pt idx="52">
                  <c:v>117.52</c:v>
                </c:pt>
                <c:pt idx="53">
                  <c:v>625.33000000000004</c:v>
                </c:pt>
                <c:pt idx="54">
                  <c:v>428.33</c:v>
                </c:pt>
                <c:pt idx="55">
                  <c:v>683.99</c:v>
                </c:pt>
                <c:pt idx="56">
                  <c:v>381.04</c:v>
                </c:pt>
                <c:pt idx="57">
                  <c:v>661.7</c:v>
                </c:pt>
                <c:pt idx="58">
                  <c:v>34.1</c:v>
                </c:pt>
                <c:pt idx="59">
                  <c:v>102.23</c:v>
                </c:pt>
                <c:pt idx="60">
                  <c:v>618.20000000000005</c:v>
                </c:pt>
                <c:pt idx="61">
                  <c:v>910.59</c:v>
                </c:pt>
                <c:pt idx="62">
                  <c:v>961.55</c:v>
                </c:pt>
                <c:pt idx="63">
                  <c:v>866.3</c:v>
                </c:pt>
                <c:pt idx="64">
                  <c:v>223.73</c:v>
                </c:pt>
                <c:pt idx="65">
                  <c:v>997.15</c:v>
                </c:pt>
                <c:pt idx="66">
                  <c:v>678.41</c:v>
                </c:pt>
                <c:pt idx="67">
                  <c:v>42.19</c:v>
                </c:pt>
                <c:pt idx="68">
                  <c:v>424.07</c:v>
                </c:pt>
                <c:pt idx="69">
                  <c:v>765.53</c:v>
                </c:pt>
                <c:pt idx="70">
                  <c:v>78.52</c:v>
                </c:pt>
                <c:pt idx="71">
                  <c:v>140.52000000000001</c:v>
                </c:pt>
                <c:pt idx="72">
                  <c:v>666.62</c:v>
                </c:pt>
                <c:pt idx="73">
                  <c:v>36.76</c:v>
                </c:pt>
                <c:pt idx="74">
                  <c:v>302.81</c:v>
                </c:pt>
                <c:pt idx="75">
                  <c:v>785.53</c:v>
                </c:pt>
                <c:pt idx="76">
                  <c:v>129.35</c:v>
                </c:pt>
                <c:pt idx="77">
                  <c:v>750.58</c:v>
                </c:pt>
                <c:pt idx="78">
                  <c:v>950.56</c:v>
                </c:pt>
                <c:pt idx="79">
                  <c:v>91.94</c:v>
                </c:pt>
                <c:pt idx="80">
                  <c:v>128.19999999999999</c:v>
                </c:pt>
                <c:pt idx="81">
                  <c:v>355.34</c:v>
                </c:pt>
                <c:pt idx="82">
                  <c:v>189.28</c:v>
                </c:pt>
                <c:pt idx="83">
                  <c:v>103.33</c:v>
                </c:pt>
                <c:pt idx="84">
                  <c:v>13.16</c:v>
                </c:pt>
                <c:pt idx="85">
                  <c:v>230.58</c:v>
                </c:pt>
                <c:pt idx="86">
                  <c:v>69.78</c:v>
                </c:pt>
                <c:pt idx="87">
                  <c:v>668.91</c:v>
                </c:pt>
                <c:pt idx="88">
                  <c:v>138.51</c:v>
                </c:pt>
                <c:pt idx="89">
                  <c:v>518.70000000000005</c:v>
                </c:pt>
                <c:pt idx="90">
                  <c:v>625.28</c:v>
                </c:pt>
                <c:pt idx="91">
                  <c:v>111.27</c:v>
                </c:pt>
                <c:pt idx="92">
                  <c:v>940.93</c:v>
                </c:pt>
                <c:pt idx="93">
                  <c:v>23.73</c:v>
                </c:pt>
                <c:pt idx="94">
                  <c:v>825.01</c:v>
                </c:pt>
                <c:pt idx="95">
                  <c:v>947.73</c:v>
                </c:pt>
                <c:pt idx="96">
                  <c:v>559.73</c:v>
                </c:pt>
                <c:pt idx="97">
                  <c:v>840.45</c:v>
                </c:pt>
                <c:pt idx="98">
                  <c:v>197.54</c:v>
                </c:pt>
                <c:pt idx="99">
                  <c:v>464.42</c:v>
                </c:pt>
                <c:pt idx="100">
                  <c:v>223.64</c:v>
                </c:pt>
                <c:pt idx="101">
                  <c:v>886.3</c:v>
                </c:pt>
                <c:pt idx="102">
                  <c:v>223.98</c:v>
                </c:pt>
                <c:pt idx="103">
                  <c:v>680.92</c:v>
                </c:pt>
                <c:pt idx="104">
                  <c:v>154.06</c:v>
                </c:pt>
                <c:pt idx="105">
                  <c:v>862.12</c:v>
                </c:pt>
                <c:pt idx="106">
                  <c:v>617.64</c:v>
                </c:pt>
                <c:pt idx="107">
                  <c:v>668.23</c:v>
                </c:pt>
                <c:pt idx="108">
                  <c:v>178.68</c:v>
                </c:pt>
                <c:pt idx="109">
                  <c:v>351.64</c:v>
                </c:pt>
                <c:pt idx="110">
                  <c:v>984.6</c:v>
                </c:pt>
                <c:pt idx="111">
                  <c:v>432.65</c:v>
                </c:pt>
                <c:pt idx="112">
                  <c:v>694.59</c:v>
                </c:pt>
                <c:pt idx="113">
                  <c:v>238.79</c:v>
                </c:pt>
                <c:pt idx="114">
                  <c:v>154.66999999999999</c:v>
                </c:pt>
                <c:pt idx="115">
                  <c:v>491.64</c:v>
                </c:pt>
                <c:pt idx="116">
                  <c:v>979.26</c:v>
                </c:pt>
                <c:pt idx="117">
                  <c:v>27.4</c:v>
                </c:pt>
                <c:pt idx="118">
                  <c:v>83.38</c:v>
                </c:pt>
                <c:pt idx="119">
                  <c:v>97.65</c:v>
                </c:pt>
                <c:pt idx="120">
                  <c:v>363.86</c:v>
                </c:pt>
                <c:pt idx="121">
                  <c:v>174.43</c:v>
                </c:pt>
                <c:pt idx="122">
                  <c:v>734.48</c:v>
                </c:pt>
                <c:pt idx="123">
                  <c:v>495.49</c:v>
                </c:pt>
                <c:pt idx="124">
                  <c:v>616.66</c:v>
                </c:pt>
                <c:pt idx="125">
                  <c:v>777.44</c:v>
                </c:pt>
                <c:pt idx="126">
                  <c:v>720.47</c:v>
                </c:pt>
                <c:pt idx="127">
                  <c:v>654.04999999999995</c:v>
                </c:pt>
                <c:pt idx="128">
                  <c:v>269.2</c:v>
                </c:pt>
                <c:pt idx="129">
                  <c:v>800.78</c:v>
                </c:pt>
                <c:pt idx="130">
                  <c:v>40.32</c:v>
                </c:pt>
                <c:pt idx="131">
                  <c:v>984.15</c:v>
                </c:pt>
                <c:pt idx="132">
                  <c:v>604.53</c:v>
                </c:pt>
                <c:pt idx="133">
                  <c:v>177.5</c:v>
                </c:pt>
                <c:pt idx="134">
                  <c:v>808.16</c:v>
                </c:pt>
                <c:pt idx="135">
                  <c:v>983.3</c:v>
                </c:pt>
                <c:pt idx="136">
                  <c:v>819.14</c:v>
                </c:pt>
                <c:pt idx="137">
                  <c:v>687.32</c:v>
                </c:pt>
                <c:pt idx="138">
                  <c:v>570.08000000000004</c:v>
                </c:pt>
                <c:pt idx="139">
                  <c:v>274.88</c:v>
                </c:pt>
                <c:pt idx="140">
                  <c:v>934.98</c:v>
                </c:pt>
                <c:pt idx="141">
                  <c:v>469.36</c:v>
                </c:pt>
                <c:pt idx="142">
                  <c:v>737.44</c:v>
                </c:pt>
                <c:pt idx="143">
                  <c:v>594.96</c:v>
                </c:pt>
                <c:pt idx="144">
                  <c:v>683.02</c:v>
                </c:pt>
                <c:pt idx="145">
                  <c:v>77.45</c:v>
                </c:pt>
                <c:pt idx="146">
                  <c:v>535.1</c:v>
                </c:pt>
                <c:pt idx="147">
                  <c:v>355.45</c:v>
                </c:pt>
                <c:pt idx="148">
                  <c:v>99.63</c:v>
                </c:pt>
                <c:pt idx="149">
                  <c:v>438.97</c:v>
                </c:pt>
                <c:pt idx="150">
                  <c:v>746.74</c:v>
                </c:pt>
                <c:pt idx="151">
                  <c:v>413.27</c:v>
                </c:pt>
                <c:pt idx="152">
                  <c:v>209.75</c:v>
                </c:pt>
                <c:pt idx="153">
                  <c:v>724.88</c:v>
                </c:pt>
                <c:pt idx="154">
                  <c:v>951.71</c:v>
                </c:pt>
                <c:pt idx="155">
                  <c:v>844.08</c:v>
                </c:pt>
                <c:pt idx="156">
                  <c:v>59.84</c:v>
                </c:pt>
                <c:pt idx="157">
                  <c:v>756.32</c:v>
                </c:pt>
                <c:pt idx="158">
                  <c:v>415.44</c:v>
                </c:pt>
                <c:pt idx="159">
                  <c:v>405.05</c:v>
                </c:pt>
                <c:pt idx="160">
                  <c:v>914.97</c:v>
                </c:pt>
                <c:pt idx="161">
                  <c:v>70.56</c:v>
                </c:pt>
                <c:pt idx="162">
                  <c:v>378.4</c:v>
                </c:pt>
                <c:pt idx="163">
                  <c:v>179.25</c:v>
                </c:pt>
                <c:pt idx="164">
                  <c:v>228.88</c:v>
                </c:pt>
                <c:pt idx="165">
                  <c:v>843.15</c:v>
                </c:pt>
                <c:pt idx="166">
                  <c:v>286.79000000000002</c:v>
                </c:pt>
                <c:pt idx="167">
                  <c:v>971.09</c:v>
                </c:pt>
                <c:pt idx="168">
                  <c:v>324.91000000000003</c:v>
                </c:pt>
                <c:pt idx="169">
                  <c:v>935.64</c:v>
                </c:pt>
                <c:pt idx="170">
                  <c:v>631.28</c:v>
                </c:pt>
                <c:pt idx="171">
                  <c:v>101.35</c:v>
                </c:pt>
                <c:pt idx="172">
                  <c:v>82.16</c:v>
                </c:pt>
                <c:pt idx="173">
                  <c:v>844.22</c:v>
                </c:pt>
                <c:pt idx="174">
                  <c:v>463.07</c:v>
                </c:pt>
                <c:pt idx="175">
                  <c:v>139.38999999999999</c:v>
                </c:pt>
                <c:pt idx="176">
                  <c:v>684.43</c:v>
                </c:pt>
                <c:pt idx="177">
                  <c:v>912.15</c:v>
                </c:pt>
                <c:pt idx="178">
                  <c:v>247.96</c:v>
                </c:pt>
                <c:pt idx="179">
                  <c:v>665.25</c:v>
                </c:pt>
                <c:pt idx="180">
                  <c:v>210.43</c:v>
                </c:pt>
                <c:pt idx="181">
                  <c:v>13.69</c:v>
                </c:pt>
                <c:pt idx="182">
                  <c:v>173.81</c:v>
                </c:pt>
                <c:pt idx="183">
                  <c:v>906.07</c:v>
                </c:pt>
                <c:pt idx="184">
                  <c:v>649.61</c:v>
                </c:pt>
                <c:pt idx="185">
                  <c:v>917.5</c:v>
                </c:pt>
                <c:pt idx="186">
                  <c:v>422.32</c:v>
                </c:pt>
                <c:pt idx="187">
                  <c:v>334.95</c:v>
                </c:pt>
                <c:pt idx="188">
                  <c:v>275.70999999999998</c:v>
                </c:pt>
                <c:pt idx="189">
                  <c:v>813.37</c:v>
                </c:pt>
                <c:pt idx="190">
                  <c:v>641.53</c:v>
                </c:pt>
                <c:pt idx="191">
                  <c:v>406.32</c:v>
                </c:pt>
                <c:pt idx="192">
                  <c:v>34.5</c:v>
                </c:pt>
                <c:pt idx="193">
                  <c:v>36.39</c:v>
                </c:pt>
                <c:pt idx="194">
                  <c:v>573.30999999999995</c:v>
                </c:pt>
                <c:pt idx="195">
                  <c:v>482.35</c:v>
                </c:pt>
                <c:pt idx="196">
                  <c:v>863.47</c:v>
                </c:pt>
                <c:pt idx="197">
                  <c:v>338.69</c:v>
                </c:pt>
                <c:pt idx="198">
                  <c:v>563.48</c:v>
                </c:pt>
                <c:pt idx="199">
                  <c:v>149.07</c:v>
                </c:pt>
                <c:pt idx="200">
                  <c:v>274.95999999999998</c:v>
                </c:pt>
                <c:pt idx="201">
                  <c:v>459.58</c:v>
                </c:pt>
                <c:pt idx="202">
                  <c:v>13.46</c:v>
                </c:pt>
                <c:pt idx="203">
                  <c:v>45.2</c:v>
                </c:pt>
                <c:pt idx="204">
                  <c:v>26.1</c:v>
                </c:pt>
                <c:pt idx="205">
                  <c:v>204.55</c:v>
                </c:pt>
                <c:pt idx="206">
                  <c:v>250.07</c:v>
                </c:pt>
                <c:pt idx="207">
                  <c:v>902.66</c:v>
                </c:pt>
                <c:pt idx="208">
                  <c:v>789.67</c:v>
                </c:pt>
                <c:pt idx="209">
                  <c:v>964.1</c:v>
                </c:pt>
                <c:pt idx="210">
                  <c:v>505.24</c:v>
                </c:pt>
                <c:pt idx="211">
                  <c:v>575.98</c:v>
                </c:pt>
                <c:pt idx="212">
                  <c:v>971.83</c:v>
                </c:pt>
                <c:pt idx="213">
                  <c:v>316.35000000000002</c:v>
                </c:pt>
                <c:pt idx="214">
                  <c:v>235.64</c:v>
                </c:pt>
                <c:pt idx="215">
                  <c:v>614.39</c:v>
                </c:pt>
                <c:pt idx="216">
                  <c:v>674.93</c:v>
                </c:pt>
                <c:pt idx="217">
                  <c:v>864.57</c:v>
                </c:pt>
                <c:pt idx="218">
                  <c:v>846.68</c:v>
                </c:pt>
                <c:pt idx="219">
                  <c:v>531.25</c:v>
                </c:pt>
                <c:pt idx="220">
                  <c:v>739.27</c:v>
                </c:pt>
                <c:pt idx="221">
                  <c:v>191.8</c:v>
                </c:pt>
                <c:pt idx="222">
                  <c:v>863.54</c:v>
                </c:pt>
                <c:pt idx="223">
                  <c:v>952.12</c:v>
                </c:pt>
                <c:pt idx="224">
                  <c:v>71.97</c:v>
                </c:pt>
                <c:pt idx="225">
                  <c:v>136.03</c:v>
                </c:pt>
                <c:pt idx="226">
                  <c:v>651.79999999999995</c:v>
                </c:pt>
                <c:pt idx="227">
                  <c:v>593.91999999999996</c:v>
                </c:pt>
                <c:pt idx="228">
                  <c:v>630.37</c:v>
                </c:pt>
                <c:pt idx="229">
                  <c:v>16.97</c:v>
                </c:pt>
                <c:pt idx="230">
                  <c:v>75.09</c:v>
                </c:pt>
                <c:pt idx="231">
                  <c:v>734.56</c:v>
                </c:pt>
                <c:pt idx="232">
                  <c:v>61.3</c:v>
                </c:pt>
                <c:pt idx="233">
                  <c:v>124.29</c:v>
                </c:pt>
                <c:pt idx="234">
                  <c:v>224.86</c:v>
                </c:pt>
                <c:pt idx="235">
                  <c:v>990</c:v>
                </c:pt>
                <c:pt idx="236">
                  <c:v>127.14</c:v>
                </c:pt>
                <c:pt idx="237">
                  <c:v>450.72</c:v>
                </c:pt>
                <c:pt idx="238">
                  <c:v>895.58</c:v>
                </c:pt>
                <c:pt idx="239">
                  <c:v>711.04</c:v>
                </c:pt>
                <c:pt idx="240">
                  <c:v>975.1</c:v>
                </c:pt>
                <c:pt idx="241">
                  <c:v>696.59</c:v>
                </c:pt>
                <c:pt idx="242">
                  <c:v>208.79</c:v>
                </c:pt>
                <c:pt idx="243">
                  <c:v>35.01</c:v>
                </c:pt>
                <c:pt idx="244">
                  <c:v>32.380000000000003</c:v>
                </c:pt>
                <c:pt idx="245">
                  <c:v>628.42999999999995</c:v>
                </c:pt>
                <c:pt idx="246">
                  <c:v>66.599999999999994</c:v>
                </c:pt>
                <c:pt idx="247">
                  <c:v>12.36</c:v>
                </c:pt>
                <c:pt idx="248">
                  <c:v>874.32</c:v>
                </c:pt>
                <c:pt idx="249">
                  <c:v>82.77</c:v>
                </c:pt>
                <c:pt idx="250">
                  <c:v>897.57</c:v>
                </c:pt>
                <c:pt idx="251">
                  <c:v>68.31</c:v>
                </c:pt>
                <c:pt idx="252">
                  <c:v>555.41</c:v>
                </c:pt>
                <c:pt idx="253">
                  <c:v>53.26</c:v>
                </c:pt>
                <c:pt idx="254">
                  <c:v>67.52</c:v>
                </c:pt>
                <c:pt idx="255">
                  <c:v>910.52</c:v>
                </c:pt>
                <c:pt idx="256">
                  <c:v>459.87</c:v>
                </c:pt>
                <c:pt idx="257">
                  <c:v>985.94</c:v>
                </c:pt>
                <c:pt idx="258">
                  <c:v>233.08</c:v>
                </c:pt>
                <c:pt idx="259">
                  <c:v>710.84</c:v>
                </c:pt>
                <c:pt idx="260">
                  <c:v>394.49</c:v>
                </c:pt>
                <c:pt idx="261">
                  <c:v>15.04</c:v>
                </c:pt>
                <c:pt idx="262">
                  <c:v>468.37</c:v>
                </c:pt>
                <c:pt idx="263">
                  <c:v>937.86</c:v>
                </c:pt>
                <c:pt idx="264">
                  <c:v>846.85</c:v>
                </c:pt>
                <c:pt idx="265">
                  <c:v>158.15</c:v>
                </c:pt>
                <c:pt idx="266">
                  <c:v>135.19</c:v>
                </c:pt>
                <c:pt idx="267">
                  <c:v>317.98</c:v>
                </c:pt>
                <c:pt idx="268">
                  <c:v>179.82</c:v>
                </c:pt>
                <c:pt idx="269">
                  <c:v>728.58</c:v>
                </c:pt>
                <c:pt idx="270">
                  <c:v>600.48</c:v>
                </c:pt>
                <c:pt idx="271">
                  <c:v>143.75</c:v>
                </c:pt>
                <c:pt idx="272">
                  <c:v>361.81</c:v>
                </c:pt>
                <c:pt idx="273">
                  <c:v>943.37</c:v>
                </c:pt>
                <c:pt idx="274">
                  <c:v>116.8</c:v>
                </c:pt>
                <c:pt idx="275">
                  <c:v>971.93</c:v>
                </c:pt>
                <c:pt idx="276">
                  <c:v>178.21</c:v>
                </c:pt>
                <c:pt idx="277">
                  <c:v>795.49</c:v>
                </c:pt>
                <c:pt idx="278">
                  <c:v>753.49</c:v>
                </c:pt>
                <c:pt idx="279">
                  <c:v>912.58</c:v>
                </c:pt>
                <c:pt idx="280">
                  <c:v>658.54</c:v>
                </c:pt>
                <c:pt idx="281">
                  <c:v>307.42</c:v>
                </c:pt>
                <c:pt idx="282">
                  <c:v>90.96</c:v>
                </c:pt>
                <c:pt idx="283">
                  <c:v>622.86</c:v>
                </c:pt>
                <c:pt idx="284">
                  <c:v>709.33</c:v>
                </c:pt>
                <c:pt idx="285">
                  <c:v>992.17</c:v>
                </c:pt>
                <c:pt idx="286">
                  <c:v>192.17</c:v>
                </c:pt>
                <c:pt idx="287">
                  <c:v>522.78</c:v>
                </c:pt>
                <c:pt idx="288">
                  <c:v>785.52</c:v>
                </c:pt>
                <c:pt idx="289">
                  <c:v>116.19</c:v>
                </c:pt>
                <c:pt idx="290">
                  <c:v>292.92</c:v>
                </c:pt>
                <c:pt idx="291">
                  <c:v>304.08</c:v>
                </c:pt>
                <c:pt idx="292">
                  <c:v>940.14</c:v>
                </c:pt>
                <c:pt idx="293">
                  <c:v>437.1</c:v>
                </c:pt>
                <c:pt idx="294">
                  <c:v>844.88</c:v>
                </c:pt>
                <c:pt idx="295">
                  <c:v>240.93</c:v>
                </c:pt>
                <c:pt idx="296">
                  <c:v>129.08000000000001</c:v>
                </c:pt>
                <c:pt idx="297">
                  <c:v>406.6</c:v>
                </c:pt>
                <c:pt idx="298">
                  <c:v>725.67</c:v>
                </c:pt>
                <c:pt idx="299">
                  <c:v>833.69</c:v>
                </c:pt>
                <c:pt idx="300">
                  <c:v>692.74</c:v>
                </c:pt>
                <c:pt idx="301">
                  <c:v>99.19</c:v>
                </c:pt>
                <c:pt idx="302">
                  <c:v>225.4</c:v>
                </c:pt>
                <c:pt idx="303">
                  <c:v>378.47</c:v>
                </c:pt>
                <c:pt idx="304">
                  <c:v>192.66</c:v>
                </c:pt>
                <c:pt idx="305">
                  <c:v>392.36</c:v>
                </c:pt>
                <c:pt idx="306">
                  <c:v>377.31</c:v>
                </c:pt>
                <c:pt idx="307">
                  <c:v>674.7</c:v>
                </c:pt>
                <c:pt idx="308">
                  <c:v>532.51</c:v>
                </c:pt>
                <c:pt idx="309">
                  <c:v>930.73</c:v>
                </c:pt>
                <c:pt idx="310">
                  <c:v>335.15</c:v>
                </c:pt>
                <c:pt idx="311">
                  <c:v>931.51</c:v>
                </c:pt>
                <c:pt idx="312">
                  <c:v>563.64</c:v>
                </c:pt>
                <c:pt idx="313">
                  <c:v>155.13999999999999</c:v>
                </c:pt>
                <c:pt idx="314">
                  <c:v>785.29</c:v>
                </c:pt>
                <c:pt idx="315">
                  <c:v>764.05</c:v>
                </c:pt>
                <c:pt idx="316">
                  <c:v>835.06</c:v>
                </c:pt>
                <c:pt idx="317">
                  <c:v>184.8</c:v>
                </c:pt>
                <c:pt idx="318">
                  <c:v>486.21</c:v>
                </c:pt>
                <c:pt idx="319">
                  <c:v>117.01</c:v>
                </c:pt>
                <c:pt idx="320">
                  <c:v>801.59</c:v>
                </c:pt>
                <c:pt idx="321">
                  <c:v>535.28</c:v>
                </c:pt>
                <c:pt idx="322">
                  <c:v>441.11</c:v>
                </c:pt>
                <c:pt idx="323">
                  <c:v>392.35</c:v>
                </c:pt>
                <c:pt idx="324">
                  <c:v>634.91999999999996</c:v>
                </c:pt>
                <c:pt idx="325">
                  <c:v>554.58000000000004</c:v>
                </c:pt>
                <c:pt idx="326">
                  <c:v>638.96</c:v>
                </c:pt>
                <c:pt idx="327">
                  <c:v>942.97</c:v>
                </c:pt>
                <c:pt idx="328">
                  <c:v>534.25</c:v>
                </c:pt>
                <c:pt idx="329">
                  <c:v>889.83</c:v>
                </c:pt>
                <c:pt idx="330">
                  <c:v>452.32</c:v>
                </c:pt>
                <c:pt idx="331">
                  <c:v>962.9</c:v>
                </c:pt>
                <c:pt idx="332">
                  <c:v>766.26</c:v>
                </c:pt>
                <c:pt idx="333">
                  <c:v>74.08</c:v>
                </c:pt>
                <c:pt idx="334">
                  <c:v>762.06</c:v>
                </c:pt>
                <c:pt idx="335">
                  <c:v>95.17</c:v>
                </c:pt>
                <c:pt idx="336">
                  <c:v>880.45</c:v>
                </c:pt>
                <c:pt idx="337">
                  <c:v>621.73</c:v>
                </c:pt>
                <c:pt idx="338">
                  <c:v>400.23</c:v>
                </c:pt>
                <c:pt idx="339">
                  <c:v>170.56</c:v>
                </c:pt>
                <c:pt idx="340">
                  <c:v>233.64</c:v>
                </c:pt>
                <c:pt idx="341">
                  <c:v>297.17</c:v>
                </c:pt>
                <c:pt idx="342">
                  <c:v>744.56</c:v>
                </c:pt>
                <c:pt idx="343">
                  <c:v>648.79</c:v>
                </c:pt>
                <c:pt idx="344">
                  <c:v>445.3</c:v>
                </c:pt>
                <c:pt idx="345">
                  <c:v>738.01</c:v>
                </c:pt>
                <c:pt idx="346">
                  <c:v>583.95000000000005</c:v>
                </c:pt>
                <c:pt idx="347">
                  <c:v>151.74</c:v>
                </c:pt>
                <c:pt idx="348">
                  <c:v>129.9</c:v>
                </c:pt>
                <c:pt idx="349">
                  <c:v>678.13</c:v>
                </c:pt>
                <c:pt idx="350">
                  <c:v>932.68</c:v>
                </c:pt>
                <c:pt idx="351">
                  <c:v>344.39</c:v>
                </c:pt>
                <c:pt idx="352">
                  <c:v>557.04</c:v>
                </c:pt>
                <c:pt idx="353">
                  <c:v>371.93</c:v>
                </c:pt>
                <c:pt idx="354">
                  <c:v>594.91999999999996</c:v>
                </c:pt>
                <c:pt idx="355">
                  <c:v>942.03</c:v>
                </c:pt>
                <c:pt idx="356">
                  <c:v>986.97</c:v>
                </c:pt>
                <c:pt idx="357">
                  <c:v>313.64</c:v>
                </c:pt>
                <c:pt idx="358">
                  <c:v>991.93</c:v>
                </c:pt>
                <c:pt idx="359">
                  <c:v>86.85</c:v>
                </c:pt>
                <c:pt idx="360">
                  <c:v>191.72</c:v>
                </c:pt>
                <c:pt idx="361">
                  <c:v>434.97</c:v>
                </c:pt>
                <c:pt idx="362">
                  <c:v>889.94</c:v>
                </c:pt>
                <c:pt idx="363">
                  <c:v>482.2</c:v>
                </c:pt>
                <c:pt idx="364">
                  <c:v>83.27</c:v>
                </c:pt>
                <c:pt idx="365">
                  <c:v>970.06</c:v>
                </c:pt>
                <c:pt idx="366">
                  <c:v>76.95</c:v>
                </c:pt>
                <c:pt idx="367">
                  <c:v>956.73</c:v>
                </c:pt>
                <c:pt idx="368">
                  <c:v>214.93</c:v>
                </c:pt>
                <c:pt idx="369">
                  <c:v>893.44</c:v>
                </c:pt>
                <c:pt idx="370">
                  <c:v>174.41</c:v>
                </c:pt>
                <c:pt idx="371">
                  <c:v>880.23</c:v>
                </c:pt>
                <c:pt idx="372">
                  <c:v>57.57</c:v>
                </c:pt>
                <c:pt idx="373">
                  <c:v>41.55</c:v>
                </c:pt>
                <c:pt idx="374">
                  <c:v>476.25</c:v>
                </c:pt>
                <c:pt idx="375">
                  <c:v>120.8</c:v>
                </c:pt>
                <c:pt idx="376">
                  <c:v>746.18</c:v>
                </c:pt>
                <c:pt idx="377">
                  <c:v>754.24</c:v>
                </c:pt>
                <c:pt idx="378">
                  <c:v>209.86</c:v>
                </c:pt>
                <c:pt idx="379">
                  <c:v>930.36</c:v>
                </c:pt>
                <c:pt idx="380">
                  <c:v>190.55</c:v>
                </c:pt>
                <c:pt idx="381">
                  <c:v>597.15</c:v>
                </c:pt>
                <c:pt idx="382">
                  <c:v>960.08</c:v>
                </c:pt>
                <c:pt idx="383">
                  <c:v>764.28</c:v>
                </c:pt>
                <c:pt idx="384">
                  <c:v>624.80999999999995</c:v>
                </c:pt>
                <c:pt idx="385">
                  <c:v>273.33999999999997</c:v>
                </c:pt>
                <c:pt idx="386">
                  <c:v>393.6</c:v>
                </c:pt>
                <c:pt idx="387">
                  <c:v>722.18</c:v>
                </c:pt>
                <c:pt idx="388">
                  <c:v>367.97</c:v>
                </c:pt>
                <c:pt idx="389">
                  <c:v>184.45</c:v>
                </c:pt>
                <c:pt idx="390">
                  <c:v>18.600000000000001</c:v>
                </c:pt>
                <c:pt idx="391">
                  <c:v>14.52</c:v>
                </c:pt>
                <c:pt idx="392">
                  <c:v>861.66</c:v>
                </c:pt>
                <c:pt idx="393">
                  <c:v>426.62</c:v>
                </c:pt>
                <c:pt idx="394">
                  <c:v>354.46</c:v>
                </c:pt>
                <c:pt idx="395">
                  <c:v>215.95</c:v>
                </c:pt>
                <c:pt idx="396">
                  <c:v>868.18</c:v>
                </c:pt>
                <c:pt idx="397">
                  <c:v>515.99</c:v>
                </c:pt>
                <c:pt idx="398">
                  <c:v>949.32</c:v>
                </c:pt>
                <c:pt idx="399">
                  <c:v>922.01</c:v>
                </c:pt>
                <c:pt idx="400">
                  <c:v>556.23</c:v>
                </c:pt>
                <c:pt idx="401">
                  <c:v>271.52</c:v>
                </c:pt>
                <c:pt idx="402">
                  <c:v>827.44</c:v>
                </c:pt>
                <c:pt idx="403">
                  <c:v>150.58000000000001</c:v>
                </c:pt>
                <c:pt idx="404">
                  <c:v>486.25</c:v>
                </c:pt>
                <c:pt idx="405">
                  <c:v>543.30999999999995</c:v>
                </c:pt>
                <c:pt idx="406">
                  <c:v>484.85</c:v>
                </c:pt>
                <c:pt idx="407">
                  <c:v>886.08</c:v>
                </c:pt>
                <c:pt idx="408">
                  <c:v>730.8</c:v>
                </c:pt>
                <c:pt idx="409">
                  <c:v>609.57000000000005</c:v>
                </c:pt>
                <c:pt idx="410">
                  <c:v>997.24</c:v>
                </c:pt>
                <c:pt idx="411">
                  <c:v>802.44</c:v>
                </c:pt>
                <c:pt idx="412">
                  <c:v>723.93</c:v>
                </c:pt>
                <c:pt idx="413">
                  <c:v>547.85</c:v>
                </c:pt>
                <c:pt idx="414">
                  <c:v>652.26</c:v>
                </c:pt>
                <c:pt idx="415">
                  <c:v>69.81</c:v>
                </c:pt>
                <c:pt idx="416">
                  <c:v>126.35</c:v>
                </c:pt>
                <c:pt idx="417">
                  <c:v>714.29</c:v>
                </c:pt>
                <c:pt idx="418">
                  <c:v>85.56</c:v>
                </c:pt>
                <c:pt idx="419">
                  <c:v>727.51</c:v>
                </c:pt>
                <c:pt idx="420">
                  <c:v>456.67</c:v>
                </c:pt>
                <c:pt idx="421">
                  <c:v>588.17999999999995</c:v>
                </c:pt>
                <c:pt idx="422">
                  <c:v>122.02</c:v>
                </c:pt>
                <c:pt idx="423">
                  <c:v>249.39</c:v>
                </c:pt>
                <c:pt idx="424">
                  <c:v>843.6</c:v>
                </c:pt>
                <c:pt idx="425">
                  <c:v>592.52</c:v>
                </c:pt>
                <c:pt idx="426">
                  <c:v>463.78</c:v>
                </c:pt>
                <c:pt idx="427">
                  <c:v>85.44</c:v>
                </c:pt>
                <c:pt idx="428">
                  <c:v>475.52</c:v>
                </c:pt>
                <c:pt idx="429">
                  <c:v>703.94</c:v>
                </c:pt>
                <c:pt idx="430">
                  <c:v>253.63</c:v>
                </c:pt>
                <c:pt idx="431">
                  <c:v>685.36</c:v>
                </c:pt>
                <c:pt idx="432">
                  <c:v>278.14999999999998</c:v>
                </c:pt>
                <c:pt idx="433">
                  <c:v>735.3</c:v>
                </c:pt>
                <c:pt idx="434">
                  <c:v>846.76</c:v>
                </c:pt>
                <c:pt idx="435">
                  <c:v>144.78</c:v>
                </c:pt>
                <c:pt idx="436">
                  <c:v>862.54</c:v>
                </c:pt>
                <c:pt idx="437">
                  <c:v>572.30999999999995</c:v>
                </c:pt>
                <c:pt idx="438">
                  <c:v>831.6</c:v>
                </c:pt>
                <c:pt idx="439">
                  <c:v>937.86</c:v>
                </c:pt>
                <c:pt idx="440">
                  <c:v>714.72</c:v>
                </c:pt>
                <c:pt idx="441">
                  <c:v>487.73</c:v>
                </c:pt>
                <c:pt idx="442">
                  <c:v>22.15</c:v>
                </c:pt>
                <c:pt idx="443">
                  <c:v>824.65</c:v>
                </c:pt>
                <c:pt idx="444">
                  <c:v>275.39999999999998</c:v>
                </c:pt>
                <c:pt idx="445">
                  <c:v>552.48</c:v>
                </c:pt>
                <c:pt idx="446">
                  <c:v>121</c:v>
                </c:pt>
                <c:pt idx="447">
                  <c:v>782.58</c:v>
                </c:pt>
                <c:pt idx="448">
                  <c:v>434.84</c:v>
                </c:pt>
                <c:pt idx="449">
                  <c:v>604.29</c:v>
                </c:pt>
                <c:pt idx="450">
                  <c:v>705.64</c:v>
                </c:pt>
                <c:pt idx="451">
                  <c:v>387.39</c:v>
                </c:pt>
                <c:pt idx="452">
                  <c:v>863.93</c:v>
                </c:pt>
                <c:pt idx="453">
                  <c:v>172.99</c:v>
                </c:pt>
                <c:pt idx="454">
                  <c:v>590.32000000000005</c:v>
                </c:pt>
                <c:pt idx="455">
                  <c:v>594.94000000000005</c:v>
                </c:pt>
                <c:pt idx="456">
                  <c:v>70.22</c:v>
                </c:pt>
                <c:pt idx="457">
                  <c:v>10.4</c:v>
                </c:pt>
                <c:pt idx="458">
                  <c:v>885.33</c:v>
                </c:pt>
                <c:pt idx="459">
                  <c:v>588.37</c:v>
                </c:pt>
                <c:pt idx="460">
                  <c:v>75.03</c:v>
                </c:pt>
                <c:pt idx="461">
                  <c:v>812.25</c:v>
                </c:pt>
                <c:pt idx="462">
                  <c:v>769.16</c:v>
                </c:pt>
                <c:pt idx="463">
                  <c:v>482.77</c:v>
                </c:pt>
                <c:pt idx="464">
                  <c:v>760.34</c:v>
                </c:pt>
                <c:pt idx="465">
                  <c:v>480.55</c:v>
                </c:pt>
                <c:pt idx="466">
                  <c:v>48.5</c:v>
                </c:pt>
                <c:pt idx="467">
                  <c:v>772.89</c:v>
                </c:pt>
                <c:pt idx="468">
                  <c:v>865.65</c:v>
                </c:pt>
                <c:pt idx="469">
                  <c:v>728.67</c:v>
                </c:pt>
                <c:pt idx="470">
                  <c:v>936.04</c:v>
                </c:pt>
                <c:pt idx="471">
                  <c:v>460.25</c:v>
                </c:pt>
                <c:pt idx="472">
                  <c:v>642.29999999999995</c:v>
                </c:pt>
                <c:pt idx="473">
                  <c:v>906.75</c:v>
                </c:pt>
                <c:pt idx="474">
                  <c:v>803.87</c:v>
                </c:pt>
                <c:pt idx="475">
                  <c:v>483.66</c:v>
                </c:pt>
                <c:pt idx="476">
                  <c:v>704.32</c:v>
                </c:pt>
                <c:pt idx="477">
                  <c:v>646.16</c:v>
                </c:pt>
                <c:pt idx="478">
                  <c:v>686.5</c:v>
                </c:pt>
                <c:pt idx="479">
                  <c:v>218.77</c:v>
                </c:pt>
                <c:pt idx="480">
                  <c:v>132.6</c:v>
                </c:pt>
                <c:pt idx="481">
                  <c:v>79.27</c:v>
                </c:pt>
                <c:pt idx="482">
                  <c:v>566.59</c:v>
                </c:pt>
                <c:pt idx="483">
                  <c:v>725.26</c:v>
                </c:pt>
                <c:pt idx="484">
                  <c:v>900.16</c:v>
                </c:pt>
                <c:pt idx="485">
                  <c:v>943.5</c:v>
                </c:pt>
                <c:pt idx="486">
                  <c:v>55.21</c:v>
                </c:pt>
                <c:pt idx="487">
                  <c:v>830.03</c:v>
                </c:pt>
                <c:pt idx="488">
                  <c:v>109.54</c:v>
                </c:pt>
                <c:pt idx="489">
                  <c:v>932.41</c:v>
                </c:pt>
                <c:pt idx="490">
                  <c:v>347.21</c:v>
                </c:pt>
                <c:pt idx="491">
                  <c:v>348.51</c:v>
                </c:pt>
                <c:pt idx="492">
                  <c:v>591.64</c:v>
                </c:pt>
                <c:pt idx="493">
                  <c:v>632.99</c:v>
                </c:pt>
                <c:pt idx="494">
                  <c:v>144</c:v>
                </c:pt>
                <c:pt idx="495">
                  <c:v>835.67</c:v>
                </c:pt>
                <c:pt idx="496">
                  <c:v>60.51</c:v>
                </c:pt>
                <c:pt idx="497">
                  <c:v>298.11</c:v>
                </c:pt>
                <c:pt idx="498">
                  <c:v>367.85</c:v>
                </c:pt>
                <c:pt idx="499">
                  <c:v>777.97</c:v>
                </c:pt>
                <c:pt idx="500">
                  <c:v>196.61</c:v>
                </c:pt>
                <c:pt idx="501">
                  <c:v>438.95</c:v>
                </c:pt>
                <c:pt idx="502">
                  <c:v>686.83</c:v>
                </c:pt>
                <c:pt idx="503">
                  <c:v>701.61</c:v>
                </c:pt>
                <c:pt idx="504">
                  <c:v>849.56</c:v>
                </c:pt>
                <c:pt idx="505">
                  <c:v>372.69</c:v>
                </c:pt>
                <c:pt idx="506">
                  <c:v>230.66</c:v>
                </c:pt>
                <c:pt idx="507">
                  <c:v>897.46</c:v>
                </c:pt>
                <c:pt idx="508">
                  <c:v>839.2</c:v>
                </c:pt>
                <c:pt idx="509">
                  <c:v>536.52</c:v>
                </c:pt>
                <c:pt idx="510">
                  <c:v>839.34</c:v>
                </c:pt>
                <c:pt idx="511">
                  <c:v>122.12</c:v>
                </c:pt>
                <c:pt idx="512">
                  <c:v>847.03</c:v>
                </c:pt>
                <c:pt idx="513">
                  <c:v>456.11</c:v>
                </c:pt>
                <c:pt idx="514">
                  <c:v>524.16</c:v>
                </c:pt>
                <c:pt idx="515">
                  <c:v>676.93</c:v>
                </c:pt>
                <c:pt idx="516">
                  <c:v>787.66</c:v>
                </c:pt>
                <c:pt idx="517">
                  <c:v>610.98</c:v>
                </c:pt>
                <c:pt idx="518">
                  <c:v>30.88</c:v>
                </c:pt>
                <c:pt idx="519">
                  <c:v>312.64</c:v>
                </c:pt>
                <c:pt idx="520">
                  <c:v>329.18</c:v>
                </c:pt>
                <c:pt idx="521">
                  <c:v>439.63</c:v>
                </c:pt>
                <c:pt idx="522">
                  <c:v>581.15</c:v>
                </c:pt>
                <c:pt idx="523">
                  <c:v>97.97</c:v>
                </c:pt>
                <c:pt idx="524">
                  <c:v>427.68</c:v>
                </c:pt>
                <c:pt idx="525">
                  <c:v>628.34</c:v>
                </c:pt>
                <c:pt idx="526">
                  <c:v>271.17</c:v>
                </c:pt>
                <c:pt idx="527">
                  <c:v>536.05999999999995</c:v>
                </c:pt>
                <c:pt idx="528">
                  <c:v>869.05</c:v>
                </c:pt>
                <c:pt idx="529">
                  <c:v>316.5</c:v>
                </c:pt>
                <c:pt idx="530">
                  <c:v>748.46</c:v>
                </c:pt>
                <c:pt idx="531">
                  <c:v>351.94</c:v>
                </c:pt>
                <c:pt idx="532">
                  <c:v>190.34</c:v>
                </c:pt>
                <c:pt idx="533">
                  <c:v>663.25</c:v>
                </c:pt>
                <c:pt idx="534">
                  <c:v>296.76</c:v>
                </c:pt>
                <c:pt idx="535">
                  <c:v>628.29999999999995</c:v>
                </c:pt>
                <c:pt idx="536">
                  <c:v>491.55</c:v>
                </c:pt>
                <c:pt idx="537">
                  <c:v>579.27</c:v>
                </c:pt>
                <c:pt idx="538">
                  <c:v>632.83000000000004</c:v>
                </c:pt>
                <c:pt idx="539">
                  <c:v>221.35</c:v>
                </c:pt>
                <c:pt idx="540">
                  <c:v>806.55</c:v>
                </c:pt>
                <c:pt idx="541">
                  <c:v>639.22</c:v>
                </c:pt>
                <c:pt idx="542">
                  <c:v>28.55</c:v>
                </c:pt>
                <c:pt idx="543">
                  <c:v>903.07</c:v>
                </c:pt>
                <c:pt idx="544">
                  <c:v>494.55</c:v>
                </c:pt>
                <c:pt idx="545">
                  <c:v>495.62</c:v>
                </c:pt>
                <c:pt idx="546">
                  <c:v>670.87</c:v>
                </c:pt>
                <c:pt idx="547">
                  <c:v>795.84</c:v>
                </c:pt>
                <c:pt idx="548">
                  <c:v>873.8</c:v>
                </c:pt>
                <c:pt idx="549">
                  <c:v>50.57</c:v>
                </c:pt>
                <c:pt idx="550">
                  <c:v>957.06</c:v>
                </c:pt>
                <c:pt idx="551">
                  <c:v>771.33</c:v>
                </c:pt>
                <c:pt idx="552">
                  <c:v>520.37</c:v>
                </c:pt>
                <c:pt idx="553">
                  <c:v>537.66</c:v>
                </c:pt>
                <c:pt idx="554">
                  <c:v>244.79</c:v>
                </c:pt>
                <c:pt idx="555">
                  <c:v>17.97</c:v>
                </c:pt>
                <c:pt idx="556">
                  <c:v>25.44</c:v>
                </c:pt>
                <c:pt idx="557">
                  <c:v>553.44000000000005</c:v>
                </c:pt>
                <c:pt idx="558">
                  <c:v>98.85</c:v>
                </c:pt>
                <c:pt idx="559">
                  <c:v>816.09</c:v>
                </c:pt>
                <c:pt idx="560">
                  <c:v>505.98</c:v>
                </c:pt>
                <c:pt idx="561">
                  <c:v>857.68</c:v>
                </c:pt>
                <c:pt idx="562">
                  <c:v>349.35</c:v>
                </c:pt>
                <c:pt idx="563">
                  <c:v>971.02</c:v>
                </c:pt>
                <c:pt idx="564">
                  <c:v>648.38</c:v>
                </c:pt>
                <c:pt idx="565">
                  <c:v>212.08</c:v>
                </c:pt>
                <c:pt idx="566">
                  <c:v>383.64</c:v>
                </c:pt>
                <c:pt idx="567">
                  <c:v>122.21</c:v>
                </c:pt>
                <c:pt idx="568">
                  <c:v>645.42999999999995</c:v>
                </c:pt>
                <c:pt idx="569">
                  <c:v>322.29000000000002</c:v>
                </c:pt>
                <c:pt idx="570">
                  <c:v>486.58</c:v>
                </c:pt>
                <c:pt idx="571">
                  <c:v>462.62</c:v>
                </c:pt>
                <c:pt idx="572">
                  <c:v>606.17999999999995</c:v>
                </c:pt>
                <c:pt idx="573">
                  <c:v>377.75</c:v>
                </c:pt>
                <c:pt idx="574">
                  <c:v>213.68</c:v>
                </c:pt>
                <c:pt idx="575">
                  <c:v>221.75</c:v>
                </c:pt>
                <c:pt idx="576">
                  <c:v>324.11</c:v>
                </c:pt>
                <c:pt idx="577">
                  <c:v>66.599999999999994</c:v>
                </c:pt>
                <c:pt idx="578">
                  <c:v>814.52</c:v>
                </c:pt>
                <c:pt idx="579">
                  <c:v>356.67</c:v>
                </c:pt>
                <c:pt idx="580">
                  <c:v>411.86</c:v>
                </c:pt>
                <c:pt idx="581">
                  <c:v>204.25</c:v>
                </c:pt>
                <c:pt idx="582">
                  <c:v>914.63</c:v>
                </c:pt>
                <c:pt idx="583">
                  <c:v>117.85</c:v>
                </c:pt>
                <c:pt idx="584">
                  <c:v>397.54</c:v>
                </c:pt>
                <c:pt idx="585">
                  <c:v>412.99</c:v>
                </c:pt>
                <c:pt idx="586">
                  <c:v>491.8</c:v>
                </c:pt>
                <c:pt idx="587">
                  <c:v>442.42</c:v>
                </c:pt>
                <c:pt idx="588">
                  <c:v>743.73</c:v>
                </c:pt>
                <c:pt idx="589">
                  <c:v>333.55</c:v>
                </c:pt>
                <c:pt idx="590">
                  <c:v>165.39</c:v>
                </c:pt>
                <c:pt idx="591">
                  <c:v>321.92</c:v>
                </c:pt>
                <c:pt idx="592">
                  <c:v>921.21</c:v>
                </c:pt>
                <c:pt idx="593">
                  <c:v>983.84</c:v>
                </c:pt>
                <c:pt idx="594">
                  <c:v>600.21</c:v>
                </c:pt>
                <c:pt idx="595">
                  <c:v>679.69</c:v>
                </c:pt>
                <c:pt idx="596">
                  <c:v>486.86</c:v>
                </c:pt>
                <c:pt idx="597">
                  <c:v>20.52</c:v>
                </c:pt>
                <c:pt idx="598">
                  <c:v>546.05999999999995</c:v>
                </c:pt>
                <c:pt idx="599">
                  <c:v>758.1</c:v>
                </c:pt>
                <c:pt idx="600">
                  <c:v>609.79999999999995</c:v>
                </c:pt>
                <c:pt idx="601">
                  <c:v>95.96</c:v>
                </c:pt>
                <c:pt idx="602">
                  <c:v>236.83</c:v>
                </c:pt>
                <c:pt idx="603">
                  <c:v>562.47</c:v>
                </c:pt>
                <c:pt idx="604">
                  <c:v>256.98</c:v>
                </c:pt>
                <c:pt idx="605">
                  <c:v>150.62</c:v>
                </c:pt>
                <c:pt idx="606">
                  <c:v>660.05</c:v>
                </c:pt>
                <c:pt idx="607">
                  <c:v>724.23</c:v>
                </c:pt>
                <c:pt idx="608">
                  <c:v>683.93</c:v>
                </c:pt>
                <c:pt idx="609">
                  <c:v>458.93</c:v>
                </c:pt>
                <c:pt idx="610">
                  <c:v>917.08</c:v>
                </c:pt>
                <c:pt idx="611">
                  <c:v>967.99</c:v>
                </c:pt>
                <c:pt idx="612">
                  <c:v>195.34</c:v>
                </c:pt>
                <c:pt idx="613">
                  <c:v>738.6</c:v>
                </c:pt>
                <c:pt idx="614">
                  <c:v>812.36</c:v>
                </c:pt>
                <c:pt idx="615">
                  <c:v>582.57000000000005</c:v>
                </c:pt>
                <c:pt idx="616">
                  <c:v>370.75</c:v>
                </c:pt>
                <c:pt idx="617">
                  <c:v>673.02</c:v>
                </c:pt>
                <c:pt idx="618">
                  <c:v>898.68</c:v>
                </c:pt>
                <c:pt idx="619">
                  <c:v>855.21</c:v>
                </c:pt>
                <c:pt idx="620">
                  <c:v>368.75</c:v>
                </c:pt>
                <c:pt idx="621">
                  <c:v>933.73</c:v>
                </c:pt>
                <c:pt idx="622">
                  <c:v>880.78</c:v>
                </c:pt>
                <c:pt idx="623">
                  <c:v>218.74</c:v>
                </c:pt>
                <c:pt idx="624">
                  <c:v>504.16</c:v>
                </c:pt>
                <c:pt idx="625">
                  <c:v>26.85</c:v>
                </c:pt>
                <c:pt idx="626">
                  <c:v>261.07</c:v>
                </c:pt>
                <c:pt idx="627">
                  <c:v>406.56</c:v>
                </c:pt>
                <c:pt idx="628">
                  <c:v>339.9</c:v>
                </c:pt>
                <c:pt idx="629">
                  <c:v>761.08</c:v>
                </c:pt>
                <c:pt idx="630">
                  <c:v>821.42</c:v>
                </c:pt>
                <c:pt idx="631">
                  <c:v>923.64</c:v>
                </c:pt>
                <c:pt idx="632">
                  <c:v>624.29</c:v>
                </c:pt>
                <c:pt idx="633">
                  <c:v>599.66</c:v>
                </c:pt>
                <c:pt idx="634">
                  <c:v>934.88</c:v>
                </c:pt>
                <c:pt idx="635">
                  <c:v>634.19000000000005</c:v>
                </c:pt>
                <c:pt idx="636">
                  <c:v>871.12</c:v>
                </c:pt>
                <c:pt idx="637">
                  <c:v>315.49</c:v>
                </c:pt>
                <c:pt idx="638">
                  <c:v>539.74</c:v>
                </c:pt>
                <c:pt idx="639">
                  <c:v>592.72</c:v>
                </c:pt>
                <c:pt idx="640">
                  <c:v>637.02</c:v>
                </c:pt>
                <c:pt idx="641">
                  <c:v>930.97</c:v>
                </c:pt>
                <c:pt idx="642">
                  <c:v>19.14</c:v>
                </c:pt>
                <c:pt idx="643">
                  <c:v>481.24</c:v>
                </c:pt>
                <c:pt idx="644">
                  <c:v>643.36</c:v>
                </c:pt>
                <c:pt idx="645">
                  <c:v>866.52</c:v>
                </c:pt>
                <c:pt idx="646">
                  <c:v>171.38</c:v>
                </c:pt>
                <c:pt idx="647">
                  <c:v>26.12</c:v>
                </c:pt>
                <c:pt idx="648">
                  <c:v>443.12</c:v>
                </c:pt>
                <c:pt idx="649">
                  <c:v>781.31</c:v>
                </c:pt>
                <c:pt idx="650">
                  <c:v>240.64</c:v>
                </c:pt>
                <c:pt idx="651">
                  <c:v>31.72</c:v>
                </c:pt>
                <c:pt idx="652">
                  <c:v>48.65</c:v>
                </c:pt>
                <c:pt idx="653">
                  <c:v>506.98</c:v>
                </c:pt>
                <c:pt idx="654">
                  <c:v>515.16</c:v>
                </c:pt>
                <c:pt idx="655">
                  <c:v>854.95</c:v>
                </c:pt>
                <c:pt idx="656">
                  <c:v>120.76</c:v>
                </c:pt>
                <c:pt idx="657">
                  <c:v>203.15</c:v>
                </c:pt>
                <c:pt idx="658">
                  <c:v>435.76</c:v>
                </c:pt>
                <c:pt idx="659">
                  <c:v>744.11</c:v>
                </c:pt>
                <c:pt idx="660">
                  <c:v>916.04</c:v>
                </c:pt>
                <c:pt idx="661">
                  <c:v>838.19</c:v>
                </c:pt>
                <c:pt idx="662">
                  <c:v>65.150000000000006</c:v>
                </c:pt>
                <c:pt idx="663">
                  <c:v>981.04</c:v>
                </c:pt>
                <c:pt idx="664">
                  <c:v>143</c:v>
                </c:pt>
                <c:pt idx="665">
                  <c:v>612.54</c:v>
                </c:pt>
                <c:pt idx="666">
                  <c:v>698.03</c:v>
                </c:pt>
                <c:pt idx="667">
                  <c:v>103.11</c:v>
                </c:pt>
                <c:pt idx="668">
                  <c:v>743.3</c:v>
                </c:pt>
                <c:pt idx="669">
                  <c:v>322.64</c:v>
                </c:pt>
                <c:pt idx="670">
                  <c:v>123.96</c:v>
                </c:pt>
                <c:pt idx="671">
                  <c:v>559.61</c:v>
                </c:pt>
                <c:pt idx="672">
                  <c:v>892.28</c:v>
                </c:pt>
                <c:pt idx="673">
                  <c:v>830.79</c:v>
                </c:pt>
                <c:pt idx="674">
                  <c:v>537.23</c:v>
                </c:pt>
                <c:pt idx="675">
                  <c:v>793.84</c:v>
                </c:pt>
                <c:pt idx="676">
                  <c:v>374.59</c:v>
                </c:pt>
                <c:pt idx="677">
                  <c:v>564.48</c:v>
                </c:pt>
                <c:pt idx="678">
                  <c:v>678.42</c:v>
                </c:pt>
                <c:pt idx="679">
                  <c:v>880.18</c:v>
                </c:pt>
                <c:pt idx="680">
                  <c:v>556.1</c:v>
                </c:pt>
                <c:pt idx="681">
                  <c:v>287.36</c:v>
                </c:pt>
                <c:pt idx="682">
                  <c:v>711.37</c:v>
                </c:pt>
                <c:pt idx="683">
                  <c:v>990.87</c:v>
                </c:pt>
                <c:pt idx="684">
                  <c:v>864.67</c:v>
                </c:pt>
                <c:pt idx="685">
                  <c:v>101.07</c:v>
                </c:pt>
                <c:pt idx="686">
                  <c:v>742.39</c:v>
                </c:pt>
                <c:pt idx="687">
                  <c:v>191.9</c:v>
                </c:pt>
                <c:pt idx="688">
                  <c:v>332.34</c:v>
                </c:pt>
                <c:pt idx="689">
                  <c:v>92.69</c:v>
                </c:pt>
                <c:pt idx="690">
                  <c:v>522.95000000000005</c:v>
                </c:pt>
                <c:pt idx="691">
                  <c:v>627.65</c:v>
                </c:pt>
                <c:pt idx="692">
                  <c:v>11.29</c:v>
                </c:pt>
                <c:pt idx="693">
                  <c:v>421.24</c:v>
                </c:pt>
                <c:pt idx="694">
                  <c:v>979.41</c:v>
                </c:pt>
                <c:pt idx="695">
                  <c:v>215.41</c:v>
                </c:pt>
                <c:pt idx="696">
                  <c:v>663.21</c:v>
                </c:pt>
                <c:pt idx="697">
                  <c:v>631.05999999999995</c:v>
                </c:pt>
                <c:pt idx="698">
                  <c:v>223.39</c:v>
                </c:pt>
                <c:pt idx="699">
                  <c:v>401.63</c:v>
                </c:pt>
                <c:pt idx="700">
                  <c:v>610.66</c:v>
                </c:pt>
                <c:pt idx="701">
                  <c:v>544.04</c:v>
                </c:pt>
                <c:pt idx="702">
                  <c:v>278.20999999999998</c:v>
                </c:pt>
                <c:pt idx="703">
                  <c:v>911</c:v>
                </c:pt>
                <c:pt idx="704">
                  <c:v>999.74</c:v>
                </c:pt>
                <c:pt idx="705">
                  <c:v>211.56</c:v>
                </c:pt>
                <c:pt idx="706">
                  <c:v>217.92</c:v>
                </c:pt>
                <c:pt idx="707">
                  <c:v>388.15</c:v>
                </c:pt>
                <c:pt idx="708">
                  <c:v>866.72</c:v>
                </c:pt>
                <c:pt idx="709">
                  <c:v>954.05</c:v>
                </c:pt>
                <c:pt idx="710">
                  <c:v>902.24</c:v>
                </c:pt>
                <c:pt idx="711">
                  <c:v>421.08</c:v>
                </c:pt>
                <c:pt idx="712">
                  <c:v>803.28</c:v>
                </c:pt>
                <c:pt idx="713">
                  <c:v>795.81</c:v>
                </c:pt>
                <c:pt idx="714">
                  <c:v>151.47999999999999</c:v>
                </c:pt>
                <c:pt idx="715">
                  <c:v>154.88999999999999</c:v>
                </c:pt>
                <c:pt idx="716">
                  <c:v>626.35</c:v>
                </c:pt>
                <c:pt idx="717">
                  <c:v>668.21</c:v>
                </c:pt>
                <c:pt idx="718">
                  <c:v>192.46</c:v>
                </c:pt>
                <c:pt idx="719">
                  <c:v>73.13</c:v>
                </c:pt>
                <c:pt idx="720">
                  <c:v>886.44</c:v>
                </c:pt>
                <c:pt idx="721">
                  <c:v>870.38</c:v>
                </c:pt>
                <c:pt idx="722">
                  <c:v>98.32</c:v>
                </c:pt>
                <c:pt idx="723">
                  <c:v>166.45</c:v>
                </c:pt>
                <c:pt idx="724">
                  <c:v>49.06</c:v>
                </c:pt>
                <c:pt idx="725">
                  <c:v>304.86</c:v>
                </c:pt>
                <c:pt idx="726">
                  <c:v>126.15</c:v>
                </c:pt>
                <c:pt idx="727">
                  <c:v>750.51</c:v>
                </c:pt>
                <c:pt idx="728">
                  <c:v>358.22</c:v>
                </c:pt>
                <c:pt idx="729">
                  <c:v>623.78</c:v>
                </c:pt>
                <c:pt idx="730">
                  <c:v>679.67</c:v>
                </c:pt>
                <c:pt idx="731">
                  <c:v>318.74</c:v>
                </c:pt>
                <c:pt idx="732">
                  <c:v>386.51</c:v>
                </c:pt>
                <c:pt idx="733">
                  <c:v>117.03</c:v>
                </c:pt>
                <c:pt idx="734">
                  <c:v>409.35</c:v>
                </c:pt>
                <c:pt idx="735">
                  <c:v>301.58999999999997</c:v>
                </c:pt>
                <c:pt idx="736">
                  <c:v>836.5</c:v>
                </c:pt>
                <c:pt idx="737">
                  <c:v>866.23</c:v>
                </c:pt>
                <c:pt idx="738">
                  <c:v>241.25</c:v>
                </c:pt>
                <c:pt idx="739">
                  <c:v>727.15</c:v>
                </c:pt>
                <c:pt idx="740">
                  <c:v>472.4</c:v>
                </c:pt>
                <c:pt idx="741">
                  <c:v>412.76</c:v>
                </c:pt>
                <c:pt idx="742">
                  <c:v>246.41</c:v>
                </c:pt>
                <c:pt idx="743">
                  <c:v>320.7</c:v>
                </c:pt>
                <c:pt idx="744">
                  <c:v>720.52</c:v>
                </c:pt>
                <c:pt idx="745">
                  <c:v>442.46</c:v>
                </c:pt>
                <c:pt idx="746">
                  <c:v>207.44</c:v>
                </c:pt>
                <c:pt idx="747">
                  <c:v>106.48</c:v>
                </c:pt>
                <c:pt idx="748">
                  <c:v>666.01</c:v>
                </c:pt>
                <c:pt idx="749">
                  <c:v>231.03</c:v>
                </c:pt>
                <c:pt idx="750">
                  <c:v>733.63</c:v>
                </c:pt>
                <c:pt idx="751">
                  <c:v>935.73</c:v>
                </c:pt>
                <c:pt idx="752">
                  <c:v>139.75</c:v>
                </c:pt>
                <c:pt idx="753">
                  <c:v>113.53</c:v>
                </c:pt>
                <c:pt idx="754">
                  <c:v>673.79</c:v>
                </c:pt>
                <c:pt idx="755">
                  <c:v>552.21</c:v>
                </c:pt>
                <c:pt idx="756">
                  <c:v>15.66</c:v>
                </c:pt>
                <c:pt idx="757">
                  <c:v>241.91</c:v>
                </c:pt>
                <c:pt idx="758">
                  <c:v>884.19</c:v>
                </c:pt>
                <c:pt idx="759">
                  <c:v>316.27</c:v>
                </c:pt>
                <c:pt idx="760">
                  <c:v>566.65</c:v>
                </c:pt>
                <c:pt idx="761">
                  <c:v>263.93</c:v>
                </c:pt>
                <c:pt idx="762">
                  <c:v>377.66</c:v>
                </c:pt>
                <c:pt idx="763">
                  <c:v>81.91</c:v>
                </c:pt>
                <c:pt idx="764">
                  <c:v>139.07</c:v>
                </c:pt>
                <c:pt idx="765">
                  <c:v>212.53</c:v>
                </c:pt>
                <c:pt idx="766">
                  <c:v>132.88</c:v>
                </c:pt>
                <c:pt idx="767">
                  <c:v>924.18</c:v>
                </c:pt>
                <c:pt idx="768">
                  <c:v>640.96</c:v>
                </c:pt>
                <c:pt idx="769">
                  <c:v>261.36</c:v>
                </c:pt>
                <c:pt idx="770">
                  <c:v>412.65</c:v>
                </c:pt>
                <c:pt idx="771">
                  <c:v>509.31</c:v>
                </c:pt>
                <c:pt idx="772">
                  <c:v>488.07</c:v>
                </c:pt>
                <c:pt idx="773">
                  <c:v>826.87</c:v>
                </c:pt>
                <c:pt idx="774">
                  <c:v>596.63</c:v>
                </c:pt>
                <c:pt idx="775">
                  <c:v>877.51</c:v>
                </c:pt>
                <c:pt idx="776">
                  <c:v>180.09</c:v>
                </c:pt>
                <c:pt idx="777">
                  <c:v>216.09</c:v>
                </c:pt>
                <c:pt idx="778">
                  <c:v>501.34</c:v>
                </c:pt>
                <c:pt idx="779">
                  <c:v>325.45999999999998</c:v>
                </c:pt>
                <c:pt idx="780">
                  <c:v>944.07</c:v>
                </c:pt>
                <c:pt idx="781">
                  <c:v>954.91</c:v>
                </c:pt>
                <c:pt idx="782">
                  <c:v>73.34</c:v>
                </c:pt>
                <c:pt idx="783">
                  <c:v>105.48</c:v>
                </c:pt>
                <c:pt idx="784">
                  <c:v>491.07</c:v>
                </c:pt>
                <c:pt idx="785">
                  <c:v>409.85</c:v>
                </c:pt>
                <c:pt idx="786">
                  <c:v>215.92</c:v>
                </c:pt>
                <c:pt idx="787">
                  <c:v>523.27</c:v>
                </c:pt>
                <c:pt idx="788">
                  <c:v>640.54999999999995</c:v>
                </c:pt>
                <c:pt idx="789">
                  <c:v>420.03</c:v>
                </c:pt>
                <c:pt idx="790">
                  <c:v>760.27</c:v>
                </c:pt>
                <c:pt idx="791">
                  <c:v>451.86</c:v>
                </c:pt>
                <c:pt idx="792">
                  <c:v>808.89</c:v>
                </c:pt>
                <c:pt idx="793">
                  <c:v>471.87</c:v>
                </c:pt>
                <c:pt idx="794">
                  <c:v>444.09</c:v>
                </c:pt>
                <c:pt idx="795">
                  <c:v>825.85</c:v>
                </c:pt>
                <c:pt idx="796">
                  <c:v>570.87</c:v>
                </c:pt>
                <c:pt idx="797">
                  <c:v>481.56</c:v>
                </c:pt>
                <c:pt idx="798">
                  <c:v>355.67</c:v>
                </c:pt>
                <c:pt idx="799">
                  <c:v>246.07</c:v>
                </c:pt>
                <c:pt idx="800">
                  <c:v>646.4</c:v>
                </c:pt>
                <c:pt idx="801">
                  <c:v>667.8</c:v>
                </c:pt>
                <c:pt idx="802">
                  <c:v>553.35</c:v>
                </c:pt>
                <c:pt idx="803">
                  <c:v>443.22</c:v>
                </c:pt>
                <c:pt idx="804">
                  <c:v>723.66</c:v>
                </c:pt>
                <c:pt idx="805">
                  <c:v>330.95</c:v>
                </c:pt>
                <c:pt idx="806">
                  <c:v>268.76</c:v>
                </c:pt>
                <c:pt idx="807">
                  <c:v>11.01</c:v>
                </c:pt>
                <c:pt idx="808">
                  <c:v>344.59</c:v>
                </c:pt>
                <c:pt idx="809">
                  <c:v>831.05</c:v>
                </c:pt>
                <c:pt idx="810">
                  <c:v>135.22999999999999</c:v>
                </c:pt>
                <c:pt idx="811">
                  <c:v>12.45</c:v>
                </c:pt>
                <c:pt idx="812">
                  <c:v>915.62</c:v>
                </c:pt>
                <c:pt idx="813">
                  <c:v>894.95</c:v>
                </c:pt>
                <c:pt idx="814">
                  <c:v>174.22</c:v>
                </c:pt>
                <c:pt idx="815">
                  <c:v>654.48</c:v>
                </c:pt>
                <c:pt idx="816">
                  <c:v>626.04999999999995</c:v>
                </c:pt>
                <c:pt idx="817">
                  <c:v>40.89</c:v>
                </c:pt>
                <c:pt idx="818">
                  <c:v>669.26</c:v>
                </c:pt>
                <c:pt idx="819">
                  <c:v>347.08</c:v>
                </c:pt>
                <c:pt idx="820">
                  <c:v>821.18</c:v>
                </c:pt>
                <c:pt idx="821">
                  <c:v>197.29</c:v>
                </c:pt>
                <c:pt idx="822">
                  <c:v>806.26</c:v>
                </c:pt>
                <c:pt idx="823">
                  <c:v>319.05</c:v>
                </c:pt>
                <c:pt idx="824">
                  <c:v>335.98</c:v>
                </c:pt>
                <c:pt idx="825">
                  <c:v>77.73</c:v>
                </c:pt>
                <c:pt idx="826">
                  <c:v>941.67</c:v>
                </c:pt>
                <c:pt idx="827">
                  <c:v>179.8</c:v>
                </c:pt>
                <c:pt idx="828">
                  <c:v>389.37</c:v>
                </c:pt>
                <c:pt idx="829">
                  <c:v>94.32</c:v>
                </c:pt>
                <c:pt idx="830">
                  <c:v>169.79</c:v>
                </c:pt>
                <c:pt idx="831">
                  <c:v>238.87</c:v>
                </c:pt>
                <c:pt idx="832">
                  <c:v>204.27</c:v>
                </c:pt>
                <c:pt idx="833">
                  <c:v>947.76</c:v>
                </c:pt>
                <c:pt idx="834">
                  <c:v>611.79</c:v>
                </c:pt>
                <c:pt idx="835">
                  <c:v>109.03</c:v>
                </c:pt>
                <c:pt idx="836">
                  <c:v>492.87</c:v>
                </c:pt>
                <c:pt idx="837">
                  <c:v>559.16</c:v>
                </c:pt>
                <c:pt idx="838">
                  <c:v>685.09</c:v>
                </c:pt>
                <c:pt idx="839">
                  <c:v>85.45</c:v>
                </c:pt>
                <c:pt idx="840">
                  <c:v>506.7</c:v>
                </c:pt>
                <c:pt idx="841">
                  <c:v>26.72</c:v>
                </c:pt>
                <c:pt idx="842">
                  <c:v>326.5</c:v>
                </c:pt>
                <c:pt idx="843">
                  <c:v>138.30000000000001</c:v>
                </c:pt>
                <c:pt idx="844">
                  <c:v>612.09</c:v>
                </c:pt>
                <c:pt idx="845">
                  <c:v>696.9</c:v>
                </c:pt>
                <c:pt idx="846">
                  <c:v>389.97</c:v>
                </c:pt>
                <c:pt idx="847">
                  <c:v>785.55</c:v>
                </c:pt>
                <c:pt idx="848">
                  <c:v>832.57</c:v>
                </c:pt>
                <c:pt idx="849">
                  <c:v>159.13</c:v>
                </c:pt>
                <c:pt idx="850">
                  <c:v>769</c:v>
                </c:pt>
                <c:pt idx="851">
                  <c:v>273.38</c:v>
                </c:pt>
                <c:pt idx="852">
                  <c:v>800.46</c:v>
                </c:pt>
                <c:pt idx="853">
                  <c:v>172.39</c:v>
                </c:pt>
                <c:pt idx="854">
                  <c:v>667.92</c:v>
                </c:pt>
                <c:pt idx="855">
                  <c:v>177.64</c:v>
                </c:pt>
                <c:pt idx="856">
                  <c:v>923.37</c:v>
                </c:pt>
                <c:pt idx="857">
                  <c:v>998.51</c:v>
                </c:pt>
                <c:pt idx="858">
                  <c:v>371.77</c:v>
                </c:pt>
                <c:pt idx="859">
                  <c:v>266.83</c:v>
                </c:pt>
                <c:pt idx="860">
                  <c:v>101.48</c:v>
                </c:pt>
                <c:pt idx="861">
                  <c:v>141.72</c:v>
                </c:pt>
                <c:pt idx="862">
                  <c:v>99.52</c:v>
                </c:pt>
                <c:pt idx="863">
                  <c:v>551.42999999999995</c:v>
                </c:pt>
                <c:pt idx="864">
                  <c:v>886.61</c:v>
                </c:pt>
                <c:pt idx="865">
                  <c:v>248.68</c:v>
                </c:pt>
                <c:pt idx="866">
                  <c:v>647.35</c:v>
                </c:pt>
                <c:pt idx="867">
                  <c:v>499.07</c:v>
                </c:pt>
                <c:pt idx="868">
                  <c:v>37.57</c:v>
                </c:pt>
                <c:pt idx="869">
                  <c:v>179.71</c:v>
                </c:pt>
                <c:pt idx="870">
                  <c:v>385.1</c:v>
                </c:pt>
                <c:pt idx="871">
                  <c:v>891.19</c:v>
                </c:pt>
                <c:pt idx="872">
                  <c:v>317.77999999999997</c:v>
                </c:pt>
                <c:pt idx="873">
                  <c:v>121.22</c:v>
                </c:pt>
                <c:pt idx="874">
                  <c:v>213.88</c:v>
                </c:pt>
                <c:pt idx="875">
                  <c:v>253.64</c:v>
                </c:pt>
                <c:pt idx="876">
                  <c:v>990.34</c:v>
                </c:pt>
                <c:pt idx="877">
                  <c:v>122.7</c:v>
                </c:pt>
                <c:pt idx="878">
                  <c:v>998.09</c:v>
                </c:pt>
                <c:pt idx="879">
                  <c:v>684.88</c:v>
                </c:pt>
                <c:pt idx="880">
                  <c:v>30.51</c:v>
                </c:pt>
                <c:pt idx="881">
                  <c:v>363.94</c:v>
                </c:pt>
                <c:pt idx="882">
                  <c:v>967.26</c:v>
                </c:pt>
                <c:pt idx="883">
                  <c:v>505.16</c:v>
                </c:pt>
                <c:pt idx="884">
                  <c:v>41.93</c:v>
                </c:pt>
                <c:pt idx="885">
                  <c:v>424.36</c:v>
                </c:pt>
                <c:pt idx="886">
                  <c:v>508.86</c:v>
                </c:pt>
                <c:pt idx="887">
                  <c:v>515.88</c:v>
                </c:pt>
                <c:pt idx="888">
                  <c:v>532.51</c:v>
                </c:pt>
                <c:pt idx="889">
                  <c:v>88.44</c:v>
                </c:pt>
                <c:pt idx="890">
                  <c:v>110.32</c:v>
                </c:pt>
                <c:pt idx="891">
                  <c:v>589.35</c:v>
                </c:pt>
                <c:pt idx="892">
                  <c:v>774.5</c:v>
                </c:pt>
                <c:pt idx="893">
                  <c:v>843.87</c:v>
                </c:pt>
                <c:pt idx="894">
                  <c:v>399.58</c:v>
                </c:pt>
                <c:pt idx="895">
                  <c:v>636.65</c:v>
                </c:pt>
                <c:pt idx="896">
                  <c:v>95.08</c:v>
                </c:pt>
                <c:pt idx="897">
                  <c:v>265.04000000000002</c:v>
                </c:pt>
                <c:pt idx="898">
                  <c:v>23.33</c:v>
                </c:pt>
                <c:pt idx="899">
                  <c:v>29.58</c:v>
                </c:pt>
                <c:pt idx="900">
                  <c:v>848.14</c:v>
                </c:pt>
                <c:pt idx="901">
                  <c:v>714.15</c:v>
                </c:pt>
                <c:pt idx="902">
                  <c:v>480.87</c:v>
                </c:pt>
                <c:pt idx="903">
                  <c:v>798.2</c:v>
                </c:pt>
                <c:pt idx="904">
                  <c:v>453.34</c:v>
                </c:pt>
                <c:pt idx="905">
                  <c:v>762.41</c:v>
                </c:pt>
                <c:pt idx="906">
                  <c:v>762.55</c:v>
                </c:pt>
                <c:pt idx="907">
                  <c:v>115.09</c:v>
                </c:pt>
                <c:pt idx="908">
                  <c:v>160.11000000000001</c:v>
                </c:pt>
                <c:pt idx="909">
                  <c:v>279.95999999999998</c:v>
                </c:pt>
                <c:pt idx="910">
                  <c:v>49.53</c:v>
                </c:pt>
                <c:pt idx="911">
                  <c:v>356.35</c:v>
                </c:pt>
                <c:pt idx="912">
                  <c:v>706.37</c:v>
                </c:pt>
                <c:pt idx="913">
                  <c:v>635.92999999999995</c:v>
                </c:pt>
                <c:pt idx="914">
                  <c:v>915.02</c:v>
                </c:pt>
                <c:pt idx="915">
                  <c:v>479.36</c:v>
                </c:pt>
                <c:pt idx="916">
                  <c:v>35.159999999999997</c:v>
                </c:pt>
                <c:pt idx="917">
                  <c:v>894.21</c:v>
                </c:pt>
                <c:pt idx="918">
                  <c:v>759.6</c:v>
                </c:pt>
                <c:pt idx="919">
                  <c:v>21.9</c:v>
                </c:pt>
                <c:pt idx="920">
                  <c:v>192.31</c:v>
                </c:pt>
                <c:pt idx="921">
                  <c:v>577</c:v>
                </c:pt>
                <c:pt idx="922">
                  <c:v>169.58</c:v>
                </c:pt>
                <c:pt idx="923">
                  <c:v>934.34</c:v>
                </c:pt>
                <c:pt idx="924">
                  <c:v>261.19</c:v>
                </c:pt>
                <c:pt idx="925">
                  <c:v>205.58</c:v>
                </c:pt>
                <c:pt idx="926">
                  <c:v>532.23</c:v>
                </c:pt>
                <c:pt idx="927">
                  <c:v>279.77</c:v>
                </c:pt>
                <c:pt idx="928">
                  <c:v>782.55</c:v>
                </c:pt>
                <c:pt idx="929">
                  <c:v>372.03</c:v>
                </c:pt>
                <c:pt idx="930">
                  <c:v>78.819999999999993</c:v>
                </c:pt>
                <c:pt idx="931">
                  <c:v>998.98</c:v>
                </c:pt>
                <c:pt idx="932">
                  <c:v>670.51</c:v>
                </c:pt>
                <c:pt idx="933">
                  <c:v>632.6</c:v>
                </c:pt>
                <c:pt idx="934">
                  <c:v>341.63</c:v>
                </c:pt>
                <c:pt idx="935">
                  <c:v>688.61</c:v>
                </c:pt>
                <c:pt idx="936">
                  <c:v>114.47</c:v>
                </c:pt>
                <c:pt idx="937">
                  <c:v>656.9</c:v>
                </c:pt>
                <c:pt idx="938">
                  <c:v>592.97</c:v>
                </c:pt>
                <c:pt idx="939">
                  <c:v>877.17</c:v>
                </c:pt>
                <c:pt idx="940">
                  <c:v>916.28</c:v>
                </c:pt>
                <c:pt idx="941">
                  <c:v>828.04</c:v>
                </c:pt>
                <c:pt idx="942">
                  <c:v>799.33</c:v>
                </c:pt>
                <c:pt idx="943">
                  <c:v>219.67</c:v>
                </c:pt>
                <c:pt idx="944">
                  <c:v>59.82</c:v>
                </c:pt>
                <c:pt idx="945">
                  <c:v>391.45</c:v>
                </c:pt>
                <c:pt idx="946">
                  <c:v>737.91</c:v>
                </c:pt>
                <c:pt idx="947">
                  <c:v>461.61</c:v>
                </c:pt>
                <c:pt idx="948">
                  <c:v>34.880000000000003</c:v>
                </c:pt>
                <c:pt idx="949">
                  <c:v>177.69</c:v>
                </c:pt>
                <c:pt idx="950">
                  <c:v>633.5</c:v>
                </c:pt>
                <c:pt idx="951">
                  <c:v>542.03</c:v>
                </c:pt>
                <c:pt idx="952">
                  <c:v>302.05</c:v>
                </c:pt>
                <c:pt idx="953">
                  <c:v>926.69</c:v>
                </c:pt>
                <c:pt idx="954">
                  <c:v>255.08</c:v>
                </c:pt>
                <c:pt idx="955">
                  <c:v>112.11</c:v>
                </c:pt>
                <c:pt idx="956">
                  <c:v>826.02</c:v>
                </c:pt>
                <c:pt idx="957">
                  <c:v>933.65</c:v>
                </c:pt>
                <c:pt idx="958">
                  <c:v>199.17</c:v>
                </c:pt>
                <c:pt idx="959">
                  <c:v>860.95</c:v>
                </c:pt>
                <c:pt idx="960">
                  <c:v>706.18</c:v>
                </c:pt>
                <c:pt idx="961">
                  <c:v>980.47</c:v>
                </c:pt>
                <c:pt idx="962">
                  <c:v>251.23</c:v>
                </c:pt>
                <c:pt idx="963">
                  <c:v>25.86</c:v>
                </c:pt>
                <c:pt idx="964">
                  <c:v>320.95</c:v>
                </c:pt>
                <c:pt idx="965">
                  <c:v>507.62</c:v>
                </c:pt>
                <c:pt idx="966">
                  <c:v>636.29</c:v>
                </c:pt>
                <c:pt idx="967">
                  <c:v>84.98</c:v>
                </c:pt>
                <c:pt idx="968">
                  <c:v>138.81</c:v>
                </c:pt>
                <c:pt idx="969">
                  <c:v>758.44</c:v>
                </c:pt>
                <c:pt idx="970">
                  <c:v>30.13</c:v>
                </c:pt>
                <c:pt idx="971">
                  <c:v>976.83</c:v>
                </c:pt>
                <c:pt idx="972">
                  <c:v>913.84</c:v>
                </c:pt>
                <c:pt idx="973">
                  <c:v>559.73</c:v>
                </c:pt>
                <c:pt idx="974">
                  <c:v>659.67</c:v>
                </c:pt>
                <c:pt idx="975">
                  <c:v>217.78</c:v>
                </c:pt>
                <c:pt idx="976">
                  <c:v>104.35</c:v>
                </c:pt>
                <c:pt idx="977">
                  <c:v>258.08999999999997</c:v>
                </c:pt>
                <c:pt idx="978">
                  <c:v>219.02</c:v>
                </c:pt>
                <c:pt idx="979">
                  <c:v>140.52000000000001</c:v>
                </c:pt>
                <c:pt idx="980">
                  <c:v>626.27</c:v>
                </c:pt>
                <c:pt idx="981">
                  <c:v>772.63</c:v>
                </c:pt>
                <c:pt idx="982">
                  <c:v>15.72</c:v>
                </c:pt>
                <c:pt idx="983">
                  <c:v>979.39</c:v>
                </c:pt>
                <c:pt idx="984">
                  <c:v>844.95</c:v>
                </c:pt>
                <c:pt idx="985">
                  <c:v>557.41</c:v>
                </c:pt>
                <c:pt idx="986">
                  <c:v>270.14999999999998</c:v>
                </c:pt>
                <c:pt idx="987">
                  <c:v>112.22</c:v>
                </c:pt>
                <c:pt idx="988">
                  <c:v>145.66</c:v>
                </c:pt>
                <c:pt idx="989">
                  <c:v>625.26</c:v>
                </c:pt>
                <c:pt idx="990">
                  <c:v>373.49</c:v>
                </c:pt>
                <c:pt idx="991">
                  <c:v>291.95999999999998</c:v>
                </c:pt>
                <c:pt idx="992">
                  <c:v>311.08</c:v>
                </c:pt>
                <c:pt idx="993">
                  <c:v>484.72</c:v>
                </c:pt>
                <c:pt idx="994">
                  <c:v>241.99</c:v>
                </c:pt>
                <c:pt idx="995">
                  <c:v>100.64</c:v>
                </c:pt>
                <c:pt idx="996">
                  <c:v>957.5</c:v>
                </c:pt>
                <c:pt idx="997">
                  <c:v>350.08</c:v>
                </c:pt>
                <c:pt idx="998">
                  <c:v>253.13</c:v>
                </c:pt>
                <c:pt idx="999">
                  <c:v>318.7</c:v>
                </c:pt>
                <c:pt idx="1000">
                  <c:v>422.93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FC-4365-931A-0EE2A8012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55344"/>
        <c:axId val="454552944"/>
      </c:scatterChart>
      <c:valAx>
        <c:axId val="454555344"/>
        <c:scaling>
          <c:orientation val="minMax"/>
          <c:min val="2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#,##0,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52944"/>
        <c:crosses val="autoZero"/>
        <c:crossBetween val="midCat"/>
      </c:valAx>
      <c:valAx>
        <c:axId val="45455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5534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EBD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Which</a:t>
            </a:r>
            <a:r>
              <a:rPr lang="en-US" baseline="0">
                <a:solidFill>
                  <a:schemeClr val="tx1"/>
                </a:solidFill>
              </a:rPr>
              <a:t> Customers had the Highest Purchase?</a:t>
            </a:r>
            <a:endParaRPr lang="en-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23E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'Top 10 Customers'!$A$2:$A$1001</c:f>
              <c:numCache>
                <c:formatCode>General</c:formatCode>
                <c:ptCount val="11"/>
                <c:pt idx="0">
                  <c:v>795</c:v>
                </c:pt>
                <c:pt idx="1">
                  <c:v>984</c:v>
                </c:pt>
                <c:pt idx="2">
                  <c:v>4</c:v>
                </c:pt>
                <c:pt idx="3">
                  <c:v>802</c:v>
                </c:pt>
                <c:pt idx="4">
                  <c:v>454</c:v>
                </c:pt>
                <c:pt idx="5">
                  <c:v>796</c:v>
                </c:pt>
                <c:pt idx="6">
                  <c:v>277</c:v>
                </c:pt>
                <c:pt idx="7">
                  <c:v>845</c:v>
                </c:pt>
                <c:pt idx="8">
                  <c:v>541</c:v>
                </c:pt>
                <c:pt idx="9">
                  <c:v>381</c:v>
                </c:pt>
                <c:pt idx="10">
                  <c:v>267</c:v>
                </c:pt>
              </c:numCache>
            </c:numRef>
          </c:cat>
          <c:val>
            <c:numRef>
              <c:f>'Top 10 Customers'!$I$2:$I$1001</c:f>
              <c:numCache>
                <c:formatCode>General</c:formatCode>
                <c:ptCount val="11"/>
                <c:pt idx="0">
                  <c:v>990.34</c:v>
                </c:pt>
                <c:pt idx="1">
                  <c:v>990.87</c:v>
                </c:pt>
                <c:pt idx="2">
                  <c:v>991.93</c:v>
                </c:pt>
                <c:pt idx="3">
                  <c:v>992.17</c:v>
                </c:pt>
                <c:pt idx="4">
                  <c:v>994.1</c:v>
                </c:pt>
                <c:pt idx="5">
                  <c:v>997.15</c:v>
                </c:pt>
                <c:pt idx="6">
                  <c:v>997.24</c:v>
                </c:pt>
                <c:pt idx="7">
                  <c:v>998.09</c:v>
                </c:pt>
                <c:pt idx="8">
                  <c:v>998.51</c:v>
                </c:pt>
                <c:pt idx="9">
                  <c:v>998.98</c:v>
                </c:pt>
                <c:pt idx="10">
                  <c:v>999.74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B-428D-8778-38B8CCB7A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4558704"/>
        <c:axId val="454542384"/>
      </c:barChart>
      <c:catAx>
        <c:axId val="454558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42384"/>
        <c:crosses val="autoZero"/>
        <c:auto val="1"/>
        <c:lblAlgn val="ctr"/>
        <c:lblOffset val="100"/>
        <c:noMultiLvlLbl val="0"/>
      </c:catAx>
      <c:valAx>
        <c:axId val="45454238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Last Purchase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crossAx val="45455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EBD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analysis 2.xlsx]gender_breakdown!PivotTable1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WHAT IS THE GENDER BREAKDOWN?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6E675F"/>
          </a:solidFill>
          <a:ln w="19050">
            <a:noFill/>
          </a:ln>
          <a:effectLst/>
        </c:spPr>
        <c:dLbl>
          <c:idx val="0"/>
          <c:layout>
            <c:manualLayout>
              <c:x val="0.11388888888888889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E3B23C"/>
          </a:solidFill>
          <a:ln w="19050">
            <a:noFill/>
          </a:ln>
          <a:effectLst/>
        </c:spPr>
        <c:dLbl>
          <c:idx val="0"/>
          <c:layout>
            <c:manualLayout>
              <c:x val="0.22777777777777777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423E37"/>
          </a:solidFill>
          <a:ln w="19050">
            <a:noFill/>
          </a:ln>
          <a:effectLst/>
        </c:spPr>
        <c:dLbl>
          <c:idx val="0"/>
          <c:layout>
            <c:manualLayout>
              <c:x val="-0.1"/>
              <c:y val="-0.111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5"/>
        <c:spPr>
          <a:solidFill>
            <a:srgbClr val="423E37"/>
          </a:solidFill>
          <a:ln w="19050">
            <a:noFill/>
          </a:ln>
          <a:effectLst/>
        </c:spPr>
        <c:dLbl>
          <c:idx val="0"/>
          <c:layout>
            <c:manualLayout>
              <c:x val="-0.13611111111111113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531780402449694"/>
          <c:y val="0.12481189851268591"/>
          <c:w val="0.50844619422572168"/>
          <c:h val="0.84741032370953617"/>
        </c:manualLayout>
      </c:layout>
      <c:doughnutChart>
        <c:varyColors val="1"/>
        <c:ser>
          <c:idx val="0"/>
          <c:order val="0"/>
          <c:tx>
            <c:strRef>
              <c:f>gender_breakdown!$B$1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6E675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B6-478B-8A80-B260C8D46A3E}"/>
              </c:ext>
            </c:extLst>
          </c:dPt>
          <c:dPt>
            <c:idx val="1"/>
            <c:bubble3D val="0"/>
            <c:spPr>
              <a:solidFill>
                <a:srgbClr val="E3B23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B6-478B-8A80-B260C8D46A3E}"/>
              </c:ext>
            </c:extLst>
          </c:dPt>
          <c:dPt>
            <c:idx val="2"/>
            <c:bubble3D val="0"/>
            <c:spPr>
              <a:solidFill>
                <a:srgbClr val="423E3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B6-478B-8A80-B260C8D46A3E}"/>
              </c:ext>
            </c:extLst>
          </c:dPt>
          <c:dLbls>
            <c:dLbl>
              <c:idx val="0"/>
              <c:layout>
                <c:manualLayout>
                  <c:x val="0.11388888888888889"/>
                  <c:y val="-0.11111111111111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B6-478B-8A80-B260C8D46A3E}"/>
                </c:ext>
              </c:extLst>
            </c:dLbl>
            <c:dLbl>
              <c:idx val="1"/>
              <c:layout>
                <c:manualLayout>
                  <c:x val="0.22777777777777777"/>
                  <c:y val="-9.259259259259258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B6-478B-8A80-B260C8D46A3E}"/>
                </c:ext>
              </c:extLst>
            </c:dLbl>
            <c:dLbl>
              <c:idx val="2"/>
              <c:layout>
                <c:manualLayout>
                  <c:x val="-0.13611111111111113"/>
                  <c:y val="-8.7962962962962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B6-478B-8A80-B260C8D46A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gender_breakdown!$A$2:$A$5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gender_breakdown!$B$2:$B$5</c:f>
              <c:numCache>
                <c:formatCode>General</c:formatCode>
                <c:ptCount val="3"/>
                <c:pt idx="0">
                  <c:v>316</c:v>
                </c:pt>
                <c:pt idx="1">
                  <c:v>357</c:v>
                </c:pt>
                <c:pt idx="2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0-494F-8692-89062ED91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solidFill>
          <a:srgbClr val="EDEBD7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EBD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analysis 2.xlsx]Preferred Categories!PivotTable1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Which Category is the Most Popular?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rgbClr val="423E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'Preferred Categories'!$B$1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3E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'Preferred Categories'!$A$2:$A$7</c:f>
              <c:strCache>
                <c:ptCount val="5"/>
                <c:pt idx="0">
                  <c:v>Clothing</c:v>
                </c:pt>
                <c:pt idx="1">
                  <c:v>Groceries</c:v>
                </c:pt>
                <c:pt idx="2">
                  <c:v>Home &amp; Garden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'Preferred Categories'!$B$2:$B$7</c:f>
              <c:numCache>
                <c:formatCode>General</c:formatCode>
                <c:ptCount val="5"/>
                <c:pt idx="0">
                  <c:v>170</c:v>
                </c:pt>
                <c:pt idx="1">
                  <c:v>199</c:v>
                </c:pt>
                <c:pt idx="2">
                  <c:v>206</c:v>
                </c:pt>
                <c:pt idx="3">
                  <c:v>210</c:v>
                </c:pt>
                <c:pt idx="4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0-4A9C-87AE-913883343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4563024"/>
        <c:axId val="454555824"/>
      </c:barChart>
      <c:catAx>
        <c:axId val="454563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55824"/>
        <c:crosses val="autoZero"/>
        <c:auto val="1"/>
        <c:lblAlgn val="ctr"/>
        <c:lblOffset val="100"/>
        <c:noMultiLvlLbl val="0"/>
      </c:catAx>
      <c:valAx>
        <c:axId val="4545558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crossAx val="45456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EBD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Income VS Spending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9.1222236564691708E-2"/>
          <c:y val="0.10756698821007503"/>
          <c:w val="0.8762423303644421"/>
          <c:h val="0.76208657197593066"/>
        </c:manualLayout>
      </c:layout>
      <c:scatterChart>
        <c:scatterStyle val="lineMarker"/>
        <c:varyColors val="0"/>
        <c:ser>
          <c:idx val="0"/>
          <c:order val="0"/>
          <c:tx>
            <c:v>Low Income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E675F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>
                    <a:lumMod val="85000"/>
                    <a:lumOff val="1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'Income_vs_spending score'!$K$2:$K$1001</c:f>
              <c:numCache>
                <c:formatCode>_-[$$-409]* #,##0_ ;_-[$$-409]* \-#,##0\ ;_-[$$-409]* "-"??_ ;_-@_ 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49077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42404</c:v>
                </c:pt>
                <c:pt idx="7">
                  <c:v>#N/A</c:v>
                </c:pt>
                <c:pt idx="8">
                  <c:v>47990</c:v>
                </c:pt>
                <c:pt idx="9">
                  <c:v>#N/A</c:v>
                </c:pt>
                <c:pt idx="10">
                  <c:v>#N/A</c:v>
                </c:pt>
                <c:pt idx="11">
                  <c:v>48693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48445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42889</c:v>
                </c:pt>
                <c:pt idx="30">
                  <c:v>#N/A</c:v>
                </c:pt>
                <c:pt idx="31">
                  <c:v>46524</c:v>
                </c:pt>
                <c:pt idx="32">
                  <c:v>#N/A</c:v>
                </c:pt>
                <c:pt idx="33">
                  <c:v>#N/A</c:v>
                </c:pt>
                <c:pt idx="34">
                  <c:v>39113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38240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48641</c:v>
                </c:pt>
                <c:pt idx="44">
                  <c:v>#N/A</c:v>
                </c:pt>
                <c:pt idx="45">
                  <c:v>36763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38558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48329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45147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42855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31154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40590</c:v>
                </c:pt>
                <c:pt idx="106">
                  <c:v>#N/A</c:v>
                </c:pt>
                <c:pt idx="107">
                  <c:v>#N/A</c:v>
                </c:pt>
                <c:pt idx="108">
                  <c:v>49308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35565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43965</c:v>
                </c:pt>
                <c:pt idx="118">
                  <c:v>#N/A</c:v>
                </c:pt>
                <c:pt idx="119">
                  <c:v>43175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33604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34657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43316</c:v>
                </c:pt>
                <c:pt idx="139">
                  <c:v>#N/A</c:v>
                </c:pt>
                <c:pt idx="140">
                  <c:v>#N/A</c:v>
                </c:pt>
                <c:pt idx="141">
                  <c:v>46866</c:v>
                </c:pt>
                <c:pt idx="142">
                  <c:v>#N/A</c:v>
                </c:pt>
                <c:pt idx="143">
                  <c:v>48068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45551</c:v>
                </c:pt>
                <c:pt idx="148">
                  <c:v>#N/A</c:v>
                </c:pt>
                <c:pt idx="149">
                  <c:v>48768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34424</c:v>
                </c:pt>
                <c:pt idx="154">
                  <c:v>41849</c:v>
                </c:pt>
                <c:pt idx="155">
                  <c:v>#N/A</c:v>
                </c:pt>
                <c:pt idx="156">
                  <c:v>#N/A</c:v>
                </c:pt>
                <c:pt idx="157">
                  <c:v>35514</c:v>
                </c:pt>
                <c:pt idx="158">
                  <c:v>32860</c:v>
                </c:pt>
                <c:pt idx="159">
                  <c:v>42337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30570</c:v>
                </c:pt>
                <c:pt idx="167">
                  <c:v>48714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39407</c:v>
                </c:pt>
                <c:pt idx="173">
                  <c:v>39407</c:v>
                </c:pt>
                <c:pt idx="174">
                  <c:v>#N/A</c:v>
                </c:pt>
                <c:pt idx="175">
                  <c:v>#N/A</c:v>
                </c:pt>
                <c:pt idx="176">
                  <c:v>32030</c:v>
                </c:pt>
                <c:pt idx="177">
                  <c:v>#N/A</c:v>
                </c:pt>
                <c:pt idx="178">
                  <c:v>#N/A</c:v>
                </c:pt>
                <c:pt idx="179">
                  <c:v>36282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30004</c:v>
                </c:pt>
                <c:pt idx="196">
                  <c:v>47499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32144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43192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30102</c:v>
                </c:pt>
                <c:pt idx="220">
                  <c:v>33546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33087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35394</c:v>
                </c:pt>
                <c:pt idx="233">
                  <c:v>#N/A</c:v>
                </c:pt>
                <c:pt idx="234">
                  <c:v>30708</c:v>
                </c:pt>
                <c:pt idx="235">
                  <c:v>49346</c:v>
                </c:pt>
                <c:pt idx="236">
                  <c:v>#N/A</c:v>
                </c:pt>
                <c:pt idx="237">
                  <c:v>#N/A</c:v>
                </c:pt>
                <c:pt idx="238">
                  <c:v>33030</c:v>
                </c:pt>
                <c:pt idx="239">
                  <c:v>33987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49725</c:v>
                </c:pt>
                <c:pt idx="247">
                  <c:v>47458</c:v>
                </c:pt>
                <c:pt idx="248">
                  <c:v>36383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30121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32827</c:v>
                </c:pt>
                <c:pt idx="262">
                  <c:v>#N/A</c:v>
                </c:pt>
                <c:pt idx="263">
                  <c:v>38683</c:v>
                </c:pt>
                <c:pt idx="264">
                  <c:v>#N/A</c:v>
                </c:pt>
                <c:pt idx="265">
                  <c:v>#N/A</c:v>
                </c:pt>
                <c:pt idx="266">
                  <c:v>33065</c:v>
                </c:pt>
                <c:pt idx="267">
                  <c:v>#N/A</c:v>
                </c:pt>
                <c:pt idx="268">
                  <c:v>49970</c:v>
                </c:pt>
                <c:pt idx="269">
                  <c:v>37595</c:v>
                </c:pt>
                <c:pt idx="270">
                  <c:v>#N/A</c:v>
                </c:pt>
                <c:pt idx="271">
                  <c:v>#N/A</c:v>
                </c:pt>
                <c:pt idx="272">
                  <c:v>38012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48504</c:v>
                </c:pt>
                <c:pt idx="280">
                  <c:v>44725</c:v>
                </c:pt>
                <c:pt idx="281">
                  <c:v>37201</c:v>
                </c:pt>
                <c:pt idx="282">
                  <c:v>49342</c:v>
                </c:pt>
                <c:pt idx="283">
                  <c:v>32692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46695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33009</c:v>
                </c:pt>
                <c:pt idx="312">
                  <c:v>#N/A</c:v>
                </c:pt>
                <c:pt idx="313">
                  <c:v>#N/A</c:v>
                </c:pt>
                <c:pt idx="314">
                  <c:v>48225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31668</c:v>
                </c:pt>
                <c:pt idx="319">
                  <c:v>36022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37569</c:v>
                </c:pt>
                <c:pt idx="324">
                  <c:v>32276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49140</c:v>
                </c:pt>
                <c:pt idx="338">
                  <c:v>47482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49557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33706</c:v>
                </c:pt>
                <c:pt idx="353">
                  <c:v>42779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47099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30058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44048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34982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46738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46707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38785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47689</c:v>
                </c:pt>
                <c:pt idx="411">
                  <c:v>38250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47790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49020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30374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36843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47989</c:v>
                </c:pt>
                <c:pt idx="479">
                  <c:v>#N/A</c:v>
                </c:pt>
                <c:pt idx="480">
                  <c:v>#N/A</c:v>
                </c:pt>
                <c:pt idx="481">
                  <c:v>38652</c:v>
                </c:pt>
                <c:pt idx="482">
                  <c:v>30492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45024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30738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37547</c:v>
                </c:pt>
                <c:pt idx="507">
                  <c:v>#N/A</c:v>
                </c:pt>
                <c:pt idx="508">
                  <c:v>42089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45562</c:v>
                </c:pt>
                <c:pt idx="525">
                  <c:v>#N/A</c:v>
                </c:pt>
                <c:pt idx="526">
                  <c:v>32539</c:v>
                </c:pt>
                <c:pt idx="527">
                  <c:v>46368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48802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33018</c:v>
                </c:pt>
                <c:pt idx="539">
                  <c:v>#N/A</c:v>
                </c:pt>
                <c:pt idx="540">
                  <c:v>43138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40936</c:v>
                </c:pt>
                <c:pt idx="545">
                  <c:v>#N/A</c:v>
                </c:pt>
                <c:pt idx="546">
                  <c:v>#N/A</c:v>
                </c:pt>
                <c:pt idx="547">
                  <c:v>37993</c:v>
                </c:pt>
                <c:pt idx="548">
                  <c:v>#N/A</c:v>
                </c:pt>
                <c:pt idx="549">
                  <c:v>40385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48896</c:v>
                </c:pt>
                <c:pt idx="554">
                  <c:v>48383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37003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45781</c:v>
                </c:pt>
                <c:pt idx="585">
                  <c:v>#N/A</c:v>
                </c:pt>
                <c:pt idx="586">
                  <c:v>#N/A</c:v>
                </c:pt>
                <c:pt idx="587">
                  <c:v>44597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35122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40932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30969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38209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49607</c:v>
                </c:pt>
                <c:pt idx="612">
                  <c:v>45092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31806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45827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35218</c:v>
                </c:pt>
                <c:pt idx="637">
                  <c:v>#N/A</c:v>
                </c:pt>
                <c:pt idx="638">
                  <c:v>#N/A</c:v>
                </c:pt>
                <c:pt idx="639">
                  <c:v>35406</c:v>
                </c:pt>
                <c:pt idx="640">
                  <c:v>#N/A</c:v>
                </c:pt>
                <c:pt idx="641">
                  <c:v>#N/A</c:v>
                </c:pt>
                <c:pt idx="642">
                  <c:v>37713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42390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41072</c:v>
                </c:pt>
                <c:pt idx="663">
                  <c:v>#N/A</c:v>
                </c:pt>
                <c:pt idx="664">
                  <c:v>36577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43031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30523</c:v>
                </c:pt>
                <c:pt idx="677">
                  <c:v>44555</c:v>
                </c:pt>
                <c:pt idx="678">
                  <c:v>37014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45695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45136</c:v>
                </c:pt>
                <c:pt idx="688">
                  <c:v>#N/A</c:v>
                </c:pt>
                <c:pt idx="689">
                  <c:v>#N/A</c:v>
                </c:pt>
                <c:pt idx="690">
                  <c:v>40676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32512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41917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41544</c:v>
                </c:pt>
                <c:pt idx="744">
                  <c:v>#N/A</c:v>
                </c:pt>
                <c:pt idx="745">
                  <c:v>#N/A</c:v>
                </c:pt>
                <c:pt idx="746">
                  <c:v>42201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48155</c:v>
                </c:pt>
                <c:pt idx="760">
                  <c:v>#N/A</c:v>
                </c:pt>
                <c:pt idx="761">
                  <c:v>39509</c:v>
                </c:pt>
                <c:pt idx="762">
                  <c:v>#N/A</c:v>
                </c:pt>
                <c:pt idx="763">
                  <c:v>33665</c:v>
                </c:pt>
                <c:pt idx="764">
                  <c:v>#N/A</c:v>
                </c:pt>
                <c:pt idx="765">
                  <c:v>41542</c:v>
                </c:pt>
                <c:pt idx="766">
                  <c:v>#N/A</c:v>
                </c:pt>
                <c:pt idx="767">
                  <c:v>#N/A</c:v>
                </c:pt>
                <c:pt idx="768">
                  <c:v>39931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43069</c:v>
                </c:pt>
                <c:pt idx="778">
                  <c:v>46900</c:v>
                </c:pt>
                <c:pt idx="779">
                  <c:v>#N/A</c:v>
                </c:pt>
                <c:pt idx="780">
                  <c:v>40478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46610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48169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34901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40595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45458</c:v>
                </c:pt>
                <c:pt idx="810">
                  <c:v>#N/A</c:v>
                </c:pt>
                <c:pt idx="811">
                  <c:v>45164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40471</c:v>
                </c:pt>
                <c:pt idx="817">
                  <c:v>#N/A</c:v>
                </c:pt>
                <c:pt idx="818">
                  <c:v>#N/A</c:v>
                </c:pt>
                <c:pt idx="819">
                  <c:v>45839</c:v>
                </c:pt>
                <c:pt idx="820">
                  <c:v>45733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31451</c:v>
                </c:pt>
                <c:pt idx="834">
                  <c:v>49020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30751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46563</c:v>
                </c:pt>
                <c:pt idx="852">
                  <c:v>#N/A</c:v>
                </c:pt>
                <c:pt idx="853">
                  <c:v>43308</c:v>
                </c:pt>
                <c:pt idx="854">
                  <c:v>41730</c:v>
                </c:pt>
                <c:pt idx="855">
                  <c:v>#N/A</c:v>
                </c:pt>
                <c:pt idx="856">
                  <c:v>#N/A</c:v>
                </c:pt>
                <c:pt idx="857">
                  <c:v>31458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38271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42499</c:v>
                </c:pt>
                <c:pt idx="868">
                  <c:v>43545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45432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36140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41748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42378</c:v>
                </c:pt>
                <c:pt idx="927">
                  <c:v>#N/A</c:v>
                </c:pt>
                <c:pt idx="928">
                  <c:v>#N/A</c:v>
                </c:pt>
                <c:pt idx="929">
                  <c:v>30074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49336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46106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40858</c:v>
                </c:pt>
                <c:pt idx="948">
                  <c:v>35529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37310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34122</c:v>
                </c:pt>
                <c:pt idx="969">
                  <c:v>#N/A</c:v>
                </c:pt>
                <c:pt idx="970">
                  <c:v>48576</c:v>
                </c:pt>
                <c:pt idx="971">
                  <c:v>40790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41126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xVal>
          <c:yVal>
            <c:numRef>
              <c:f>'Income_vs_spending score'!$L$2:$L$1001</c:f>
              <c:numCache>
                <c:formatCode>General</c:formatCode>
                <c:ptCount val="1000"/>
                <c:pt idx="0">
                  <c:v>#N/A</c:v>
                </c:pt>
                <c:pt idx="1">
                  <c:v>#N/A</c:v>
                </c:pt>
                <c:pt idx="2">
                  <c:v>74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45</c:v>
                </c:pt>
                <c:pt idx="7">
                  <c:v>#N/A</c:v>
                </c:pt>
                <c:pt idx="8">
                  <c:v>3</c:v>
                </c:pt>
                <c:pt idx="9">
                  <c:v>#N/A</c:v>
                </c:pt>
                <c:pt idx="10">
                  <c:v>#N/A</c:v>
                </c:pt>
                <c:pt idx="11">
                  <c:v>36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91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12</c:v>
                </c:pt>
                <c:pt idx="30">
                  <c:v>#N/A</c:v>
                </c:pt>
                <c:pt idx="31">
                  <c:v>1</c:v>
                </c:pt>
                <c:pt idx="32">
                  <c:v>#N/A</c:v>
                </c:pt>
                <c:pt idx="33">
                  <c:v>#N/A</c:v>
                </c:pt>
                <c:pt idx="34">
                  <c:v>85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92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45</c:v>
                </c:pt>
                <c:pt idx="44">
                  <c:v>#N/A</c:v>
                </c:pt>
                <c:pt idx="45">
                  <c:v>50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71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6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93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66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40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91</c:v>
                </c:pt>
                <c:pt idx="106">
                  <c:v>#N/A</c:v>
                </c:pt>
                <c:pt idx="107">
                  <c:v>#N/A</c:v>
                </c:pt>
                <c:pt idx="108">
                  <c:v>29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83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83</c:v>
                </c:pt>
                <c:pt idx="118">
                  <c:v>#N/A</c:v>
                </c:pt>
                <c:pt idx="119">
                  <c:v>59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8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99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72</c:v>
                </c:pt>
                <c:pt idx="139">
                  <c:v>#N/A</c:v>
                </c:pt>
                <c:pt idx="140">
                  <c:v>#N/A</c:v>
                </c:pt>
                <c:pt idx="141">
                  <c:v>3</c:v>
                </c:pt>
                <c:pt idx="142">
                  <c:v>#N/A</c:v>
                </c:pt>
                <c:pt idx="143">
                  <c:v>57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100</c:v>
                </c:pt>
                <c:pt idx="148">
                  <c:v>#N/A</c:v>
                </c:pt>
                <c:pt idx="149">
                  <c:v>43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29</c:v>
                </c:pt>
                <c:pt idx="154">
                  <c:v>22</c:v>
                </c:pt>
                <c:pt idx="155">
                  <c:v>#N/A</c:v>
                </c:pt>
                <c:pt idx="156">
                  <c:v>#N/A</c:v>
                </c:pt>
                <c:pt idx="157">
                  <c:v>4</c:v>
                </c:pt>
                <c:pt idx="158">
                  <c:v>90</c:v>
                </c:pt>
                <c:pt idx="159">
                  <c:v>70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16</c:v>
                </c:pt>
                <c:pt idx="167">
                  <c:v>75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50</c:v>
                </c:pt>
                <c:pt idx="173">
                  <c:v>82</c:v>
                </c:pt>
                <c:pt idx="174">
                  <c:v>#N/A</c:v>
                </c:pt>
                <c:pt idx="175">
                  <c:v>#N/A</c:v>
                </c:pt>
                <c:pt idx="176">
                  <c:v>38</c:v>
                </c:pt>
                <c:pt idx="177">
                  <c:v>#N/A</c:v>
                </c:pt>
                <c:pt idx="178">
                  <c:v>#N/A</c:v>
                </c:pt>
                <c:pt idx="179">
                  <c:v>14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32</c:v>
                </c:pt>
                <c:pt idx="196">
                  <c:v>85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76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61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35</c:v>
                </c:pt>
                <c:pt idx="220">
                  <c:v>18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69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10</c:v>
                </c:pt>
                <c:pt idx="233">
                  <c:v>#N/A</c:v>
                </c:pt>
                <c:pt idx="234">
                  <c:v>4</c:v>
                </c:pt>
                <c:pt idx="235">
                  <c:v>70</c:v>
                </c:pt>
                <c:pt idx="236">
                  <c:v>#N/A</c:v>
                </c:pt>
                <c:pt idx="237">
                  <c:v>#N/A</c:v>
                </c:pt>
                <c:pt idx="238">
                  <c:v>61</c:v>
                </c:pt>
                <c:pt idx="239">
                  <c:v>60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59</c:v>
                </c:pt>
                <c:pt idx="247">
                  <c:v>14</c:v>
                </c:pt>
                <c:pt idx="248">
                  <c:v>5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39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69</c:v>
                </c:pt>
                <c:pt idx="262">
                  <c:v>#N/A</c:v>
                </c:pt>
                <c:pt idx="263">
                  <c:v>59</c:v>
                </c:pt>
                <c:pt idx="264">
                  <c:v>#N/A</c:v>
                </c:pt>
                <c:pt idx="265">
                  <c:v>#N/A</c:v>
                </c:pt>
                <c:pt idx="266">
                  <c:v>61</c:v>
                </c:pt>
                <c:pt idx="267">
                  <c:v>#N/A</c:v>
                </c:pt>
                <c:pt idx="268">
                  <c:v>53</c:v>
                </c:pt>
                <c:pt idx="269">
                  <c:v>88</c:v>
                </c:pt>
                <c:pt idx="270">
                  <c:v>#N/A</c:v>
                </c:pt>
                <c:pt idx="271">
                  <c:v>#N/A</c:v>
                </c:pt>
                <c:pt idx="272">
                  <c:v>55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27</c:v>
                </c:pt>
                <c:pt idx="280">
                  <c:v>40</c:v>
                </c:pt>
                <c:pt idx="281">
                  <c:v>60</c:v>
                </c:pt>
                <c:pt idx="282">
                  <c:v>77</c:v>
                </c:pt>
                <c:pt idx="283">
                  <c:v>18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99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82</c:v>
                </c:pt>
                <c:pt idx="312">
                  <c:v>#N/A</c:v>
                </c:pt>
                <c:pt idx="313">
                  <c:v>#N/A</c:v>
                </c:pt>
                <c:pt idx="314">
                  <c:v>24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43</c:v>
                </c:pt>
                <c:pt idx="319">
                  <c:v>11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18</c:v>
                </c:pt>
                <c:pt idx="324">
                  <c:v>73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23</c:v>
                </c:pt>
                <c:pt idx="338">
                  <c:v>100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22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64</c:v>
                </c:pt>
                <c:pt idx="353">
                  <c:v>81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74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91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20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7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36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61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55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46</c:v>
                </c:pt>
                <c:pt idx="411">
                  <c:v>63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67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100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28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46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70</c:v>
                </c:pt>
                <c:pt idx="479">
                  <c:v>#N/A</c:v>
                </c:pt>
                <c:pt idx="480">
                  <c:v>#N/A</c:v>
                </c:pt>
                <c:pt idx="481">
                  <c:v>40</c:v>
                </c:pt>
                <c:pt idx="482">
                  <c:v>47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38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38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72</c:v>
                </c:pt>
                <c:pt idx="507">
                  <c:v>#N/A</c:v>
                </c:pt>
                <c:pt idx="508">
                  <c:v>29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68</c:v>
                </c:pt>
                <c:pt idx="525">
                  <c:v>#N/A</c:v>
                </c:pt>
                <c:pt idx="526">
                  <c:v>22</c:v>
                </c:pt>
                <c:pt idx="527">
                  <c:v>11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68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46</c:v>
                </c:pt>
                <c:pt idx="539">
                  <c:v>#N/A</c:v>
                </c:pt>
                <c:pt idx="540">
                  <c:v>54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32</c:v>
                </c:pt>
                <c:pt idx="545">
                  <c:v>#N/A</c:v>
                </c:pt>
                <c:pt idx="546">
                  <c:v>#N/A</c:v>
                </c:pt>
                <c:pt idx="547">
                  <c:v>59</c:v>
                </c:pt>
                <c:pt idx="548">
                  <c:v>#N/A</c:v>
                </c:pt>
                <c:pt idx="549">
                  <c:v>64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28</c:v>
                </c:pt>
                <c:pt idx="554">
                  <c:v>57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57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93</c:v>
                </c:pt>
                <c:pt idx="585">
                  <c:v>#N/A</c:v>
                </c:pt>
                <c:pt idx="586">
                  <c:v>#N/A</c:v>
                </c:pt>
                <c:pt idx="587">
                  <c:v>3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72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5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32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79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7</c:v>
                </c:pt>
                <c:pt idx="612">
                  <c:v>54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79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18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47</c:v>
                </c:pt>
                <c:pt idx="637">
                  <c:v>#N/A</c:v>
                </c:pt>
                <c:pt idx="638">
                  <c:v>#N/A</c:v>
                </c:pt>
                <c:pt idx="639">
                  <c:v>45</c:v>
                </c:pt>
                <c:pt idx="640">
                  <c:v>#N/A</c:v>
                </c:pt>
                <c:pt idx="641">
                  <c:v>#N/A</c:v>
                </c:pt>
                <c:pt idx="642">
                  <c:v>11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27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14</c:v>
                </c:pt>
                <c:pt idx="663">
                  <c:v>#N/A</c:v>
                </c:pt>
                <c:pt idx="664">
                  <c:v>28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56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83</c:v>
                </c:pt>
                <c:pt idx="677">
                  <c:v>84</c:v>
                </c:pt>
                <c:pt idx="678">
                  <c:v>76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36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84</c:v>
                </c:pt>
                <c:pt idx="688">
                  <c:v>#N/A</c:v>
                </c:pt>
                <c:pt idx="689">
                  <c:v>#N/A</c:v>
                </c:pt>
                <c:pt idx="690">
                  <c:v>86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95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58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1</c:v>
                </c:pt>
                <c:pt idx="744">
                  <c:v>#N/A</c:v>
                </c:pt>
                <c:pt idx="745">
                  <c:v>#N/A</c:v>
                </c:pt>
                <c:pt idx="746">
                  <c:v>76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19</c:v>
                </c:pt>
                <c:pt idx="760">
                  <c:v>#N/A</c:v>
                </c:pt>
                <c:pt idx="761">
                  <c:v>10</c:v>
                </c:pt>
                <c:pt idx="762">
                  <c:v>#N/A</c:v>
                </c:pt>
                <c:pt idx="763">
                  <c:v>12</c:v>
                </c:pt>
                <c:pt idx="764">
                  <c:v>#N/A</c:v>
                </c:pt>
                <c:pt idx="765">
                  <c:v>21</c:v>
                </c:pt>
                <c:pt idx="766">
                  <c:v>#N/A</c:v>
                </c:pt>
                <c:pt idx="767">
                  <c:v>#N/A</c:v>
                </c:pt>
                <c:pt idx="768">
                  <c:v>43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55</c:v>
                </c:pt>
                <c:pt idx="778">
                  <c:v>70</c:v>
                </c:pt>
                <c:pt idx="779">
                  <c:v>#N/A</c:v>
                </c:pt>
                <c:pt idx="780">
                  <c:v>22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92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39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31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84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74</c:v>
                </c:pt>
                <c:pt idx="810">
                  <c:v>#N/A</c:v>
                </c:pt>
                <c:pt idx="811">
                  <c:v>54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28</c:v>
                </c:pt>
                <c:pt idx="817">
                  <c:v>#N/A</c:v>
                </c:pt>
                <c:pt idx="818">
                  <c:v>#N/A</c:v>
                </c:pt>
                <c:pt idx="819">
                  <c:v>55</c:v>
                </c:pt>
                <c:pt idx="820">
                  <c:v>69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75</c:v>
                </c:pt>
                <c:pt idx="834">
                  <c:v>75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99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86</c:v>
                </c:pt>
                <c:pt idx="852">
                  <c:v>#N/A</c:v>
                </c:pt>
                <c:pt idx="853">
                  <c:v>56</c:v>
                </c:pt>
                <c:pt idx="854">
                  <c:v>2</c:v>
                </c:pt>
                <c:pt idx="855">
                  <c:v>#N/A</c:v>
                </c:pt>
                <c:pt idx="856">
                  <c:v>#N/A</c:v>
                </c:pt>
                <c:pt idx="857">
                  <c:v>40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39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92</c:v>
                </c:pt>
                <c:pt idx="868">
                  <c:v>67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11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78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50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36</c:v>
                </c:pt>
                <c:pt idx="927">
                  <c:v>#N/A</c:v>
                </c:pt>
                <c:pt idx="928">
                  <c:v>#N/A</c:v>
                </c:pt>
                <c:pt idx="929">
                  <c:v>95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11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72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48</c:v>
                </c:pt>
                <c:pt idx="948">
                  <c:v>62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6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50</c:v>
                </c:pt>
                <c:pt idx="969">
                  <c:v>#N/A</c:v>
                </c:pt>
                <c:pt idx="970">
                  <c:v>29</c:v>
                </c:pt>
                <c:pt idx="971">
                  <c:v>36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37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31-4A81-A2CF-CB5F54CF98C6}"/>
            </c:ext>
          </c:extLst>
        </c:ser>
        <c:ser>
          <c:idx val="1"/>
          <c:order val="1"/>
          <c:tx>
            <c:v>Medium Income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B23C">
                  <a:alpha val="69000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>
                    <a:lumMod val="85000"/>
                    <a:lumOff val="1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'Income_vs_spending score'!$M$2:$M$1001</c:f>
              <c:numCache>
                <c:formatCode>_-[$$-409]* #,##0_ ;_-[$$-409]* \-#,##0\ ;_-[$$-409]* "-"??_ ;_-@_ </c:formatCode>
                <c:ptCount val="1000"/>
                <c:pt idx="0">
                  <c:v>#N/A</c:v>
                </c:pt>
                <c:pt idx="1">
                  <c:v>95491</c:v>
                </c:pt>
                <c:pt idx="2">
                  <c:v>#N/A</c:v>
                </c:pt>
                <c:pt idx="3">
                  <c:v>#N/A</c:v>
                </c:pt>
                <c:pt idx="4">
                  <c:v>70723</c:v>
                </c:pt>
                <c:pt idx="5">
                  <c:v>72179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81753</c:v>
                </c:pt>
                <c:pt idx="10">
                  <c:v>#N/A</c:v>
                </c:pt>
                <c:pt idx="11">
                  <c:v>#N/A</c:v>
                </c:pt>
                <c:pt idx="12">
                  <c:v>51454</c:v>
                </c:pt>
                <c:pt idx="13">
                  <c:v>61695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84883</c:v>
                </c:pt>
                <c:pt idx="19">
                  <c:v>57651</c:v>
                </c:pt>
                <c:pt idx="20">
                  <c:v>91491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59278</c:v>
                </c:pt>
                <c:pt idx="29">
                  <c:v>#N/A</c:v>
                </c:pt>
                <c:pt idx="30">
                  <c:v>60671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95367</c:v>
                </c:pt>
                <c:pt idx="37">
                  <c:v>#N/A</c:v>
                </c:pt>
                <c:pt idx="38">
                  <c:v>82296</c:v>
                </c:pt>
                <c:pt idx="39">
                  <c:v>#N/A</c:v>
                </c:pt>
                <c:pt idx="40">
                  <c:v>73370</c:v>
                </c:pt>
                <c:pt idx="41">
                  <c:v>#N/A</c:v>
                </c:pt>
                <c:pt idx="42">
                  <c:v>64592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97035</c:v>
                </c:pt>
                <c:pt idx="47">
                  <c:v>#N/A</c:v>
                </c:pt>
                <c:pt idx="48">
                  <c:v>#N/A</c:v>
                </c:pt>
                <c:pt idx="49">
                  <c:v>54274</c:v>
                </c:pt>
                <c:pt idx="50">
                  <c:v>94803</c:v>
                </c:pt>
                <c:pt idx="51">
                  <c:v>#N/A</c:v>
                </c:pt>
                <c:pt idx="52">
                  <c:v>65196</c:v>
                </c:pt>
                <c:pt idx="53">
                  <c:v>#N/A</c:v>
                </c:pt>
                <c:pt idx="54">
                  <c:v>#N/A</c:v>
                </c:pt>
                <c:pt idx="55">
                  <c:v>85349</c:v>
                </c:pt>
                <c:pt idx="56">
                  <c:v>73023</c:v>
                </c:pt>
                <c:pt idx="57">
                  <c:v>85928</c:v>
                </c:pt>
                <c:pt idx="58">
                  <c:v>94896</c:v>
                </c:pt>
                <c:pt idx="59">
                  <c:v>#N/A</c:v>
                </c:pt>
                <c:pt idx="60">
                  <c:v>#N/A</c:v>
                </c:pt>
                <c:pt idx="61">
                  <c:v>52167</c:v>
                </c:pt>
                <c:pt idx="62">
                  <c:v>#N/A</c:v>
                </c:pt>
                <c:pt idx="63">
                  <c:v>#N/A</c:v>
                </c:pt>
                <c:pt idx="64">
                  <c:v>92114</c:v>
                </c:pt>
                <c:pt idx="65">
                  <c:v>86651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70213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71951</c:v>
                </c:pt>
                <c:pt idx="79">
                  <c:v>#N/A</c:v>
                </c:pt>
                <c:pt idx="80">
                  <c:v>#N/A</c:v>
                </c:pt>
                <c:pt idx="81">
                  <c:v>76317</c:v>
                </c:pt>
                <c:pt idx="82">
                  <c:v>#N/A</c:v>
                </c:pt>
                <c:pt idx="83">
                  <c:v>58971</c:v>
                </c:pt>
                <c:pt idx="84">
                  <c:v>62792</c:v>
                </c:pt>
                <c:pt idx="85">
                  <c:v>87595</c:v>
                </c:pt>
                <c:pt idx="86">
                  <c:v>#N/A</c:v>
                </c:pt>
                <c:pt idx="87">
                  <c:v>#N/A</c:v>
                </c:pt>
                <c:pt idx="88">
                  <c:v>90929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97962</c:v>
                </c:pt>
                <c:pt idx="95">
                  <c:v>#N/A</c:v>
                </c:pt>
                <c:pt idx="96">
                  <c:v>89274</c:v>
                </c:pt>
                <c:pt idx="97">
                  <c:v>#N/A</c:v>
                </c:pt>
                <c:pt idx="98">
                  <c:v>83880</c:v>
                </c:pt>
                <c:pt idx="99">
                  <c:v>89688</c:v>
                </c:pt>
                <c:pt idx="100">
                  <c:v>#N/A</c:v>
                </c:pt>
                <c:pt idx="101">
                  <c:v>77006</c:v>
                </c:pt>
                <c:pt idx="102">
                  <c:v>64136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65343</c:v>
                </c:pt>
                <c:pt idx="107">
                  <c:v>67039</c:v>
                </c:pt>
                <c:pt idx="108">
                  <c:v>#N/A</c:v>
                </c:pt>
                <c:pt idx="109">
                  <c:v>60668</c:v>
                </c:pt>
                <c:pt idx="110">
                  <c:v>56570</c:v>
                </c:pt>
                <c:pt idx="111">
                  <c:v>60382</c:v>
                </c:pt>
                <c:pt idx="112">
                  <c:v>#N/A</c:v>
                </c:pt>
                <c:pt idx="113">
                  <c:v>75626</c:v>
                </c:pt>
                <c:pt idx="114">
                  <c:v>53863</c:v>
                </c:pt>
                <c:pt idx="115">
                  <c:v>54918</c:v>
                </c:pt>
                <c:pt idx="116">
                  <c:v>73823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81110</c:v>
                </c:pt>
                <c:pt idx="127">
                  <c:v>#N/A</c:v>
                </c:pt>
                <c:pt idx="128">
                  <c:v>57558</c:v>
                </c:pt>
                <c:pt idx="129">
                  <c:v>53474</c:v>
                </c:pt>
                <c:pt idx="130">
                  <c:v>#N/A</c:v>
                </c:pt>
                <c:pt idx="131">
                  <c:v>56707</c:v>
                </c:pt>
                <c:pt idx="132">
                  <c:v>#N/A</c:v>
                </c:pt>
                <c:pt idx="133">
                  <c:v>90816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83547</c:v>
                </c:pt>
                <c:pt idx="138">
                  <c:v>#N/A</c:v>
                </c:pt>
                <c:pt idx="139">
                  <c:v>98928</c:v>
                </c:pt>
                <c:pt idx="140">
                  <c:v>62752</c:v>
                </c:pt>
                <c:pt idx="141">
                  <c:v>#N/A</c:v>
                </c:pt>
                <c:pt idx="142">
                  <c:v>92371</c:v>
                </c:pt>
                <c:pt idx="143">
                  <c:v>#N/A</c:v>
                </c:pt>
                <c:pt idx="144">
                  <c:v>81701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54930</c:v>
                </c:pt>
                <c:pt idx="153">
                  <c:v>#N/A</c:v>
                </c:pt>
                <c:pt idx="154">
                  <c:v>#N/A</c:v>
                </c:pt>
                <c:pt idx="155">
                  <c:v>55100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62131</c:v>
                </c:pt>
                <c:pt idx="161">
                  <c:v>#N/A</c:v>
                </c:pt>
                <c:pt idx="162">
                  <c:v>81763</c:v>
                </c:pt>
                <c:pt idx="163">
                  <c:v>76259</c:v>
                </c:pt>
                <c:pt idx="164">
                  <c:v>79572</c:v>
                </c:pt>
                <c:pt idx="165">
                  <c:v>77060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84577</c:v>
                </c:pt>
                <c:pt idx="170">
                  <c:v>97995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78829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84725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82506</c:v>
                </c:pt>
                <c:pt idx="191">
                  <c:v>#N/A</c:v>
                </c:pt>
                <c:pt idx="192">
                  <c:v>#N/A</c:v>
                </c:pt>
                <c:pt idx="193">
                  <c:v>92031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51759</c:v>
                </c:pt>
                <c:pt idx="198">
                  <c:v>62536</c:v>
                </c:pt>
                <c:pt idx="199">
                  <c:v>93599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82356</c:v>
                </c:pt>
                <c:pt idx="205">
                  <c:v>94970</c:v>
                </c:pt>
                <c:pt idx="206">
                  <c:v>#N/A</c:v>
                </c:pt>
                <c:pt idx="207">
                  <c:v>#N/A</c:v>
                </c:pt>
                <c:pt idx="208">
                  <c:v>86985</c:v>
                </c:pt>
                <c:pt idx="209">
                  <c:v>#N/A</c:v>
                </c:pt>
                <c:pt idx="210">
                  <c:v>80545</c:v>
                </c:pt>
                <c:pt idx="211">
                  <c:v>#N/A</c:v>
                </c:pt>
                <c:pt idx="212">
                  <c:v>85583</c:v>
                </c:pt>
                <c:pt idx="213">
                  <c:v>51225</c:v>
                </c:pt>
                <c:pt idx="214">
                  <c:v>#N/A</c:v>
                </c:pt>
                <c:pt idx="215">
                  <c:v>96409</c:v>
                </c:pt>
                <c:pt idx="216">
                  <c:v>68304</c:v>
                </c:pt>
                <c:pt idx="217">
                  <c:v>85068</c:v>
                </c:pt>
                <c:pt idx="218">
                  <c:v>90687</c:v>
                </c:pt>
                <c:pt idx="219">
                  <c:v>#N/A</c:v>
                </c:pt>
                <c:pt idx="220">
                  <c:v>#N/A</c:v>
                </c:pt>
                <c:pt idx="221">
                  <c:v>80995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50661</c:v>
                </c:pt>
                <c:pt idx="228">
                  <c:v>80049</c:v>
                </c:pt>
                <c:pt idx="229">
                  <c:v>#N/A</c:v>
                </c:pt>
                <c:pt idx="230">
                  <c:v>#N/A</c:v>
                </c:pt>
                <c:pt idx="231">
                  <c:v>97103</c:v>
                </c:pt>
                <c:pt idx="232">
                  <c:v>#N/A</c:v>
                </c:pt>
                <c:pt idx="233">
                  <c:v>69133</c:v>
                </c:pt>
                <c:pt idx="234">
                  <c:v>#N/A</c:v>
                </c:pt>
                <c:pt idx="235">
                  <c:v>#N/A</c:v>
                </c:pt>
                <c:pt idx="236">
                  <c:v>82856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98446</c:v>
                </c:pt>
                <c:pt idx="241">
                  <c:v>76202</c:v>
                </c:pt>
                <c:pt idx="242">
                  <c:v>63313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51087</c:v>
                </c:pt>
                <c:pt idx="251">
                  <c:v>90651</c:v>
                </c:pt>
                <c:pt idx="252">
                  <c:v>#N/A</c:v>
                </c:pt>
                <c:pt idx="253">
                  <c:v>60768</c:v>
                </c:pt>
                <c:pt idx="254">
                  <c:v>85888</c:v>
                </c:pt>
                <c:pt idx="255">
                  <c:v>87520</c:v>
                </c:pt>
                <c:pt idx="256">
                  <c:v>#N/A</c:v>
                </c:pt>
                <c:pt idx="257">
                  <c:v>#N/A</c:v>
                </c:pt>
                <c:pt idx="258">
                  <c:v>52164</c:v>
                </c:pt>
                <c:pt idx="259">
                  <c:v>#N/A</c:v>
                </c:pt>
                <c:pt idx="260">
                  <c:v>99618</c:v>
                </c:pt>
                <c:pt idx="261">
                  <c:v>#N/A</c:v>
                </c:pt>
                <c:pt idx="262">
                  <c:v>99668</c:v>
                </c:pt>
                <c:pt idx="263">
                  <c:v>#N/A</c:v>
                </c:pt>
                <c:pt idx="264">
                  <c:v>#N/A</c:v>
                </c:pt>
                <c:pt idx="265">
                  <c:v>61052</c:v>
                </c:pt>
                <c:pt idx="266">
                  <c:v>#N/A</c:v>
                </c:pt>
                <c:pt idx="267">
                  <c:v>66961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84223</c:v>
                </c:pt>
                <c:pt idx="275">
                  <c:v>57700</c:v>
                </c:pt>
                <c:pt idx="276">
                  <c:v>89720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69864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98882</c:v>
                </c:pt>
                <c:pt idx="292">
                  <c:v>#N/A</c:v>
                </c:pt>
                <c:pt idx="293">
                  <c:v>#N/A</c:v>
                </c:pt>
                <c:pt idx="294">
                  <c:v>88778</c:v>
                </c:pt>
                <c:pt idx="295">
                  <c:v>#N/A</c:v>
                </c:pt>
                <c:pt idx="296">
                  <c:v>#N/A</c:v>
                </c:pt>
                <c:pt idx="297">
                  <c:v>98537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75430</c:v>
                </c:pt>
                <c:pt idx="308">
                  <c:v>87006</c:v>
                </c:pt>
                <c:pt idx="309">
                  <c:v>#N/A</c:v>
                </c:pt>
                <c:pt idx="310">
                  <c:v>74519</c:v>
                </c:pt>
                <c:pt idx="311">
                  <c:v>#N/A</c:v>
                </c:pt>
                <c:pt idx="312">
                  <c:v>82623</c:v>
                </c:pt>
                <c:pt idx="313">
                  <c:v>#N/A</c:v>
                </c:pt>
                <c:pt idx="314">
                  <c:v>#N/A</c:v>
                </c:pt>
                <c:pt idx="315">
                  <c:v>68250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68970</c:v>
                </c:pt>
                <c:pt idx="323">
                  <c:v>#N/A</c:v>
                </c:pt>
                <c:pt idx="324">
                  <c:v>#N/A</c:v>
                </c:pt>
                <c:pt idx="325">
                  <c:v>69168</c:v>
                </c:pt>
                <c:pt idx="326">
                  <c:v>#N/A</c:v>
                </c:pt>
                <c:pt idx="327">
                  <c:v>#N/A</c:v>
                </c:pt>
                <c:pt idx="328">
                  <c:v>51199</c:v>
                </c:pt>
                <c:pt idx="329">
                  <c:v>60262</c:v>
                </c:pt>
                <c:pt idx="330">
                  <c:v>55027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87717</c:v>
                </c:pt>
                <c:pt idx="335">
                  <c:v>56378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59583</c:v>
                </c:pt>
                <c:pt idx="342">
                  <c:v>#N/A</c:v>
                </c:pt>
                <c:pt idx="343">
                  <c:v>68172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79899</c:v>
                </c:pt>
                <c:pt idx="348">
                  <c:v>#N/A</c:v>
                </c:pt>
                <c:pt idx="349">
                  <c:v>69676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71923</c:v>
                </c:pt>
                <c:pt idx="356">
                  <c:v>#N/A</c:v>
                </c:pt>
                <c:pt idx="357">
                  <c:v>#N/A</c:v>
                </c:pt>
                <c:pt idx="358">
                  <c:v>57305</c:v>
                </c:pt>
                <c:pt idx="359">
                  <c:v>54319</c:v>
                </c:pt>
                <c:pt idx="360">
                  <c:v>69659</c:v>
                </c:pt>
                <c:pt idx="361">
                  <c:v>#N/A</c:v>
                </c:pt>
                <c:pt idx="362">
                  <c:v>81758</c:v>
                </c:pt>
                <c:pt idx="363">
                  <c:v>#N/A</c:v>
                </c:pt>
                <c:pt idx="364">
                  <c:v>76756</c:v>
                </c:pt>
                <c:pt idx="365">
                  <c:v>86593</c:v>
                </c:pt>
                <c:pt idx="366">
                  <c:v>62405</c:v>
                </c:pt>
                <c:pt idx="367">
                  <c:v>94531</c:v>
                </c:pt>
                <c:pt idx="368">
                  <c:v>#N/A</c:v>
                </c:pt>
                <c:pt idx="369">
                  <c:v>89149</c:v>
                </c:pt>
                <c:pt idx="370">
                  <c:v>56120</c:v>
                </c:pt>
                <c:pt idx="371">
                  <c:v>#N/A</c:v>
                </c:pt>
                <c:pt idx="372">
                  <c:v>#N/A</c:v>
                </c:pt>
                <c:pt idx="373">
                  <c:v>95501</c:v>
                </c:pt>
                <c:pt idx="374">
                  <c:v>61849</c:v>
                </c:pt>
                <c:pt idx="375">
                  <c:v>#N/A</c:v>
                </c:pt>
                <c:pt idx="376">
                  <c:v>63381</c:v>
                </c:pt>
                <c:pt idx="377">
                  <c:v>92089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69362</c:v>
                </c:pt>
                <c:pt idx="382">
                  <c:v>94016</c:v>
                </c:pt>
                <c:pt idx="383">
                  <c:v>#N/A</c:v>
                </c:pt>
                <c:pt idx="384">
                  <c:v>79949</c:v>
                </c:pt>
                <c:pt idx="385">
                  <c:v>#N/A</c:v>
                </c:pt>
                <c:pt idx="386">
                  <c:v>#N/A</c:v>
                </c:pt>
                <c:pt idx="387">
                  <c:v>83511</c:v>
                </c:pt>
                <c:pt idx="388">
                  <c:v>96494</c:v>
                </c:pt>
                <c:pt idx="389">
                  <c:v>#N/A</c:v>
                </c:pt>
                <c:pt idx="390">
                  <c:v>87275</c:v>
                </c:pt>
                <c:pt idx="391">
                  <c:v>66932</c:v>
                </c:pt>
                <c:pt idx="392">
                  <c:v>#N/A</c:v>
                </c:pt>
                <c:pt idx="393">
                  <c:v>#N/A</c:v>
                </c:pt>
                <c:pt idx="394">
                  <c:v>54421</c:v>
                </c:pt>
                <c:pt idx="395">
                  <c:v>64134</c:v>
                </c:pt>
                <c:pt idx="396">
                  <c:v>52470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84616</c:v>
                </c:pt>
                <c:pt idx="405">
                  <c:v>#N/A</c:v>
                </c:pt>
                <c:pt idx="406">
                  <c:v>84117</c:v>
                </c:pt>
                <c:pt idx="407">
                  <c:v>#N/A</c:v>
                </c:pt>
                <c:pt idx="408">
                  <c:v>#N/A</c:v>
                </c:pt>
                <c:pt idx="409">
                  <c:v>94392</c:v>
                </c:pt>
                <c:pt idx="410">
                  <c:v>#N/A</c:v>
                </c:pt>
                <c:pt idx="411">
                  <c:v>#N/A</c:v>
                </c:pt>
                <c:pt idx="412">
                  <c:v>89077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80006</c:v>
                </c:pt>
                <c:pt idx="419">
                  <c:v>71410</c:v>
                </c:pt>
                <c:pt idx="420">
                  <c:v>#N/A</c:v>
                </c:pt>
                <c:pt idx="421">
                  <c:v>76921</c:v>
                </c:pt>
                <c:pt idx="422">
                  <c:v>99475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94627</c:v>
                </c:pt>
                <c:pt idx="429">
                  <c:v>#N/A</c:v>
                </c:pt>
                <c:pt idx="430">
                  <c:v>#N/A</c:v>
                </c:pt>
                <c:pt idx="431">
                  <c:v>90000</c:v>
                </c:pt>
                <c:pt idx="432">
                  <c:v>#N/A</c:v>
                </c:pt>
                <c:pt idx="433">
                  <c:v>87418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80988</c:v>
                </c:pt>
                <c:pt idx="439">
                  <c:v>#N/A</c:v>
                </c:pt>
                <c:pt idx="440">
                  <c:v>71594</c:v>
                </c:pt>
                <c:pt idx="441">
                  <c:v>#N/A</c:v>
                </c:pt>
                <c:pt idx="442">
                  <c:v>90780</c:v>
                </c:pt>
                <c:pt idx="443">
                  <c:v>#N/A</c:v>
                </c:pt>
                <c:pt idx="444">
                  <c:v>51565</c:v>
                </c:pt>
                <c:pt idx="445">
                  <c:v>59481</c:v>
                </c:pt>
                <c:pt idx="446">
                  <c:v>68689</c:v>
                </c:pt>
                <c:pt idx="447">
                  <c:v>#N/A</c:v>
                </c:pt>
                <c:pt idx="448">
                  <c:v>57851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91672</c:v>
                </c:pt>
                <c:pt idx="457">
                  <c:v>#N/A</c:v>
                </c:pt>
                <c:pt idx="458">
                  <c:v>#N/A</c:v>
                </c:pt>
                <c:pt idx="459">
                  <c:v>78534</c:v>
                </c:pt>
                <c:pt idx="460">
                  <c:v>86860</c:v>
                </c:pt>
                <c:pt idx="461">
                  <c:v>#N/A</c:v>
                </c:pt>
                <c:pt idx="462">
                  <c:v>#N/A</c:v>
                </c:pt>
                <c:pt idx="463">
                  <c:v>94701</c:v>
                </c:pt>
                <c:pt idx="464">
                  <c:v>93084</c:v>
                </c:pt>
                <c:pt idx="465">
                  <c:v>61541</c:v>
                </c:pt>
                <c:pt idx="466">
                  <c:v>55753</c:v>
                </c:pt>
                <c:pt idx="467">
                  <c:v>80868</c:v>
                </c:pt>
                <c:pt idx="468">
                  <c:v>61870</c:v>
                </c:pt>
                <c:pt idx="469">
                  <c:v>69204</c:v>
                </c:pt>
                <c:pt idx="470">
                  <c:v>67215</c:v>
                </c:pt>
                <c:pt idx="471">
                  <c:v>53295</c:v>
                </c:pt>
                <c:pt idx="472">
                  <c:v>83172</c:v>
                </c:pt>
                <c:pt idx="473">
                  <c:v>88288</c:v>
                </c:pt>
                <c:pt idx="474">
                  <c:v>66196</c:v>
                </c:pt>
                <c:pt idx="475">
                  <c:v>85267</c:v>
                </c:pt>
                <c:pt idx="476">
                  <c:v>#N/A</c:v>
                </c:pt>
                <c:pt idx="477">
                  <c:v>88268</c:v>
                </c:pt>
                <c:pt idx="478">
                  <c:v>#N/A</c:v>
                </c:pt>
                <c:pt idx="479">
                  <c:v>65142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59108</c:v>
                </c:pt>
                <c:pt idx="484">
                  <c:v>56374</c:v>
                </c:pt>
                <c:pt idx="485">
                  <c:v>#N/A</c:v>
                </c:pt>
                <c:pt idx="486">
                  <c:v>#N/A</c:v>
                </c:pt>
                <c:pt idx="487">
                  <c:v>84686</c:v>
                </c:pt>
                <c:pt idx="488">
                  <c:v>53164</c:v>
                </c:pt>
                <c:pt idx="489">
                  <c:v>#N/A</c:v>
                </c:pt>
                <c:pt idx="490">
                  <c:v>84764</c:v>
                </c:pt>
                <c:pt idx="491">
                  <c:v>53503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74198</c:v>
                </c:pt>
                <c:pt idx="496">
                  <c:v>62582</c:v>
                </c:pt>
                <c:pt idx="497">
                  <c:v>92798</c:v>
                </c:pt>
                <c:pt idx="498">
                  <c:v>53069</c:v>
                </c:pt>
                <c:pt idx="499">
                  <c:v>71987</c:v>
                </c:pt>
                <c:pt idx="500">
                  <c:v>64229</c:v>
                </c:pt>
                <c:pt idx="501">
                  <c:v>56547</c:v>
                </c:pt>
                <c:pt idx="502">
                  <c:v>76842</c:v>
                </c:pt>
                <c:pt idx="503">
                  <c:v>#N/A</c:v>
                </c:pt>
                <c:pt idx="504">
                  <c:v>#N/A</c:v>
                </c:pt>
                <c:pt idx="505">
                  <c:v>58692</c:v>
                </c:pt>
                <c:pt idx="506">
                  <c:v>#N/A</c:v>
                </c:pt>
                <c:pt idx="507">
                  <c:v>81964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59566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77292</c:v>
                </c:pt>
                <c:pt idx="516">
                  <c:v>#N/A</c:v>
                </c:pt>
                <c:pt idx="517">
                  <c:v>83467</c:v>
                </c:pt>
                <c:pt idx="518">
                  <c:v>#N/A</c:v>
                </c:pt>
                <c:pt idx="519">
                  <c:v>97355</c:v>
                </c:pt>
                <c:pt idx="520">
                  <c:v>97909</c:v>
                </c:pt>
                <c:pt idx="521">
                  <c:v>73059</c:v>
                </c:pt>
                <c:pt idx="522">
                  <c:v>82140</c:v>
                </c:pt>
                <c:pt idx="523">
                  <c:v>#N/A</c:v>
                </c:pt>
                <c:pt idx="524">
                  <c:v>#N/A</c:v>
                </c:pt>
                <c:pt idx="525">
                  <c:v>57107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65498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87884</c:v>
                </c:pt>
                <c:pt idx="536">
                  <c:v>78149</c:v>
                </c:pt>
                <c:pt idx="537">
                  <c:v>65337</c:v>
                </c:pt>
                <c:pt idx="538">
                  <c:v>#N/A</c:v>
                </c:pt>
                <c:pt idx="539">
                  <c:v>85473</c:v>
                </c:pt>
                <c:pt idx="540">
                  <c:v>#N/A</c:v>
                </c:pt>
                <c:pt idx="541">
                  <c:v>85309</c:v>
                </c:pt>
                <c:pt idx="542">
                  <c:v>73466</c:v>
                </c:pt>
                <c:pt idx="543">
                  <c:v>90557</c:v>
                </c:pt>
                <c:pt idx="544">
                  <c:v>#N/A</c:v>
                </c:pt>
                <c:pt idx="545">
                  <c:v>75926</c:v>
                </c:pt>
                <c:pt idx="546">
                  <c:v>#N/A</c:v>
                </c:pt>
                <c:pt idx="547">
                  <c:v>#N/A</c:v>
                </c:pt>
                <c:pt idx="548">
                  <c:v>55515</c:v>
                </c:pt>
                <c:pt idx="549">
                  <c:v>#N/A</c:v>
                </c:pt>
                <c:pt idx="550">
                  <c:v>#N/A</c:v>
                </c:pt>
                <c:pt idx="551">
                  <c:v>98771</c:v>
                </c:pt>
                <c:pt idx="552">
                  <c:v>66495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54819</c:v>
                </c:pt>
                <c:pt idx="557">
                  <c:v>#N/A</c:v>
                </c:pt>
                <c:pt idx="558">
                  <c:v>50518</c:v>
                </c:pt>
                <c:pt idx="559">
                  <c:v>#N/A</c:v>
                </c:pt>
                <c:pt idx="560">
                  <c:v>#N/A</c:v>
                </c:pt>
                <c:pt idx="561">
                  <c:v>81837</c:v>
                </c:pt>
                <c:pt idx="562">
                  <c:v>#N/A</c:v>
                </c:pt>
                <c:pt idx="563">
                  <c:v>77411</c:v>
                </c:pt>
                <c:pt idx="564">
                  <c:v>84380</c:v>
                </c:pt>
                <c:pt idx="565">
                  <c:v>#N/A</c:v>
                </c:pt>
                <c:pt idx="566">
                  <c:v>#N/A</c:v>
                </c:pt>
                <c:pt idx="567">
                  <c:v>51327</c:v>
                </c:pt>
                <c:pt idx="568">
                  <c:v>#N/A</c:v>
                </c:pt>
                <c:pt idx="569">
                  <c:v>72108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61090</c:v>
                </c:pt>
                <c:pt idx="574">
                  <c:v>53345</c:v>
                </c:pt>
                <c:pt idx="575">
                  <c:v>98150</c:v>
                </c:pt>
                <c:pt idx="576">
                  <c:v>62024</c:v>
                </c:pt>
                <c:pt idx="577">
                  <c:v>50215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85972</c:v>
                </c:pt>
                <c:pt idx="582">
                  <c:v>51398</c:v>
                </c:pt>
                <c:pt idx="583">
                  <c:v>#N/A</c:v>
                </c:pt>
                <c:pt idx="584">
                  <c:v>#N/A</c:v>
                </c:pt>
                <c:pt idx="585">
                  <c:v>80686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69791</c:v>
                </c:pt>
                <c:pt idx="590">
                  <c:v>73723</c:v>
                </c:pt>
                <c:pt idx="591">
                  <c:v>88975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87909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69502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82057</c:v>
                </c:pt>
                <c:pt idx="608">
                  <c:v>80264</c:v>
                </c:pt>
                <c:pt idx="609">
                  <c:v>83578</c:v>
                </c:pt>
                <c:pt idx="610">
                  <c:v>81794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81037</c:v>
                </c:pt>
                <c:pt idx="616">
                  <c:v>67237</c:v>
                </c:pt>
                <c:pt idx="617">
                  <c:v>#N/A</c:v>
                </c:pt>
                <c:pt idx="618">
                  <c:v>90389</c:v>
                </c:pt>
                <c:pt idx="619">
                  <c:v>#N/A</c:v>
                </c:pt>
                <c:pt idx="620">
                  <c:v>78653</c:v>
                </c:pt>
                <c:pt idx="621">
                  <c:v>#N/A</c:v>
                </c:pt>
                <c:pt idx="622">
                  <c:v>#N/A</c:v>
                </c:pt>
                <c:pt idx="623">
                  <c:v>59408</c:v>
                </c:pt>
                <c:pt idx="624">
                  <c:v>#N/A</c:v>
                </c:pt>
                <c:pt idx="625">
                  <c:v>#N/A</c:v>
                </c:pt>
                <c:pt idx="626">
                  <c:v>93783</c:v>
                </c:pt>
                <c:pt idx="627">
                  <c:v>#N/A</c:v>
                </c:pt>
                <c:pt idx="628">
                  <c:v>#N/A</c:v>
                </c:pt>
                <c:pt idx="629">
                  <c:v>52480</c:v>
                </c:pt>
                <c:pt idx="630">
                  <c:v>#N/A</c:v>
                </c:pt>
                <c:pt idx="631">
                  <c:v>86856</c:v>
                </c:pt>
                <c:pt idx="632">
                  <c:v>#N/A</c:v>
                </c:pt>
                <c:pt idx="633">
                  <c:v>#N/A</c:v>
                </c:pt>
                <c:pt idx="634">
                  <c:v>95656</c:v>
                </c:pt>
                <c:pt idx="635">
                  <c:v>#N/A</c:v>
                </c:pt>
                <c:pt idx="636">
                  <c:v>#N/A</c:v>
                </c:pt>
                <c:pt idx="637">
                  <c:v>92363</c:v>
                </c:pt>
                <c:pt idx="638">
                  <c:v>84664</c:v>
                </c:pt>
                <c:pt idx="639">
                  <c:v>#N/A</c:v>
                </c:pt>
                <c:pt idx="640">
                  <c:v>80320</c:v>
                </c:pt>
                <c:pt idx="641">
                  <c:v>93926</c:v>
                </c:pt>
                <c:pt idx="642">
                  <c:v>#N/A</c:v>
                </c:pt>
                <c:pt idx="643">
                  <c:v>86268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92601</c:v>
                </c:pt>
                <c:pt idx="656">
                  <c:v>#N/A</c:v>
                </c:pt>
                <c:pt idx="657">
                  <c:v>55695</c:v>
                </c:pt>
                <c:pt idx="658">
                  <c:v>96499</c:v>
                </c:pt>
                <c:pt idx="659">
                  <c:v>#N/A</c:v>
                </c:pt>
                <c:pt idx="660">
                  <c:v>#N/A</c:v>
                </c:pt>
                <c:pt idx="661">
                  <c:v>95862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67912</c:v>
                </c:pt>
                <c:pt idx="666">
                  <c:v>72651</c:v>
                </c:pt>
                <c:pt idx="667">
                  <c:v>66264</c:v>
                </c:pt>
                <c:pt idx="668">
                  <c:v>66886</c:v>
                </c:pt>
                <c:pt idx="669">
                  <c:v>74985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91845</c:v>
                </c:pt>
                <c:pt idx="674">
                  <c:v>61376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94218</c:v>
                </c:pt>
                <c:pt idx="681">
                  <c:v>75118</c:v>
                </c:pt>
                <c:pt idx="682">
                  <c:v>91682</c:v>
                </c:pt>
                <c:pt idx="683">
                  <c:v>#N/A</c:v>
                </c:pt>
                <c:pt idx="684">
                  <c:v>87461</c:v>
                </c:pt>
                <c:pt idx="685">
                  <c:v>82519</c:v>
                </c:pt>
                <c:pt idx="686">
                  <c:v>70721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82613</c:v>
                </c:pt>
                <c:pt idx="693">
                  <c:v>#N/A</c:v>
                </c:pt>
                <c:pt idx="694">
                  <c:v>79721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56125</c:v>
                </c:pt>
                <c:pt idx="700">
                  <c:v>#N/A</c:v>
                </c:pt>
                <c:pt idx="701">
                  <c:v>51355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70967</c:v>
                </c:pt>
                <c:pt idx="709">
                  <c:v>98213</c:v>
                </c:pt>
                <c:pt idx="710">
                  <c:v>#N/A</c:v>
                </c:pt>
                <c:pt idx="711">
                  <c:v>69782</c:v>
                </c:pt>
                <c:pt idx="712">
                  <c:v>#N/A</c:v>
                </c:pt>
                <c:pt idx="713">
                  <c:v>#N/A</c:v>
                </c:pt>
                <c:pt idx="714">
                  <c:v>96845</c:v>
                </c:pt>
                <c:pt idx="715">
                  <c:v>58668</c:v>
                </c:pt>
                <c:pt idx="716">
                  <c:v>51471</c:v>
                </c:pt>
                <c:pt idx="717">
                  <c:v>57932</c:v>
                </c:pt>
                <c:pt idx="718">
                  <c:v>93861</c:v>
                </c:pt>
                <c:pt idx="719">
                  <c:v>54256</c:v>
                </c:pt>
                <c:pt idx="720">
                  <c:v>#N/A</c:v>
                </c:pt>
                <c:pt idx="721">
                  <c:v>83912</c:v>
                </c:pt>
                <c:pt idx="722">
                  <c:v>63444</c:v>
                </c:pt>
                <c:pt idx="723">
                  <c:v>#N/A</c:v>
                </c:pt>
                <c:pt idx="724">
                  <c:v>60489</c:v>
                </c:pt>
                <c:pt idx="725">
                  <c:v>67704</c:v>
                </c:pt>
                <c:pt idx="726">
                  <c:v>89855</c:v>
                </c:pt>
                <c:pt idx="727">
                  <c:v>56466</c:v>
                </c:pt>
                <c:pt idx="728">
                  <c:v>#N/A</c:v>
                </c:pt>
                <c:pt idx="729">
                  <c:v>#N/A</c:v>
                </c:pt>
                <c:pt idx="730">
                  <c:v>97756</c:v>
                </c:pt>
                <c:pt idx="731">
                  <c:v>#N/A</c:v>
                </c:pt>
                <c:pt idx="732">
                  <c:v>78001</c:v>
                </c:pt>
                <c:pt idx="733">
                  <c:v>58486</c:v>
                </c:pt>
                <c:pt idx="734">
                  <c:v>81244</c:v>
                </c:pt>
                <c:pt idx="735">
                  <c:v>76811</c:v>
                </c:pt>
                <c:pt idx="736">
                  <c:v>90561</c:v>
                </c:pt>
                <c:pt idx="737">
                  <c:v>61376</c:v>
                </c:pt>
                <c:pt idx="738">
                  <c:v>#N/A</c:v>
                </c:pt>
                <c:pt idx="739">
                  <c:v>76606</c:v>
                </c:pt>
                <c:pt idx="740">
                  <c:v>#N/A</c:v>
                </c:pt>
                <c:pt idx="741">
                  <c:v>51646</c:v>
                </c:pt>
                <c:pt idx="742">
                  <c:v>60763</c:v>
                </c:pt>
                <c:pt idx="743">
                  <c:v>#N/A</c:v>
                </c:pt>
                <c:pt idx="744">
                  <c:v>#N/A</c:v>
                </c:pt>
                <c:pt idx="745">
                  <c:v>72193</c:v>
                </c:pt>
                <c:pt idx="746">
                  <c:v>#N/A</c:v>
                </c:pt>
                <c:pt idx="747">
                  <c:v>51736</c:v>
                </c:pt>
                <c:pt idx="748">
                  <c:v>60808</c:v>
                </c:pt>
                <c:pt idx="749">
                  <c:v>51913</c:v>
                </c:pt>
                <c:pt idx="750">
                  <c:v>79546</c:v>
                </c:pt>
                <c:pt idx="751">
                  <c:v>#N/A</c:v>
                </c:pt>
                <c:pt idx="752">
                  <c:v>99342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99638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82014</c:v>
                </c:pt>
                <c:pt idx="763">
                  <c:v>#N/A</c:v>
                </c:pt>
                <c:pt idx="764">
                  <c:v>88312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96182</c:v>
                </c:pt>
                <c:pt idx="771">
                  <c:v>64634</c:v>
                </c:pt>
                <c:pt idx="772">
                  <c:v>58367</c:v>
                </c:pt>
                <c:pt idx="773">
                  <c:v>69790</c:v>
                </c:pt>
                <c:pt idx="774">
                  <c:v>#N/A</c:v>
                </c:pt>
                <c:pt idx="775">
                  <c:v>75974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52403</c:v>
                </c:pt>
                <c:pt idx="782">
                  <c:v>59815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67979</c:v>
                </c:pt>
                <c:pt idx="789">
                  <c:v>76658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52855</c:v>
                </c:pt>
                <c:pt idx="794">
                  <c:v>64288</c:v>
                </c:pt>
                <c:pt idx="795">
                  <c:v>58696</c:v>
                </c:pt>
                <c:pt idx="796">
                  <c:v>70099</c:v>
                </c:pt>
                <c:pt idx="797">
                  <c:v>#N/A</c:v>
                </c:pt>
                <c:pt idx="798">
                  <c:v>58656</c:v>
                </c:pt>
                <c:pt idx="799">
                  <c:v>#N/A</c:v>
                </c:pt>
                <c:pt idx="800">
                  <c:v>#N/A</c:v>
                </c:pt>
                <c:pt idx="801">
                  <c:v>68147</c:v>
                </c:pt>
                <c:pt idx="802">
                  <c:v>#N/A</c:v>
                </c:pt>
                <c:pt idx="803">
                  <c:v>68764</c:v>
                </c:pt>
                <c:pt idx="804">
                  <c:v>63123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89618</c:v>
                </c:pt>
                <c:pt idx="809">
                  <c:v>#N/A</c:v>
                </c:pt>
                <c:pt idx="810">
                  <c:v>53091</c:v>
                </c:pt>
                <c:pt idx="811">
                  <c:v>#N/A</c:v>
                </c:pt>
                <c:pt idx="812">
                  <c:v>56429</c:v>
                </c:pt>
                <c:pt idx="813">
                  <c:v>99054</c:v>
                </c:pt>
                <c:pt idx="814">
                  <c:v>72885</c:v>
                </c:pt>
                <c:pt idx="815">
                  <c:v>74773</c:v>
                </c:pt>
                <c:pt idx="816">
                  <c:v>#N/A</c:v>
                </c:pt>
                <c:pt idx="817">
                  <c:v>90420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81595</c:v>
                </c:pt>
                <c:pt idx="822">
                  <c:v>85111</c:v>
                </c:pt>
                <c:pt idx="823">
                  <c:v>#N/A</c:v>
                </c:pt>
                <c:pt idx="824">
                  <c:v>66376</c:v>
                </c:pt>
                <c:pt idx="825">
                  <c:v>#N/A</c:v>
                </c:pt>
                <c:pt idx="826">
                  <c:v>81695</c:v>
                </c:pt>
                <c:pt idx="827">
                  <c:v>69795</c:v>
                </c:pt>
                <c:pt idx="828">
                  <c:v>#N/A</c:v>
                </c:pt>
                <c:pt idx="829">
                  <c:v>#N/A</c:v>
                </c:pt>
                <c:pt idx="830">
                  <c:v>92156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57745</c:v>
                </c:pt>
                <c:pt idx="836">
                  <c:v>78296</c:v>
                </c:pt>
                <c:pt idx="837">
                  <c:v>76995</c:v>
                </c:pt>
                <c:pt idx="838">
                  <c:v>62971</c:v>
                </c:pt>
                <c:pt idx="839">
                  <c:v>57260</c:v>
                </c:pt>
                <c:pt idx="840">
                  <c:v>#N/A</c:v>
                </c:pt>
                <c:pt idx="841">
                  <c:v>#N/A</c:v>
                </c:pt>
                <c:pt idx="842">
                  <c:v>54571</c:v>
                </c:pt>
                <c:pt idx="843">
                  <c:v>#N/A</c:v>
                </c:pt>
                <c:pt idx="844">
                  <c:v>#N/A</c:v>
                </c:pt>
                <c:pt idx="845">
                  <c:v>56110</c:v>
                </c:pt>
                <c:pt idx="846">
                  <c:v>#N/A</c:v>
                </c:pt>
                <c:pt idx="847">
                  <c:v>#N/A</c:v>
                </c:pt>
                <c:pt idx="848">
                  <c:v>96260</c:v>
                </c:pt>
                <c:pt idx="849">
                  <c:v>#N/A</c:v>
                </c:pt>
                <c:pt idx="850">
                  <c:v>95033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58144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71227</c:v>
                </c:pt>
                <c:pt idx="860">
                  <c:v>#N/A</c:v>
                </c:pt>
                <c:pt idx="861">
                  <c:v>#N/A</c:v>
                </c:pt>
                <c:pt idx="862">
                  <c:v>96762</c:v>
                </c:pt>
                <c:pt idx="863">
                  <c:v>97989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76416</c:v>
                </c:pt>
                <c:pt idx="870">
                  <c:v>#N/A</c:v>
                </c:pt>
                <c:pt idx="871">
                  <c:v>#N/A</c:v>
                </c:pt>
                <c:pt idx="872">
                  <c:v>50944</c:v>
                </c:pt>
                <c:pt idx="873">
                  <c:v>#N/A</c:v>
                </c:pt>
                <c:pt idx="874">
                  <c:v>88366</c:v>
                </c:pt>
                <c:pt idx="875">
                  <c:v>#N/A</c:v>
                </c:pt>
                <c:pt idx="876">
                  <c:v>#N/A</c:v>
                </c:pt>
                <c:pt idx="877">
                  <c:v>57615</c:v>
                </c:pt>
                <c:pt idx="878">
                  <c:v>55154</c:v>
                </c:pt>
                <c:pt idx="879">
                  <c:v>#N/A</c:v>
                </c:pt>
                <c:pt idx="880">
                  <c:v>#N/A</c:v>
                </c:pt>
                <c:pt idx="881">
                  <c:v>64799</c:v>
                </c:pt>
                <c:pt idx="882">
                  <c:v>#N/A</c:v>
                </c:pt>
                <c:pt idx="883">
                  <c:v>78852</c:v>
                </c:pt>
                <c:pt idx="884">
                  <c:v>#N/A</c:v>
                </c:pt>
                <c:pt idx="885">
                  <c:v>#N/A</c:v>
                </c:pt>
                <c:pt idx="886">
                  <c:v>50680</c:v>
                </c:pt>
                <c:pt idx="887">
                  <c:v>73464</c:v>
                </c:pt>
                <c:pt idx="888">
                  <c:v>75392</c:v>
                </c:pt>
                <c:pt idx="889">
                  <c:v>61290</c:v>
                </c:pt>
                <c:pt idx="890">
                  <c:v>96082</c:v>
                </c:pt>
                <c:pt idx="891">
                  <c:v>85476</c:v>
                </c:pt>
                <c:pt idx="892">
                  <c:v>#N/A</c:v>
                </c:pt>
                <c:pt idx="893">
                  <c:v>#N/A</c:v>
                </c:pt>
                <c:pt idx="894">
                  <c:v>79992</c:v>
                </c:pt>
                <c:pt idx="895">
                  <c:v>87807</c:v>
                </c:pt>
                <c:pt idx="896">
                  <c:v>99427</c:v>
                </c:pt>
                <c:pt idx="897">
                  <c:v>59496</c:v>
                </c:pt>
                <c:pt idx="898">
                  <c:v>#N/A</c:v>
                </c:pt>
                <c:pt idx="899">
                  <c:v>78309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78097</c:v>
                </c:pt>
                <c:pt idx="904">
                  <c:v>51990</c:v>
                </c:pt>
                <c:pt idx="905">
                  <c:v>#N/A</c:v>
                </c:pt>
                <c:pt idx="906">
                  <c:v>58930</c:v>
                </c:pt>
                <c:pt idx="907">
                  <c:v>81766</c:v>
                </c:pt>
                <c:pt idx="908">
                  <c:v>#N/A</c:v>
                </c:pt>
                <c:pt idx="909">
                  <c:v>70050</c:v>
                </c:pt>
                <c:pt idx="910">
                  <c:v>83445</c:v>
                </c:pt>
                <c:pt idx="911">
                  <c:v>#N/A</c:v>
                </c:pt>
                <c:pt idx="912">
                  <c:v>82034</c:v>
                </c:pt>
                <c:pt idx="913">
                  <c:v>#N/A</c:v>
                </c:pt>
                <c:pt idx="914">
                  <c:v>96066</c:v>
                </c:pt>
                <c:pt idx="915">
                  <c:v>#N/A</c:v>
                </c:pt>
                <c:pt idx="916">
                  <c:v>#N/A</c:v>
                </c:pt>
                <c:pt idx="917">
                  <c:v>56381</c:v>
                </c:pt>
                <c:pt idx="918">
                  <c:v>#N/A</c:v>
                </c:pt>
                <c:pt idx="919">
                  <c:v>#N/A</c:v>
                </c:pt>
                <c:pt idx="920">
                  <c:v>61826</c:v>
                </c:pt>
                <c:pt idx="921">
                  <c:v>#N/A</c:v>
                </c:pt>
                <c:pt idx="922">
                  <c:v>57845</c:v>
                </c:pt>
                <c:pt idx="923">
                  <c:v>78858</c:v>
                </c:pt>
                <c:pt idx="924">
                  <c:v>#N/A</c:v>
                </c:pt>
                <c:pt idx="925">
                  <c:v>71688</c:v>
                </c:pt>
                <c:pt idx="926">
                  <c:v>#N/A</c:v>
                </c:pt>
                <c:pt idx="927">
                  <c:v>65576</c:v>
                </c:pt>
                <c:pt idx="928">
                  <c:v>53805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74331</c:v>
                </c:pt>
                <c:pt idx="934">
                  <c:v>#N/A</c:v>
                </c:pt>
                <c:pt idx="935">
                  <c:v>89856</c:v>
                </c:pt>
                <c:pt idx="936">
                  <c:v>97565</c:v>
                </c:pt>
                <c:pt idx="937">
                  <c:v>90871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84460</c:v>
                </c:pt>
                <c:pt idx="943">
                  <c:v>#N/A</c:v>
                </c:pt>
                <c:pt idx="944">
                  <c:v>93800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65486</c:v>
                </c:pt>
                <c:pt idx="952">
                  <c:v>67753</c:v>
                </c:pt>
                <c:pt idx="953">
                  <c:v>90232</c:v>
                </c:pt>
                <c:pt idx="954">
                  <c:v>#N/A</c:v>
                </c:pt>
                <c:pt idx="955">
                  <c:v>#N/A</c:v>
                </c:pt>
                <c:pt idx="956">
                  <c:v>74474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53219</c:v>
                </c:pt>
                <c:pt idx="962">
                  <c:v>#N/A</c:v>
                </c:pt>
                <c:pt idx="963">
                  <c:v>97829</c:v>
                </c:pt>
                <c:pt idx="964">
                  <c:v>72125</c:v>
                </c:pt>
                <c:pt idx="965">
                  <c:v>93266</c:v>
                </c:pt>
                <c:pt idx="966">
                  <c:v>92888</c:v>
                </c:pt>
                <c:pt idx="967">
                  <c:v>89035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58805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74273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79842</c:v>
                </c:pt>
                <c:pt idx="985">
                  <c:v>78023</c:v>
                </c:pt>
                <c:pt idx="986">
                  <c:v>52575</c:v>
                </c:pt>
                <c:pt idx="987">
                  <c:v>97660</c:v>
                </c:pt>
                <c:pt idx="988">
                  <c:v>85487</c:v>
                </c:pt>
                <c:pt idx="989">
                  <c:v>96916</c:v>
                </c:pt>
                <c:pt idx="990">
                  <c:v>86142</c:v>
                </c:pt>
                <c:pt idx="991">
                  <c:v>#N/A</c:v>
                </c:pt>
                <c:pt idx="992">
                  <c:v>#N/A</c:v>
                </c:pt>
                <c:pt idx="993">
                  <c:v>59695</c:v>
                </c:pt>
                <c:pt idx="994">
                  <c:v>#N/A</c:v>
                </c:pt>
                <c:pt idx="995">
                  <c:v>50349</c:v>
                </c:pt>
                <c:pt idx="996">
                  <c:v>67361</c:v>
                </c:pt>
                <c:pt idx="997">
                  <c:v>91381</c:v>
                </c:pt>
                <c:pt idx="998">
                  <c:v>74055</c:v>
                </c:pt>
                <c:pt idx="999">
                  <c:v>#N/A</c:v>
                </c:pt>
              </c:numCache>
            </c:numRef>
          </c:xVal>
          <c:yVal>
            <c:numRef>
              <c:f>'Income_vs_spending score'!$N$2:$N$1001</c:f>
              <c:numCache>
                <c:formatCode>General</c:formatCode>
                <c:ptCount val="1000"/>
                <c:pt idx="0">
                  <c:v>#N/A</c:v>
                </c:pt>
                <c:pt idx="1">
                  <c:v>90</c:v>
                </c:pt>
                <c:pt idx="2">
                  <c:v>#N/A</c:v>
                </c:pt>
                <c:pt idx="3">
                  <c:v>#N/A</c:v>
                </c:pt>
                <c:pt idx="4">
                  <c:v>31</c:v>
                </c:pt>
                <c:pt idx="5">
                  <c:v>6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72</c:v>
                </c:pt>
                <c:pt idx="10">
                  <c:v>#N/A</c:v>
                </c:pt>
                <c:pt idx="11">
                  <c:v>#N/A</c:v>
                </c:pt>
                <c:pt idx="12">
                  <c:v>94</c:v>
                </c:pt>
                <c:pt idx="13">
                  <c:v>13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43</c:v>
                </c:pt>
                <c:pt idx="19">
                  <c:v>27</c:v>
                </c:pt>
                <c:pt idx="20">
                  <c:v>52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60</c:v>
                </c:pt>
                <c:pt idx="29">
                  <c:v>#N/A</c:v>
                </c:pt>
                <c:pt idx="30">
                  <c:v>57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83</c:v>
                </c:pt>
                <c:pt idx="37">
                  <c:v>#N/A</c:v>
                </c:pt>
                <c:pt idx="38">
                  <c:v>61</c:v>
                </c:pt>
                <c:pt idx="39">
                  <c:v>#N/A</c:v>
                </c:pt>
                <c:pt idx="40">
                  <c:v>2</c:v>
                </c:pt>
                <c:pt idx="41">
                  <c:v>#N/A</c:v>
                </c:pt>
                <c:pt idx="42">
                  <c:v>25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28</c:v>
                </c:pt>
                <c:pt idx="47">
                  <c:v>#N/A</c:v>
                </c:pt>
                <c:pt idx="48">
                  <c:v>#N/A</c:v>
                </c:pt>
                <c:pt idx="49">
                  <c:v>27</c:v>
                </c:pt>
                <c:pt idx="50">
                  <c:v>76</c:v>
                </c:pt>
                <c:pt idx="51">
                  <c:v>#N/A</c:v>
                </c:pt>
                <c:pt idx="52">
                  <c:v>22</c:v>
                </c:pt>
                <c:pt idx="53">
                  <c:v>#N/A</c:v>
                </c:pt>
                <c:pt idx="54">
                  <c:v>#N/A</c:v>
                </c:pt>
                <c:pt idx="55">
                  <c:v>77</c:v>
                </c:pt>
                <c:pt idx="56">
                  <c:v>30</c:v>
                </c:pt>
                <c:pt idx="57">
                  <c:v>10</c:v>
                </c:pt>
                <c:pt idx="58">
                  <c:v>36</c:v>
                </c:pt>
                <c:pt idx="59">
                  <c:v>#N/A</c:v>
                </c:pt>
                <c:pt idx="60">
                  <c:v>#N/A</c:v>
                </c:pt>
                <c:pt idx="61">
                  <c:v>19</c:v>
                </c:pt>
                <c:pt idx="62">
                  <c:v>#N/A</c:v>
                </c:pt>
                <c:pt idx="63">
                  <c:v>#N/A</c:v>
                </c:pt>
                <c:pt idx="64">
                  <c:v>17</c:v>
                </c:pt>
                <c:pt idx="65">
                  <c:v>54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84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2</c:v>
                </c:pt>
                <c:pt idx="79">
                  <c:v>#N/A</c:v>
                </c:pt>
                <c:pt idx="80">
                  <c:v>#N/A</c:v>
                </c:pt>
                <c:pt idx="81">
                  <c:v>94</c:v>
                </c:pt>
                <c:pt idx="82">
                  <c:v>#N/A</c:v>
                </c:pt>
                <c:pt idx="83">
                  <c:v>77</c:v>
                </c:pt>
                <c:pt idx="84">
                  <c:v>83</c:v>
                </c:pt>
                <c:pt idx="85">
                  <c:v>11</c:v>
                </c:pt>
                <c:pt idx="86">
                  <c:v>#N/A</c:v>
                </c:pt>
                <c:pt idx="87">
                  <c:v>#N/A</c:v>
                </c:pt>
                <c:pt idx="88">
                  <c:v>2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18</c:v>
                </c:pt>
                <c:pt idx="95">
                  <c:v>#N/A</c:v>
                </c:pt>
                <c:pt idx="96">
                  <c:v>71</c:v>
                </c:pt>
                <c:pt idx="97">
                  <c:v>#N/A</c:v>
                </c:pt>
                <c:pt idx="98">
                  <c:v>31</c:v>
                </c:pt>
                <c:pt idx="99">
                  <c:v>27</c:v>
                </c:pt>
                <c:pt idx="100">
                  <c:v>#N/A</c:v>
                </c:pt>
                <c:pt idx="101">
                  <c:v>27</c:v>
                </c:pt>
                <c:pt idx="102">
                  <c:v>61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89</c:v>
                </c:pt>
                <c:pt idx="107">
                  <c:v>100</c:v>
                </c:pt>
                <c:pt idx="108">
                  <c:v>#N/A</c:v>
                </c:pt>
                <c:pt idx="109">
                  <c:v>66</c:v>
                </c:pt>
                <c:pt idx="110">
                  <c:v>29</c:v>
                </c:pt>
                <c:pt idx="111">
                  <c:v>13</c:v>
                </c:pt>
                <c:pt idx="112">
                  <c:v>#N/A</c:v>
                </c:pt>
                <c:pt idx="113">
                  <c:v>52</c:v>
                </c:pt>
                <c:pt idx="114">
                  <c:v>96</c:v>
                </c:pt>
                <c:pt idx="115">
                  <c:v>1</c:v>
                </c:pt>
                <c:pt idx="116">
                  <c:v>11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44</c:v>
                </c:pt>
                <c:pt idx="127">
                  <c:v>#N/A</c:v>
                </c:pt>
                <c:pt idx="128">
                  <c:v>28</c:v>
                </c:pt>
                <c:pt idx="129">
                  <c:v>79</c:v>
                </c:pt>
                <c:pt idx="130">
                  <c:v>#N/A</c:v>
                </c:pt>
                <c:pt idx="131">
                  <c:v>6</c:v>
                </c:pt>
                <c:pt idx="132">
                  <c:v>#N/A</c:v>
                </c:pt>
                <c:pt idx="133">
                  <c:v>20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27</c:v>
                </c:pt>
                <c:pt idx="138">
                  <c:v>#N/A</c:v>
                </c:pt>
                <c:pt idx="139">
                  <c:v>80</c:v>
                </c:pt>
                <c:pt idx="140">
                  <c:v>2</c:v>
                </c:pt>
                <c:pt idx="141">
                  <c:v>#N/A</c:v>
                </c:pt>
                <c:pt idx="142">
                  <c:v>28</c:v>
                </c:pt>
                <c:pt idx="143">
                  <c:v>#N/A</c:v>
                </c:pt>
                <c:pt idx="144">
                  <c:v>96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12</c:v>
                </c:pt>
                <c:pt idx="153">
                  <c:v>#N/A</c:v>
                </c:pt>
                <c:pt idx="154">
                  <c:v>#N/A</c:v>
                </c:pt>
                <c:pt idx="155">
                  <c:v>20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91</c:v>
                </c:pt>
                <c:pt idx="161">
                  <c:v>#N/A</c:v>
                </c:pt>
                <c:pt idx="162">
                  <c:v>49</c:v>
                </c:pt>
                <c:pt idx="163">
                  <c:v>72</c:v>
                </c:pt>
                <c:pt idx="164">
                  <c:v>62</c:v>
                </c:pt>
                <c:pt idx="165">
                  <c:v>14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70</c:v>
                </c:pt>
                <c:pt idx="170">
                  <c:v>47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73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100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10</c:v>
                </c:pt>
                <c:pt idx="191">
                  <c:v>#N/A</c:v>
                </c:pt>
                <c:pt idx="192">
                  <c:v>#N/A</c:v>
                </c:pt>
                <c:pt idx="193">
                  <c:v>44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18</c:v>
                </c:pt>
                <c:pt idx="198">
                  <c:v>84</c:v>
                </c:pt>
                <c:pt idx="199">
                  <c:v>22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97</c:v>
                </c:pt>
                <c:pt idx="205">
                  <c:v>15</c:v>
                </c:pt>
                <c:pt idx="206">
                  <c:v>#N/A</c:v>
                </c:pt>
                <c:pt idx="207">
                  <c:v>#N/A</c:v>
                </c:pt>
                <c:pt idx="208">
                  <c:v>77</c:v>
                </c:pt>
                <c:pt idx="209">
                  <c:v>#N/A</c:v>
                </c:pt>
                <c:pt idx="210">
                  <c:v>63</c:v>
                </c:pt>
                <c:pt idx="211">
                  <c:v>#N/A</c:v>
                </c:pt>
                <c:pt idx="212">
                  <c:v>61</c:v>
                </c:pt>
                <c:pt idx="213">
                  <c:v>21</c:v>
                </c:pt>
                <c:pt idx="214">
                  <c:v>#N/A</c:v>
                </c:pt>
                <c:pt idx="215">
                  <c:v>66</c:v>
                </c:pt>
                <c:pt idx="216">
                  <c:v>9</c:v>
                </c:pt>
                <c:pt idx="217">
                  <c:v>54</c:v>
                </c:pt>
                <c:pt idx="218">
                  <c:v>9</c:v>
                </c:pt>
                <c:pt idx="219">
                  <c:v>#N/A</c:v>
                </c:pt>
                <c:pt idx="220">
                  <c:v>#N/A</c:v>
                </c:pt>
                <c:pt idx="221">
                  <c:v>68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89</c:v>
                </c:pt>
                <c:pt idx="228">
                  <c:v>1</c:v>
                </c:pt>
                <c:pt idx="229">
                  <c:v>#N/A</c:v>
                </c:pt>
                <c:pt idx="230">
                  <c:v>#N/A</c:v>
                </c:pt>
                <c:pt idx="231">
                  <c:v>70</c:v>
                </c:pt>
                <c:pt idx="232">
                  <c:v>#N/A</c:v>
                </c:pt>
                <c:pt idx="233">
                  <c:v>14</c:v>
                </c:pt>
                <c:pt idx="234">
                  <c:v>#N/A</c:v>
                </c:pt>
                <c:pt idx="235">
                  <c:v>#N/A</c:v>
                </c:pt>
                <c:pt idx="236">
                  <c:v>33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25</c:v>
                </c:pt>
                <c:pt idx="241">
                  <c:v>83</c:v>
                </c:pt>
                <c:pt idx="242">
                  <c:v>8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60</c:v>
                </c:pt>
                <c:pt idx="251">
                  <c:v>88</c:v>
                </c:pt>
                <c:pt idx="252">
                  <c:v>#N/A</c:v>
                </c:pt>
                <c:pt idx="253">
                  <c:v>88</c:v>
                </c:pt>
                <c:pt idx="254">
                  <c:v>19</c:v>
                </c:pt>
                <c:pt idx="255">
                  <c:v>93</c:v>
                </c:pt>
                <c:pt idx="256">
                  <c:v>#N/A</c:v>
                </c:pt>
                <c:pt idx="257">
                  <c:v>#N/A</c:v>
                </c:pt>
                <c:pt idx="258">
                  <c:v>53</c:v>
                </c:pt>
                <c:pt idx="259">
                  <c:v>#N/A</c:v>
                </c:pt>
                <c:pt idx="260">
                  <c:v>80</c:v>
                </c:pt>
                <c:pt idx="261">
                  <c:v>#N/A</c:v>
                </c:pt>
                <c:pt idx="262">
                  <c:v>1</c:v>
                </c:pt>
                <c:pt idx="263">
                  <c:v>#N/A</c:v>
                </c:pt>
                <c:pt idx="264">
                  <c:v>#N/A</c:v>
                </c:pt>
                <c:pt idx="265">
                  <c:v>44</c:v>
                </c:pt>
                <c:pt idx="266">
                  <c:v>#N/A</c:v>
                </c:pt>
                <c:pt idx="267">
                  <c:v>8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83</c:v>
                </c:pt>
                <c:pt idx="275">
                  <c:v>70</c:v>
                </c:pt>
                <c:pt idx="276">
                  <c:v>4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92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38</c:v>
                </c:pt>
                <c:pt idx="292">
                  <c:v>#N/A</c:v>
                </c:pt>
                <c:pt idx="293">
                  <c:v>#N/A</c:v>
                </c:pt>
                <c:pt idx="294">
                  <c:v>56</c:v>
                </c:pt>
                <c:pt idx="295">
                  <c:v>#N/A</c:v>
                </c:pt>
                <c:pt idx="296">
                  <c:v>#N/A</c:v>
                </c:pt>
                <c:pt idx="297">
                  <c:v>71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50</c:v>
                </c:pt>
                <c:pt idx="308">
                  <c:v>85</c:v>
                </c:pt>
                <c:pt idx="309">
                  <c:v>#N/A</c:v>
                </c:pt>
                <c:pt idx="310">
                  <c:v>95</c:v>
                </c:pt>
                <c:pt idx="311">
                  <c:v>#N/A</c:v>
                </c:pt>
                <c:pt idx="312">
                  <c:v>51</c:v>
                </c:pt>
                <c:pt idx="313">
                  <c:v>#N/A</c:v>
                </c:pt>
                <c:pt idx="314">
                  <c:v>#N/A</c:v>
                </c:pt>
                <c:pt idx="315">
                  <c:v>9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50</c:v>
                </c:pt>
                <c:pt idx="323">
                  <c:v>#N/A</c:v>
                </c:pt>
                <c:pt idx="324">
                  <c:v>#N/A</c:v>
                </c:pt>
                <c:pt idx="325">
                  <c:v>16</c:v>
                </c:pt>
                <c:pt idx="326">
                  <c:v>#N/A</c:v>
                </c:pt>
                <c:pt idx="327">
                  <c:v>#N/A</c:v>
                </c:pt>
                <c:pt idx="328">
                  <c:v>100</c:v>
                </c:pt>
                <c:pt idx="329">
                  <c:v>56</c:v>
                </c:pt>
                <c:pt idx="330">
                  <c:v>62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79</c:v>
                </c:pt>
                <c:pt idx="335">
                  <c:v>8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11</c:v>
                </c:pt>
                <c:pt idx="342">
                  <c:v>#N/A</c:v>
                </c:pt>
                <c:pt idx="343">
                  <c:v>6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64</c:v>
                </c:pt>
                <c:pt idx="348">
                  <c:v>#N/A</c:v>
                </c:pt>
                <c:pt idx="349">
                  <c:v>9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25</c:v>
                </c:pt>
                <c:pt idx="356">
                  <c:v>#N/A</c:v>
                </c:pt>
                <c:pt idx="357">
                  <c:v>#N/A</c:v>
                </c:pt>
                <c:pt idx="358">
                  <c:v>24</c:v>
                </c:pt>
                <c:pt idx="359">
                  <c:v>68</c:v>
                </c:pt>
                <c:pt idx="360">
                  <c:v>16</c:v>
                </c:pt>
                <c:pt idx="361">
                  <c:v>#N/A</c:v>
                </c:pt>
                <c:pt idx="362">
                  <c:v>87</c:v>
                </c:pt>
                <c:pt idx="363">
                  <c:v>#N/A</c:v>
                </c:pt>
                <c:pt idx="364">
                  <c:v>16</c:v>
                </c:pt>
                <c:pt idx="365">
                  <c:v>89</c:v>
                </c:pt>
                <c:pt idx="366">
                  <c:v>79</c:v>
                </c:pt>
                <c:pt idx="367">
                  <c:v>28</c:v>
                </c:pt>
                <c:pt idx="368">
                  <c:v>#N/A</c:v>
                </c:pt>
                <c:pt idx="369">
                  <c:v>87</c:v>
                </c:pt>
                <c:pt idx="370">
                  <c:v>30</c:v>
                </c:pt>
                <c:pt idx="371">
                  <c:v>#N/A</c:v>
                </c:pt>
                <c:pt idx="372">
                  <c:v>#N/A</c:v>
                </c:pt>
                <c:pt idx="373">
                  <c:v>27</c:v>
                </c:pt>
                <c:pt idx="374">
                  <c:v>24</c:v>
                </c:pt>
                <c:pt idx="375">
                  <c:v>#N/A</c:v>
                </c:pt>
                <c:pt idx="376">
                  <c:v>80</c:v>
                </c:pt>
                <c:pt idx="377">
                  <c:v>16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58</c:v>
                </c:pt>
                <c:pt idx="382">
                  <c:v>85</c:v>
                </c:pt>
                <c:pt idx="383">
                  <c:v>#N/A</c:v>
                </c:pt>
                <c:pt idx="384">
                  <c:v>89</c:v>
                </c:pt>
                <c:pt idx="385">
                  <c:v>#N/A</c:v>
                </c:pt>
                <c:pt idx="386">
                  <c:v>#N/A</c:v>
                </c:pt>
                <c:pt idx="387">
                  <c:v>28</c:v>
                </c:pt>
                <c:pt idx="388">
                  <c:v>10</c:v>
                </c:pt>
                <c:pt idx="389">
                  <c:v>#N/A</c:v>
                </c:pt>
                <c:pt idx="390">
                  <c:v>82</c:v>
                </c:pt>
                <c:pt idx="391">
                  <c:v>89</c:v>
                </c:pt>
                <c:pt idx="392">
                  <c:v>#N/A</c:v>
                </c:pt>
                <c:pt idx="393">
                  <c:v>#N/A</c:v>
                </c:pt>
                <c:pt idx="394">
                  <c:v>20</c:v>
                </c:pt>
                <c:pt idx="395">
                  <c:v>3</c:v>
                </c:pt>
                <c:pt idx="396">
                  <c:v>90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68</c:v>
                </c:pt>
                <c:pt idx="405">
                  <c:v>#N/A</c:v>
                </c:pt>
                <c:pt idx="406">
                  <c:v>74</c:v>
                </c:pt>
                <c:pt idx="407">
                  <c:v>#N/A</c:v>
                </c:pt>
                <c:pt idx="408">
                  <c:v>#N/A</c:v>
                </c:pt>
                <c:pt idx="409">
                  <c:v>38</c:v>
                </c:pt>
                <c:pt idx="410">
                  <c:v>#N/A</c:v>
                </c:pt>
                <c:pt idx="411">
                  <c:v>#N/A</c:v>
                </c:pt>
                <c:pt idx="412">
                  <c:v>43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44</c:v>
                </c:pt>
                <c:pt idx="419">
                  <c:v>69</c:v>
                </c:pt>
                <c:pt idx="420">
                  <c:v>#N/A</c:v>
                </c:pt>
                <c:pt idx="421">
                  <c:v>79</c:v>
                </c:pt>
                <c:pt idx="422">
                  <c:v>27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88</c:v>
                </c:pt>
                <c:pt idx="429">
                  <c:v>#N/A</c:v>
                </c:pt>
                <c:pt idx="430">
                  <c:v>#N/A</c:v>
                </c:pt>
                <c:pt idx="431">
                  <c:v>42</c:v>
                </c:pt>
                <c:pt idx="432">
                  <c:v>#N/A</c:v>
                </c:pt>
                <c:pt idx="433">
                  <c:v>21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34</c:v>
                </c:pt>
                <c:pt idx="439">
                  <c:v>#N/A</c:v>
                </c:pt>
                <c:pt idx="440">
                  <c:v>40</c:v>
                </c:pt>
                <c:pt idx="441">
                  <c:v>#N/A</c:v>
                </c:pt>
                <c:pt idx="442">
                  <c:v>24</c:v>
                </c:pt>
                <c:pt idx="443">
                  <c:v>#N/A</c:v>
                </c:pt>
                <c:pt idx="444">
                  <c:v>44</c:v>
                </c:pt>
                <c:pt idx="445">
                  <c:v>30</c:v>
                </c:pt>
                <c:pt idx="446">
                  <c:v>83</c:v>
                </c:pt>
                <c:pt idx="447">
                  <c:v>#N/A</c:v>
                </c:pt>
                <c:pt idx="448">
                  <c:v>46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71</c:v>
                </c:pt>
                <c:pt idx="457">
                  <c:v>#N/A</c:v>
                </c:pt>
                <c:pt idx="458">
                  <c:v>#N/A</c:v>
                </c:pt>
                <c:pt idx="459">
                  <c:v>100</c:v>
                </c:pt>
                <c:pt idx="460">
                  <c:v>70</c:v>
                </c:pt>
                <c:pt idx="461">
                  <c:v>#N/A</c:v>
                </c:pt>
                <c:pt idx="462">
                  <c:v>#N/A</c:v>
                </c:pt>
                <c:pt idx="463">
                  <c:v>69</c:v>
                </c:pt>
                <c:pt idx="464">
                  <c:v>30</c:v>
                </c:pt>
                <c:pt idx="465">
                  <c:v>80</c:v>
                </c:pt>
                <c:pt idx="466">
                  <c:v>69</c:v>
                </c:pt>
                <c:pt idx="467">
                  <c:v>33</c:v>
                </c:pt>
                <c:pt idx="468">
                  <c:v>100</c:v>
                </c:pt>
                <c:pt idx="469">
                  <c:v>95</c:v>
                </c:pt>
                <c:pt idx="470">
                  <c:v>34</c:v>
                </c:pt>
                <c:pt idx="471">
                  <c:v>73</c:v>
                </c:pt>
                <c:pt idx="472">
                  <c:v>51</c:v>
                </c:pt>
                <c:pt idx="473">
                  <c:v>39</c:v>
                </c:pt>
                <c:pt idx="474">
                  <c:v>37</c:v>
                </c:pt>
                <c:pt idx="475">
                  <c:v>6</c:v>
                </c:pt>
                <c:pt idx="476">
                  <c:v>#N/A</c:v>
                </c:pt>
                <c:pt idx="477">
                  <c:v>32</c:v>
                </c:pt>
                <c:pt idx="478">
                  <c:v>#N/A</c:v>
                </c:pt>
                <c:pt idx="479">
                  <c:v>45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36</c:v>
                </c:pt>
                <c:pt idx="484">
                  <c:v>60</c:v>
                </c:pt>
                <c:pt idx="485">
                  <c:v>#N/A</c:v>
                </c:pt>
                <c:pt idx="486">
                  <c:v>#N/A</c:v>
                </c:pt>
                <c:pt idx="487">
                  <c:v>93</c:v>
                </c:pt>
                <c:pt idx="488">
                  <c:v>64</c:v>
                </c:pt>
                <c:pt idx="489">
                  <c:v>#N/A</c:v>
                </c:pt>
                <c:pt idx="490">
                  <c:v>2</c:v>
                </c:pt>
                <c:pt idx="491">
                  <c:v>39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84</c:v>
                </c:pt>
                <c:pt idx="496">
                  <c:v>1</c:v>
                </c:pt>
                <c:pt idx="497">
                  <c:v>80</c:v>
                </c:pt>
                <c:pt idx="498">
                  <c:v>3</c:v>
                </c:pt>
                <c:pt idx="499">
                  <c:v>42</c:v>
                </c:pt>
                <c:pt idx="500">
                  <c:v>74</c:v>
                </c:pt>
                <c:pt idx="501">
                  <c:v>65</c:v>
                </c:pt>
                <c:pt idx="502">
                  <c:v>73</c:v>
                </c:pt>
                <c:pt idx="503">
                  <c:v>#N/A</c:v>
                </c:pt>
                <c:pt idx="504">
                  <c:v>#N/A</c:v>
                </c:pt>
                <c:pt idx="505">
                  <c:v>2</c:v>
                </c:pt>
                <c:pt idx="506">
                  <c:v>#N/A</c:v>
                </c:pt>
                <c:pt idx="507">
                  <c:v>22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25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73</c:v>
                </c:pt>
                <c:pt idx="516">
                  <c:v>#N/A</c:v>
                </c:pt>
                <c:pt idx="517">
                  <c:v>83</c:v>
                </c:pt>
                <c:pt idx="518">
                  <c:v>#N/A</c:v>
                </c:pt>
                <c:pt idx="519">
                  <c:v>63</c:v>
                </c:pt>
                <c:pt idx="520">
                  <c:v>100</c:v>
                </c:pt>
                <c:pt idx="521">
                  <c:v>77</c:v>
                </c:pt>
                <c:pt idx="522">
                  <c:v>57</c:v>
                </c:pt>
                <c:pt idx="523">
                  <c:v>#N/A</c:v>
                </c:pt>
                <c:pt idx="524">
                  <c:v>#N/A</c:v>
                </c:pt>
                <c:pt idx="525">
                  <c:v>82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23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79</c:v>
                </c:pt>
                <c:pt idx="536">
                  <c:v>2</c:v>
                </c:pt>
                <c:pt idx="537">
                  <c:v>76</c:v>
                </c:pt>
                <c:pt idx="538">
                  <c:v>#N/A</c:v>
                </c:pt>
                <c:pt idx="539">
                  <c:v>68</c:v>
                </c:pt>
                <c:pt idx="540">
                  <c:v>#N/A</c:v>
                </c:pt>
                <c:pt idx="541">
                  <c:v>65</c:v>
                </c:pt>
                <c:pt idx="542">
                  <c:v>50</c:v>
                </c:pt>
                <c:pt idx="543">
                  <c:v>36</c:v>
                </c:pt>
                <c:pt idx="544">
                  <c:v>#N/A</c:v>
                </c:pt>
                <c:pt idx="545">
                  <c:v>97</c:v>
                </c:pt>
                <c:pt idx="546">
                  <c:v>#N/A</c:v>
                </c:pt>
                <c:pt idx="547">
                  <c:v>#N/A</c:v>
                </c:pt>
                <c:pt idx="548">
                  <c:v>29</c:v>
                </c:pt>
                <c:pt idx="549">
                  <c:v>#N/A</c:v>
                </c:pt>
                <c:pt idx="550">
                  <c:v>#N/A</c:v>
                </c:pt>
                <c:pt idx="551">
                  <c:v>37</c:v>
                </c:pt>
                <c:pt idx="552">
                  <c:v>79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72</c:v>
                </c:pt>
                <c:pt idx="557">
                  <c:v>#N/A</c:v>
                </c:pt>
                <c:pt idx="558">
                  <c:v>70</c:v>
                </c:pt>
                <c:pt idx="559">
                  <c:v>#N/A</c:v>
                </c:pt>
                <c:pt idx="560">
                  <c:v>#N/A</c:v>
                </c:pt>
                <c:pt idx="561">
                  <c:v>68</c:v>
                </c:pt>
                <c:pt idx="562">
                  <c:v>#N/A</c:v>
                </c:pt>
                <c:pt idx="563">
                  <c:v>20</c:v>
                </c:pt>
                <c:pt idx="564">
                  <c:v>69</c:v>
                </c:pt>
                <c:pt idx="565">
                  <c:v>#N/A</c:v>
                </c:pt>
                <c:pt idx="566">
                  <c:v>#N/A</c:v>
                </c:pt>
                <c:pt idx="567">
                  <c:v>62</c:v>
                </c:pt>
                <c:pt idx="568">
                  <c:v>#N/A</c:v>
                </c:pt>
                <c:pt idx="569">
                  <c:v>85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3</c:v>
                </c:pt>
                <c:pt idx="574">
                  <c:v>100</c:v>
                </c:pt>
                <c:pt idx="575">
                  <c:v>42</c:v>
                </c:pt>
                <c:pt idx="576">
                  <c:v>13</c:v>
                </c:pt>
                <c:pt idx="577">
                  <c:v>92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62</c:v>
                </c:pt>
                <c:pt idx="582">
                  <c:v>12</c:v>
                </c:pt>
                <c:pt idx="583">
                  <c:v>#N/A</c:v>
                </c:pt>
                <c:pt idx="584">
                  <c:v>#N/A</c:v>
                </c:pt>
                <c:pt idx="585">
                  <c:v>2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33</c:v>
                </c:pt>
                <c:pt idx="590">
                  <c:v>69</c:v>
                </c:pt>
                <c:pt idx="591">
                  <c:v>58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19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83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66</c:v>
                </c:pt>
                <c:pt idx="608">
                  <c:v>41</c:v>
                </c:pt>
                <c:pt idx="609">
                  <c:v>97</c:v>
                </c:pt>
                <c:pt idx="610">
                  <c:v>89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70</c:v>
                </c:pt>
                <c:pt idx="616">
                  <c:v>85</c:v>
                </c:pt>
                <c:pt idx="617">
                  <c:v>#N/A</c:v>
                </c:pt>
                <c:pt idx="618">
                  <c:v>17</c:v>
                </c:pt>
                <c:pt idx="619">
                  <c:v>#N/A</c:v>
                </c:pt>
                <c:pt idx="620">
                  <c:v>43</c:v>
                </c:pt>
                <c:pt idx="621">
                  <c:v>#N/A</c:v>
                </c:pt>
                <c:pt idx="622">
                  <c:v>#N/A</c:v>
                </c:pt>
                <c:pt idx="623">
                  <c:v>68</c:v>
                </c:pt>
                <c:pt idx="624">
                  <c:v>#N/A</c:v>
                </c:pt>
                <c:pt idx="625">
                  <c:v>#N/A</c:v>
                </c:pt>
                <c:pt idx="626">
                  <c:v>24</c:v>
                </c:pt>
                <c:pt idx="627">
                  <c:v>#N/A</c:v>
                </c:pt>
                <c:pt idx="628">
                  <c:v>#N/A</c:v>
                </c:pt>
                <c:pt idx="629">
                  <c:v>22</c:v>
                </c:pt>
                <c:pt idx="630">
                  <c:v>#N/A</c:v>
                </c:pt>
                <c:pt idx="631">
                  <c:v>74</c:v>
                </c:pt>
                <c:pt idx="632">
                  <c:v>#N/A</c:v>
                </c:pt>
                <c:pt idx="633">
                  <c:v>#N/A</c:v>
                </c:pt>
                <c:pt idx="634">
                  <c:v>63</c:v>
                </c:pt>
                <c:pt idx="635">
                  <c:v>#N/A</c:v>
                </c:pt>
                <c:pt idx="636">
                  <c:v>#N/A</c:v>
                </c:pt>
                <c:pt idx="637">
                  <c:v>84</c:v>
                </c:pt>
                <c:pt idx="638">
                  <c:v>45</c:v>
                </c:pt>
                <c:pt idx="639">
                  <c:v>#N/A</c:v>
                </c:pt>
                <c:pt idx="640">
                  <c:v>91</c:v>
                </c:pt>
                <c:pt idx="641">
                  <c:v>45</c:v>
                </c:pt>
                <c:pt idx="642">
                  <c:v>#N/A</c:v>
                </c:pt>
                <c:pt idx="643">
                  <c:v>96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75</c:v>
                </c:pt>
                <c:pt idx="656">
                  <c:v>#N/A</c:v>
                </c:pt>
                <c:pt idx="657">
                  <c:v>58</c:v>
                </c:pt>
                <c:pt idx="658">
                  <c:v>29</c:v>
                </c:pt>
                <c:pt idx="659">
                  <c:v>#N/A</c:v>
                </c:pt>
                <c:pt idx="660">
                  <c:v>#N/A</c:v>
                </c:pt>
                <c:pt idx="661">
                  <c:v>34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71</c:v>
                </c:pt>
                <c:pt idx="666">
                  <c:v>58</c:v>
                </c:pt>
                <c:pt idx="667">
                  <c:v>85</c:v>
                </c:pt>
                <c:pt idx="668">
                  <c:v>7</c:v>
                </c:pt>
                <c:pt idx="669">
                  <c:v>68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35</c:v>
                </c:pt>
                <c:pt idx="674">
                  <c:v>97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4</c:v>
                </c:pt>
                <c:pt idx="681">
                  <c:v>84</c:v>
                </c:pt>
                <c:pt idx="682">
                  <c:v>27</c:v>
                </c:pt>
                <c:pt idx="683">
                  <c:v>#N/A</c:v>
                </c:pt>
                <c:pt idx="684">
                  <c:v>81</c:v>
                </c:pt>
                <c:pt idx="685">
                  <c:v>13</c:v>
                </c:pt>
                <c:pt idx="686">
                  <c:v>78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49</c:v>
                </c:pt>
                <c:pt idx="693">
                  <c:v>#N/A</c:v>
                </c:pt>
                <c:pt idx="694">
                  <c:v>20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66</c:v>
                </c:pt>
                <c:pt idx="700">
                  <c:v>#N/A</c:v>
                </c:pt>
                <c:pt idx="701">
                  <c:v>48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59</c:v>
                </c:pt>
                <c:pt idx="709">
                  <c:v>12</c:v>
                </c:pt>
                <c:pt idx="710">
                  <c:v>#N/A</c:v>
                </c:pt>
                <c:pt idx="711">
                  <c:v>76</c:v>
                </c:pt>
                <c:pt idx="712">
                  <c:v>#N/A</c:v>
                </c:pt>
                <c:pt idx="713">
                  <c:v>#N/A</c:v>
                </c:pt>
                <c:pt idx="714">
                  <c:v>19</c:v>
                </c:pt>
                <c:pt idx="715">
                  <c:v>40</c:v>
                </c:pt>
                <c:pt idx="716">
                  <c:v>96</c:v>
                </c:pt>
                <c:pt idx="717">
                  <c:v>70</c:v>
                </c:pt>
                <c:pt idx="718">
                  <c:v>42</c:v>
                </c:pt>
                <c:pt idx="719">
                  <c:v>78</c:v>
                </c:pt>
                <c:pt idx="720">
                  <c:v>#N/A</c:v>
                </c:pt>
                <c:pt idx="721">
                  <c:v>28</c:v>
                </c:pt>
                <c:pt idx="722">
                  <c:v>72</c:v>
                </c:pt>
                <c:pt idx="723">
                  <c:v>#N/A</c:v>
                </c:pt>
                <c:pt idx="724">
                  <c:v>95</c:v>
                </c:pt>
                <c:pt idx="725">
                  <c:v>12</c:v>
                </c:pt>
                <c:pt idx="726">
                  <c:v>54</c:v>
                </c:pt>
                <c:pt idx="727">
                  <c:v>61</c:v>
                </c:pt>
                <c:pt idx="728">
                  <c:v>#N/A</c:v>
                </c:pt>
                <c:pt idx="729">
                  <c:v>#N/A</c:v>
                </c:pt>
                <c:pt idx="730">
                  <c:v>89</c:v>
                </c:pt>
                <c:pt idx="731">
                  <c:v>#N/A</c:v>
                </c:pt>
                <c:pt idx="732">
                  <c:v>50</c:v>
                </c:pt>
                <c:pt idx="733">
                  <c:v>87</c:v>
                </c:pt>
                <c:pt idx="734">
                  <c:v>57</c:v>
                </c:pt>
                <c:pt idx="735">
                  <c:v>26</c:v>
                </c:pt>
                <c:pt idx="736">
                  <c:v>75</c:v>
                </c:pt>
                <c:pt idx="737">
                  <c:v>47</c:v>
                </c:pt>
                <c:pt idx="738">
                  <c:v>#N/A</c:v>
                </c:pt>
                <c:pt idx="739">
                  <c:v>99</c:v>
                </c:pt>
                <c:pt idx="740">
                  <c:v>#N/A</c:v>
                </c:pt>
                <c:pt idx="741">
                  <c:v>61</c:v>
                </c:pt>
                <c:pt idx="742">
                  <c:v>92</c:v>
                </c:pt>
                <c:pt idx="743">
                  <c:v>#N/A</c:v>
                </c:pt>
                <c:pt idx="744">
                  <c:v>#N/A</c:v>
                </c:pt>
                <c:pt idx="745">
                  <c:v>39</c:v>
                </c:pt>
                <c:pt idx="746">
                  <c:v>#N/A</c:v>
                </c:pt>
                <c:pt idx="747">
                  <c:v>3</c:v>
                </c:pt>
                <c:pt idx="748">
                  <c:v>96</c:v>
                </c:pt>
                <c:pt idx="749">
                  <c:v>14</c:v>
                </c:pt>
                <c:pt idx="750">
                  <c:v>26</c:v>
                </c:pt>
                <c:pt idx="751">
                  <c:v>#N/A</c:v>
                </c:pt>
                <c:pt idx="752">
                  <c:v>90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33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30</c:v>
                </c:pt>
                <c:pt idx="763">
                  <c:v>#N/A</c:v>
                </c:pt>
                <c:pt idx="764">
                  <c:v>22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44</c:v>
                </c:pt>
                <c:pt idx="771">
                  <c:v>55</c:v>
                </c:pt>
                <c:pt idx="772">
                  <c:v>11</c:v>
                </c:pt>
                <c:pt idx="773">
                  <c:v>3</c:v>
                </c:pt>
                <c:pt idx="774">
                  <c:v>#N/A</c:v>
                </c:pt>
                <c:pt idx="775">
                  <c:v>68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53</c:v>
                </c:pt>
                <c:pt idx="782">
                  <c:v>43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49</c:v>
                </c:pt>
                <c:pt idx="789">
                  <c:v>70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12</c:v>
                </c:pt>
                <c:pt idx="794">
                  <c:v>93</c:v>
                </c:pt>
                <c:pt idx="795">
                  <c:v>69</c:v>
                </c:pt>
                <c:pt idx="796">
                  <c:v>42</c:v>
                </c:pt>
                <c:pt idx="797">
                  <c:v>#N/A</c:v>
                </c:pt>
                <c:pt idx="798">
                  <c:v>47</c:v>
                </c:pt>
                <c:pt idx="799">
                  <c:v>#N/A</c:v>
                </c:pt>
                <c:pt idx="800">
                  <c:v>#N/A</c:v>
                </c:pt>
                <c:pt idx="801">
                  <c:v>75</c:v>
                </c:pt>
                <c:pt idx="802">
                  <c:v>#N/A</c:v>
                </c:pt>
                <c:pt idx="803">
                  <c:v>96</c:v>
                </c:pt>
                <c:pt idx="804">
                  <c:v>88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49</c:v>
                </c:pt>
                <c:pt idx="809">
                  <c:v>#N/A</c:v>
                </c:pt>
                <c:pt idx="810">
                  <c:v>41</c:v>
                </c:pt>
                <c:pt idx="811">
                  <c:v>#N/A</c:v>
                </c:pt>
                <c:pt idx="812">
                  <c:v>69</c:v>
                </c:pt>
                <c:pt idx="813">
                  <c:v>59</c:v>
                </c:pt>
                <c:pt idx="814">
                  <c:v>1</c:v>
                </c:pt>
                <c:pt idx="815">
                  <c:v>16</c:v>
                </c:pt>
                <c:pt idx="816">
                  <c:v>#N/A</c:v>
                </c:pt>
                <c:pt idx="817">
                  <c:v>7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12</c:v>
                </c:pt>
                <c:pt idx="822">
                  <c:v>31</c:v>
                </c:pt>
                <c:pt idx="823">
                  <c:v>#N/A</c:v>
                </c:pt>
                <c:pt idx="824">
                  <c:v>60</c:v>
                </c:pt>
                <c:pt idx="825">
                  <c:v>#N/A</c:v>
                </c:pt>
                <c:pt idx="826">
                  <c:v>90</c:v>
                </c:pt>
                <c:pt idx="827">
                  <c:v>60</c:v>
                </c:pt>
                <c:pt idx="828">
                  <c:v>#N/A</c:v>
                </c:pt>
                <c:pt idx="829">
                  <c:v>#N/A</c:v>
                </c:pt>
                <c:pt idx="830">
                  <c:v>18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33</c:v>
                </c:pt>
                <c:pt idx="836">
                  <c:v>93</c:v>
                </c:pt>
                <c:pt idx="837">
                  <c:v>14</c:v>
                </c:pt>
                <c:pt idx="838">
                  <c:v>27</c:v>
                </c:pt>
                <c:pt idx="839">
                  <c:v>47</c:v>
                </c:pt>
                <c:pt idx="840">
                  <c:v>#N/A</c:v>
                </c:pt>
                <c:pt idx="841">
                  <c:v>#N/A</c:v>
                </c:pt>
                <c:pt idx="842">
                  <c:v>57</c:v>
                </c:pt>
                <c:pt idx="843">
                  <c:v>#N/A</c:v>
                </c:pt>
                <c:pt idx="844">
                  <c:v>#N/A</c:v>
                </c:pt>
                <c:pt idx="845">
                  <c:v>36</c:v>
                </c:pt>
                <c:pt idx="846">
                  <c:v>#N/A</c:v>
                </c:pt>
                <c:pt idx="847">
                  <c:v>#N/A</c:v>
                </c:pt>
                <c:pt idx="848">
                  <c:v>30</c:v>
                </c:pt>
                <c:pt idx="849">
                  <c:v>#N/A</c:v>
                </c:pt>
                <c:pt idx="850">
                  <c:v>25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4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17</c:v>
                </c:pt>
                <c:pt idx="860">
                  <c:v>#N/A</c:v>
                </c:pt>
                <c:pt idx="861">
                  <c:v>#N/A</c:v>
                </c:pt>
                <c:pt idx="862">
                  <c:v>22</c:v>
                </c:pt>
                <c:pt idx="863">
                  <c:v>14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26</c:v>
                </c:pt>
                <c:pt idx="870">
                  <c:v>#N/A</c:v>
                </c:pt>
                <c:pt idx="871">
                  <c:v>#N/A</c:v>
                </c:pt>
                <c:pt idx="872">
                  <c:v>24</c:v>
                </c:pt>
                <c:pt idx="873">
                  <c:v>#N/A</c:v>
                </c:pt>
                <c:pt idx="874">
                  <c:v>22</c:v>
                </c:pt>
                <c:pt idx="875">
                  <c:v>#N/A</c:v>
                </c:pt>
                <c:pt idx="876">
                  <c:v>#N/A</c:v>
                </c:pt>
                <c:pt idx="877">
                  <c:v>30</c:v>
                </c:pt>
                <c:pt idx="878">
                  <c:v>93</c:v>
                </c:pt>
                <c:pt idx="879">
                  <c:v>#N/A</c:v>
                </c:pt>
                <c:pt idx="880">
                  <c:v>#N/A</c:v>
                </c:pt>
                <c:pt idx="881">
                  <c:v>42</c:v>
                </c:pt>
                <c:pt idx="882">
                  <c:v>#N/A</c:v>
                </c:pt>
                <c:pt idx="883">
                  <c:v>60</c:v>
                </c:pt>
                <c:pt idx="884">
                  <c:v>#N/A</c:v>
                </c:pt>
                <c:pt idx="885">
                  <c:v>#N/A</c:v>
                </c:pt>
                <c:pt idx="886">
                  <c:v>19</c:v>
                </c:pt>
                <c:pt idx="887">
                  <c:v>37</c:v>
                </c:pt>
                <c:pt idx="888">
                  <c:v>43</c:v>
                </c:pt>
                <c:pt idx="889">
                  <c:v>83</c:v>
                </c:pt>
                <c:pt idx="890">
                  <c:v>83</c:v>
                </c:pt>
                <c:pt idx="891">
                  <c:v>55</c:v>
                </c:pt>
                <c:pt idx="892">
                  <c:v>#N/A</c:v>
                </c:pt>
                <c:pt idx="893">
                  <c:v>#N/A</c:v>
                </c:pt>
                <c:pt idx="894">
                  <c:v>49</c:v>
                </c:pt>
                <c:pt idx="895">
                  <c:v>52</c:v>
                </c:pt>
                <c:pt idx="896">
                  <c:v>94</c:v>
                </c:pt>
                <c:pt idx="897">
                  <c:v>58</c:v>
                </c:pt>
                <c:pt idx="898">
                  <c:v>#N/A</c:v>
                </c:pt>
                <c:pt idx="899">
                  <c:v>12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84</c:v>
                </c:pt>
                <c:pt idx="904">
                  <c:v>59</c:v>
                </c:pt>
                <c:pt idx="905">
                  <c:v>#N/A</c:v>
                </c:pt>
                <c:pt idx="906">
                  <c:v>95</c:v>
                </c:pt>
                <c:pt idx="907">
                  <c:v>86</c:v>
                </c:pt>
                <c:pt idx="908">
                  <c:v>#N/A</c:v>
                </c:pt>
                <c:pt idx="909">
                  <c:v>62</c:v>
                </c:pt>
                <c:pt idx="910">
                  <c:v>89</c:v>
                </c:pt>
                <c:pt idx="911">
                  <c:v>#N/A</c:v>
                </c:pt>
                <c:pt idx="912">
                  <c:v>19</c:v>
                </c:pt>
                <c:pt idx="913">
                  <c:v>#N/A</c:v>
                </c:pt>
                <c:pt idx="914">
                  <c:v>45</c:v>
                </c:pt>
                <c:pt idx="915">
                  <c:v>#N/A</c:v>
                </c:pt>
                <c:pt idx="916">
                  <c:v>#N/A</c:v>
                </c:pt>
                <c:pt idx="917">
                  <c:v>82</c:v>
                </c:pt>
                <c:pt idx="918">
                  <c:v>#N/A</c:v>
                </c:pt>
                <c:pt idx="919">
                  <c:v>#N/A</c:v>
                </c:pt>
                <c:pt idx="920">
                  <c:v>96</c:v>
                </c:pt>
                <c:pt idx="921">
                  <c:v>#N/A</c:v>
                </c:pt>
                <c:pt idx="922">
                  <c:v>32</c:v>
                </c:pt>
                <c:pt idx="923">
                  <c:v>4</c:v>
                </c:pt>
                <c:pt idx="924">
                  <c:v>#N/A</c:v>
                </c:pt>
                <c:pt idx="925">
                  <c:v>69</c:v>
                </c:pt>
                <c:pt idx="926">
                  <c:v>#N/A</c:v>
                </c:pt>
                <c:pt idx="927">
                  <c:v>91</c:v>
                </c:pt>
                <c:pt idx="928">
                  <c:v>71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83</c:v>
                </c:pt>
                <c:pt idx="934">
                  <c:v>#N/A</c:v>
                </c:pt>
                <c:pt idx="935">
                  <c:v>96</c:v>
                </c:pt>
                <c:pt idx="936">
                  <c:v>48</c:v>
                </c:pt>
                <c:pt idx="937">
                  <c:v>56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45</c:v>
                </c:pt>
                <c:pt idx="943">
                  <c:v>#N/A</c:v>
                </c:pt>
                <c:pt idx="944">
                  <c:v>33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76</c:v>
                </c:pt>
                <c:pt idx="952">
                  <c:v>64</c:v>
                </c:pt>
                <c:pt idx="953">
                  <c:v>19</c:v>
                </c:pt>
                <c:pt idx="954">
                  <c:v>#N/A</c:v>
                </c:pt>
                <c:pt idx="955">
                  <c:v>#N/A</c:v>
                </c:pt>
                <c:pt idx="956">
                  <c:v>49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33</c:v>
                </c:pt>
                <c:pt idx="962">
                  <c:v>#N/A</c:v>
                </c:pt>
                <c:pt idx="963">
                  <c:v>99</c:v>
                </c:pt>
                <c:pt idx="964">
                  <c:v>41</c:v>
                </c:pt>
                <c:pt idx="965">
                  <c:v>20</c:v>
                </c:pt>
                <c:pt idx="966">
                  <c:v>2</c:v>
                </c:pt>
                <c:pt idx="967">
                  <c:v>14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14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23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78</c:v>
                </c:pt>
                <c:pt idx="985">
                  <c:v>83</c:v>
                </c:pt>
                <c:pt idx="986">
                  <c:v>77</c:v>
                </c:pt>
                <c:pt idx="987">
                  <c:v>3</c:v>
                </c:pt>
                <c:pt idx="988">
                  <c:v>71</c:v>
                </c:pt>
                <c:pt idx="989">
                  <c:v>23</c:v>
                </c:pt>
                <c:pt idx="990">
                  <c:v>87</c:v>
                </c:pt>
                <c:pt idx="991">
                  <c:v>#N/A</c:v>
                </c:pt>
                <c:pt idx="992">
                  <c:v>#N/A</c:v>
                </c:pt>
                <c:pt idx="993">
                  <c:v>70</c:v>
                </c:pt>
                <c:pt idx="994">
                  <c:v>#N/A</c:v>
                </c:pt>
                <c:pt idx="995">
                  <c:v>76</c:v>
                </c:pt>
                <c:pt idx="996">
                  <c:v>80</c:v>
                </c:pt>
                <c:pt idx="997">
                  <c:v>48</c:v>
                </c:pt>
                <c:pt idx="998">
                  <c:v>100</c:v>
                </c:pt>
                <c:pt idx="9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31-4A81-A2CF-CB5F54CF98C6}"/>
            </c:ext>
          </c:extLst>
        </c:ser>
        <c:ser>
          <c:idx val="2"/>
          <c:order val="2"/>
          <c:tx>
            <c:v>High Income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39594">
                  <a:alpha val="69804"/>
                </a:srgbClr>
              </a:solidFill>
              <a:ln w="9525">
                <a:noFill/>
              </a:ln>
              <a:effectLst/>
            </c:spPr>
          </c:marker>
          <c:dPt>
            <c:idx val="880"/>
            <c:marker>
              <c:symbol val="circle"/>
              <c:size val="5"/>
              <c:spPr>
                <a:solidFill>
                  <a:srgbClr val="A39594">
                    <a:alpha val="69804"/>
                  </a:srgbClr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31-4A81-A2CF-CB5F54CF98C6}"/>
              </c:ext>
            </c:extLst>
          </c:dPt>
          <c:trendline>
            <c:spPr>
              <a:ln w="19050" cap="rnd">
                <a:solidFill>
                  <a:schemeClr val="tx1">
                    <a:lumMod val="95000"/>
                    <a:lumOff val="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'Income_vs_spending score'!$O$2:$O$1001</c:f>
              <c:numCache>
                <c:formatCode>_-[$$-409]* #,##0_ ;_-[$$-409]* \-#,##0\ ;_-[$$-409]* "-"??_ ;_-@_ </c:formatCode>
                <c:ptCount val="1000"/>
                <c:pt idx="0">
                  <c:v>112260</c:v>
                </c:pt>
                <c:pt idx="1">
                  <c:v>#N/A</c:v>
                </c:pt>
                <c:pt idx="2">
                  <c:v>#N/A</c:v>
                </c:pt>
                <c:pt idx="3">
                  <c:v>107057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100270</c:v>
                </c:pt>
                <c:pt idx="8">
                  <c:v>#N/A</c:v>
                </c:pt>
                <c:pt idx="9">
                  <c:v>#N/A</c:v>
                </c:pt>
                <c:pt idx="10">
                  <c:v>125014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140801</c:v>
                </c:pt>
                <c:pt idx="15">
                  <c:v>121325</c:v>
                </c:pt>
                <c:pt idx="16">
                  <c:v>108550</c:v>
                </c:pt>
                <c:pt idx="17">
                  <c:v>100258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117922</c:v>
                </c:pt>
                <c:pt idx="22">
                  <c:v>119162</c:v>
                </c:pt>
                <c:pt idx="23">
                  <c:v>#N/A</c:v>
                </c:pt>
                <c:pt idx="24">
                  <c:v>136928</c:v>
                </c:pt>
                <c:pt idx="25">
                  <c:v>107934</c:v>
                </c:pt>
                <c:pt idx="26">
                  <c:v>123037</c:v>
                </c:pt>
                <c:pt idx="27">
                  <c:v>120914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143992</c:v>
                </c:pt>
                <c:pt idx="33">
                  <c:v>141605</c:v>
                </c:pt>
                <c:pt idx="34">
                  <c:v>#N/A</c:v>
                </c:pt>
                <c:pt idx="35">
                  <c:v>146165</c:v>
                </c:pt>
                <c:pt idx="36">
                  <c:v>#N/A</c:v>
                </c:pt>
                <c:pt idx="37">
                  <c:v>121639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132598</c:v>
                </c:pt>
                <c:pt idx="42">
                  <c:v>#N/A</c:v>
                </c:pt>
                <c:pt idx="43">
                  <c:v>#N/A</c:v>
                </c:pt>
                <c:pt idx="44">
                  <c:v>102200</c:v>
                </c:pt>
                <c:pt idx="45">
                  <c:v>#N/A</c:v>
                </c:pt>
                <c:pt idx="46">
                  <c:v>#N/A</c:v>
                </c:pt>
                <c:pt idx="47">
                  <c:v>140959</c:v>
                </c:pt>
                <c:pt idx="48">
                  <c:v>105623</c:v>
                </c:pt>
                <c:pt idx="49">
                  <c:v>#N/A</c:v>
                </c:pt>
                <c:pt idx="50">
                  <c:v>#N/A</c:v>
                </c:pt>
                <c:pt idx="51">
                  <c:v>104041</c:v>
                </c:pt>
                <c:pt idx="52">
                  <c:v>#N/A</c:v>
                </c:pt>
                <c:pt idx="53">
                  <c:v>141318</c:v>
                </c:pt>
                <c:pt idx="54">
                  <c:v>127989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112510</c:v>
                </c:pt>
                <c:pt idx="60">
                  <c:v>115204</c:v>
                </c:pt>
                <c:pt idx="61">
                  <c:v>#N/A</c:v>
                </c:pt>
                <c:pt idx="62">
                  <c:v>147355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129445</c:v>
                </c:pt>
                <c:pt idx="67">
                  <c:v>112949</c:v>
                </c:pt>
                <c:pt idx="68">
                  <c:v>136418</c:v>
                </c:pt>
                <c:pt idx="69">
                  <c:v>140638</c:v>
                </c:pt>
                <c:pt idx="70">
                  <c:v>128640</c:v>
                </c:pt>
                <c:pt idx="71">
                  <c:v>122436</c:v>
                </c:pt>
                <c:pt idx="72">
                  <c:v>#N/A</c:v>
                </c:pt>
                <c:pt idx="73">
                  <c:v>148784</c:v>
                </c:pt>
                <c:pt idx="74">
                  <c:v>#N/A</c:v>
                </c:pt>
                <c:pt idx="75">
                  <c:v>117373</c:v>
                </c:pt>
                <c:pt idx="76">
                  <c:v>#N/A</c:v>
                </c:pt>
                <c:pt idx="77">
                  <c:v>104106</c:v>
                </c:pt>
                <c:pt idx="78">
                  <c:v>#N/A</c:v>
                </c:pt>
                <c:pt idx="79">
                  <c:v>108074</c:v>
                </c:pt>
                <c:pt idx="80">
                  <c:v>129005</c:v>
                </c:pt>
                <c:pt idx="81">
                  <c:v>#N/A</c:v>
                </c:pt>
                <c:pt idx="82">
                  <c:v>135861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128322</c:v>
                </c:pt>
                <c:pt idx="87">
                  <c:v>#N/A</c:v>
                </c:pt>
                <c:pt idx="88">
                  <c:v>#N/A</c:v>
                </c:pt>
                <c:pt idx="89">
                  <c:v>136323</c:v>
                </c:pt>
                <c:pt idx="90">
                  <c:v>137307</c:v>
                </c:pt>
                <c:pt idx="91">
                  <c:v>108335</c:v>
                </c:pt>
                <c:pt idx="92">
                  <c:v>100208</c:v>
                </c:pt>
                <c:pt idx="93">
                  <c:v>132541</c:v>
                </c:pt>
                <c:pt idx="94">
                  <c:v>#N/A</c:v>
                </c:pt>
                <c:pt idx="95">
                  <c:v>142216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113187</c:v>
                </c:pt>
                <c:pt idx="101">
                  <c:v>#N/A</c:v>
                </c:pt>
                <c:pt idx="102">
                  <c:v>#N/A</c:v>
                </c:pt>
                <c:pt idx="103">
                  <c:v>138922</c:v>
                </c:pt>
                <c:pt idx="104">
                  <c:v>137205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134193</c:v>
                </c:pt>
                <c:pt idx="119">
                  <c:v>#N/A</c:v>
                </c:pt>
                <c:pt idx="120">
                  <c:v>135968</c:v>
                </c:pt>
                <c:pt idx="121">
                  <c:v>108263</c:v>
                </c:pt>
                <c:pt idx="122">
                  <c:v>145924</c:v>
                </c:pt>
                <c:pt idx="123">
                  <c:v>141965</c:v>
                </c:pt>
                <c:pt idx="124">
                  <c:v>122028</c:v>
                </c:pt>
                <c:pt idx="125">
                  <c:v>113856</c:v>
                </c:pt>
                <c:pt idx="126">
                  <c:v>#N/A</c:v>
                </c:pt>
                <c:pt idx="127">
                  <c:v>136973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113380</c:v>
                </c:pt>
                <c:pt idx="133">
                  <c:v>#N/A</c:v>
                </c:pt>
                <c:pt idx="134">
                  <c:v>#N/A</c:v>
                </c:pt>
                <c:pt idx="135">
                  <c:v>118840</c:v>
                </c:pt>
                <c:pt idx="136">
                  <c:v>103921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134463</c:v>
                </c:pt>
                <c:pt idx="146">
                  <c:v>130604</c:v>
                </c:pt>
                <c:pt idx="147">
                  <c:v>#N/A</c:v>
                </c:pt>
                <c:pt idx="148">
                  <c:v>109314</c:v>
                </c:pt>
                <c:pt idx="149">
                  <c:v>#N/A</c:v>
                </c:pt>
                <c:pt idx="150">
                  <c:v>117893</c:v>
                </c:pt>
                <c:pt idx="151">
                  <c:v>123822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111242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145261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134203</c:v>
                </c:pt>
                <c:pt idx="169">
                  <c:v>#N/A</c:v>
                </c:pt>
                <c:pt idx="170">
                  <c:v>#N/A</c:v>
                </c:pt>
                <c:pt idx="171">
                  <c:v>132488</c:v>
                </c:pt>
                <c:pt idx="172">
                  <c:v>#N/A</c:v>
                </c:pt>
                <c:pt idx="173">
                  <c:v>#N/A</c:v>
                </c:pt>
                <c:pt idx="174">
                  <c:v>100320</c:v>
                </c:pt>
                <c:pt idx="175">
                  <c:v>143200</c:v>
                </c:pt>
                <c:pt idx="176">
                  <c:v>#N/A</c:v>
                </c:pt>
                <c:pt idx="177">
                  <c:v>124796</c:v>
                </c:pt>
                <c:pt idx="178">
                  <c:v>#N/A</c:v>
                </c:pt>
                <c:pt idx="179">
                  <c:v>#N/A</c:v>
                </c:pt>
                <c:pt idx="180">
                  <c:v>115342</c:v>
                </c:pt>
                <c:pt idx="181">
                  <c:v>105641</c:v>
                </c:pt>
                <c:pt idx="182">
                  <c:v>#N/A</c:v>
                </c:pt>
                <c:pt idx="183">
                  <c:v>141134</c:v>
                </c:pt>
                <c:pt idx="184">
                  <c:v>140809</c:v>
                </c:pt>
                <c:pt idx="185">
                  <c:v>145254</c:v>
                </c:pt>
                <c:pt idx="186">
                  <c:v>149505</c:v>
                </c:pt>
                <c:pt idx="187">
                  <c:v>132215</c:v>
                </c:pt>
                <c:pt idx="188">
                  <c:v>111238</c:v>
                </c:pt>
                <c:pt idx="189">
                  <c:v>132968</c:v>
                </c:pt>
                <c:pt idx="190">
                  <c:v>#N/A</c:v>
                </c:pt>
                <c:pt idx="191">
                  <c:v>139366</c:v>
                </c:pt>
                <c:pt idx="192">
                  <c:v>106944</c:v>
                </c:pt>
                <c:pt idx="193">
                  <c:v>#N/A</c:v>
                </c:pt>
                <c:pt idx="194">
                  <c:v>121073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100730</c:v>
                </c:pt>
                <c:pt idx="201">
                  <c:v>127010</c:v>
                </c:pt>
                <c:pt idx="202">
                  <c:v>132403</c:v>
                </c:pt>
                <c:pt idx="203">
                  <c:v>147360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100115</c:v>
                </c:pt>
                <c:pt idx="208">
                  <c:v>#N/A</c:v>
                </c:pt>
                <c:pt idx="209">
                  <c:v>132277</c:v>
                </c:pt>
                <c:pt idx="210">
                  <c:v>#N/A</c:v>
                </c:pt>
                <c:pt idx="211">
                  <c:v>145190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137307</c:v>
                </c:pt>
                <c:pt idx="223">
                  <c:v>139658</c:v>
                </c:pt>
                <c:pt idx="224">
                  <c:v>107702</c:v>
                </c:pt>
                <c:pt idx="225">
                  <c:v>#N/A</c:v>
                </c:pt>
                <c:pt idx="226">
                  <c:v>104830</c:v>
                </c:pt>
                <c:pt idx="227">
                  <c:v>#N/A</c:v>
                </c:pt>
                <c:pt idx="228">
                  <c:v>#N/A</c:v>
                </c:pt>
                <c:pt idx="229">
                  <c:v>113097</c:v>
                </c:pt>
                <c:pt idx="230">
                  <c:v>108115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113154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116566</c:v>
                </c:pt>
                <c:pt idx="244">
                  <c:v>111788</c:v>
                </c:pt>
                <c:pt idx="245">
                  <c:v>144573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141748</c:v>
                </c:pt>
                <c:pt idx="250">
                  <c:v>#N/A</c:v>
                </c:pt>
                <c:pt idx="251">
                  <c:v>#N/A</c:v>
                </c:pt>
                <c:pt idx="252">
                  <c:v>145308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105810</c:v>
                </c:pt>
                <c:pt idx="257">
                  <c:v>#N/A</c:v>
                </c:pt>
                <c:pt idx="258">
                  <c:v>#N/A</c:v>
                </c:pt>
                <c:pt idx="259">
                  <c:v>134502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144083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143235</c:v>
                </c:pt>
                <c:pt idx="271">
                  <c:v>143899</c:v>
                </c:pt>
                <c:pt idx="272">
                  <c:v>#N/A</c:v>
                </c:pt>
                <c:pt idx="273">
                  <c:v>138008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148121</c:v>
                </c:pt>
                <c:pt idx="278">
                  <c:v>114848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107033</c:v>
                </c:pt>
                <c:pt idx="285">
                  <c:v>127745</c:v>
                </c:pt>
                <c:pt idx="286">
                  <c:v>#N/A</c:v>
                </c:pt>
                <c:pt idx="287">
                  <c:v>127302</c:v>
                </c:pt>
                <c:pt idx="288">
                  <c:v>111795</c:v>
                </c:pt>
                <c:pt idx="289">
                  <c:v>134801</c:v>
                </c:pt>
                <c:pt idx="290">
                  <c:v>121037</c:v>
                </c:pt>
                <c:pt idx="291">
                  <c:v>#N/A</c:v>
                </c:pt>
                <c:pt idx="292">
                  <c:v>149973</c:v>
                </c:pt>
                <c:pt idx="293">
                  <c:v>131020</c:v>
                </c:pt>
                <c:pt idx="294">
                  <c:v>#N/A</c:v>
                </c:pt>
                <c:pt idx="295">
                  <c:v>138152</c:v>
                </c:pt>
                <c:pt idx="296">
                  <c:v>149936</c:v>
                </c:pt>
                <c:pt idx="297">
                  <c:v>#N/A</c:v>
                </c:pt>
                <c:pt idx="298">
                  <c:v>130645</c:v>
                </c:pt>
                <c:pt idx="299">
                  <c:v>100314</c:v>
                </c:pt>
                <c:pt idx="300">
                  <c:v>148451</c:v>
                </c:pt>
                <c:pt idx="301">
                  <c:v>129284</c:v>
                </c:pt>
                <c:pt idx="302">
                  <c:v>102535</c:v>
                </c:pt>
                <c:pt idx="303">
                  <c:v>115529</c:v>
                </c:pt>
                <c:pt idx="304">
                  <c:v>101100</c:v>
                </c:pt>
                <c:pt idx="305">
                  <c:v>108480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100745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142287</c:v>
                </c:pt>
                <c:pt idx="314">
                  <c:v>#N/A</c:v>
                </c:pt>
                <c:pt idx="315">
                  <c:v>#N/A</c:v>
                </c:pt>
                <c:pt idx="316">
                  <c:v>124670</c:v>
                </c:pt>
                <c:pt idx="317">
                  <c:v>119460</c:v>
                </c:pt>
                <c:pt idx="318">
                  <c:v>#N/A</c:v>
                </c:pt>
                <c:pt idx="319">
                  <c:v>#N/A</c:v>
                </c:pt>
                <c:pt idx="320">
                  <c:v>112118</c:v>
                </c:pt>
                <c:pt idx="321">
                  <c:v>149062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129999</c:v>
                </c:pt>
                <c:pt idx="327">
                  <c:v>133701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129568</c:v>
                </c:pt>
                <c:pt idx="332">
                  <c:v>114808</c:v>
                </c:pt>
                <c:pt idx="333">
                  <c:v>145578</c:v>
                </c:pt>
                <c:pt idx="334">
                  <c:v>#N/A</c:v>
                </c:pt>
                <c:pt idx="335">
                  <c:v>#N/A</c:v>
                </c:pt>
                <c:pt idx="336">
                  <c:v>115674</c:v>
                </c:pt>
                <c:pt idx="337">
                  <c:v>#N/A</c:v>
                </c:pt>
                <c:pt idx="338">
                  <c:v>#N/A</c:v>
                </c:pt>
                <c:pt idx="339">
                  <c:v>136278</c:v>
                </c:pt>
                <c:pt idx="340">
                  <c:v>104971</c:v>
                </c:pt>
                <c:pt idx="341">
                  <c:v>#N/A</c:v>
                </c:pt>
                <c:pt idx="342">
                  <c:v>107042</c:v>
                </c:pt>
                <c:pt idx="343">
                  <c:v>#N/A</c:v>
                </c:pt>
                <c:pt idx="344">
                  <c:v>101111</c:v>
                </c:pt>
                <c:pt idx="345">
                  <c:v>125996</c:v>
                </c:pt>
                <c:pt idx="346">
                  <c:v>115470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105157</c:v>
                </c:pt>
                <c:pt idx="351">
                  <c:v>134592</c:v>
                </c:pt>
                <c:pt idx="352">
                  <c:v>#N/A</c:v>
                </c:pt>
                <c:pt idx="353">
                  <c:v>#N/A</c:v>
                </c:pt>
                <c:pt idx="354">
                  <c:v>120294</c:v>
                </c:pt>
                <c:pt idx="355">
                  <c:v>#N/A</c:v>
                </c:pt>
                <c:pt idx="356">
                  <c:v>112170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141757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134241</c:v>
                </c:pt>
                <c:pt idx="369">
                  <c:v>#N/A</c:v>
                </c:pt>
                <c:pt idx="370">
                  <c:v>#N/A</c:v>
                </c:pt>
                <c:pt idx="371">
                  <c:v>143037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105470</c:v>
                </c:pt>
                <c:pt idx="376">
                  <c:v>#N/A</c:v>
                </c:pt>
                <c:pt idx="377">
                  <c:v>#N/A</c:v>
                </c:pt>
                <c:pt idx="378">
                  <c:v>104031</c:v>
                </c:pt>
                <c:pt idx="379">
                  <c:v>113116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101084</c:v>
                </c:pt>
                <c:pt idx="384">
                  <c:v>#N/A</c:v>
                </c:pt>
                <c:pt idx="385">
                  <c:v>#N/A</c:v>
                </c:pt>
                <c:pt idx="386">
                  <c:v>107818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124138</c:v>
                </c:pt>
                <c:pt idx="393">
                  <c:v>106631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148368</c:v>
                </c:pt>
                <c:pt idx="398">
                  <c:v>134414</c:v>
                </c:pt>
                <c:pt idx="399">
                  <c:v>105185</c:v>
                </c:pt>
                <c:pt idx="400">
                  <c:v>129014</c:v>
                </c:pt>
                <c:pt idx="401">
                  <c:v>112847</c:v>
                </c:pt>
                <c:pt idx="402">
                  <c:v>139589</c:v>
                </c:pt>
                <c:pt idx="403">
                  <c:v>#N/A</c:v>
                </c:pt>
                <c:pt idx="404">
                  <c:v>#N/A</c:v>
                </c:pt>
                <c:pt idx="405">
                  <c:v>101024</c:v>
                </c:pt>
                <c:pt idx="406">
                  <c:v>#N/A</c:v>
                </c:pt>
                <c:pt idx="407">
                  <c:v>107232</c:v>
                </c:pt>
                <c:pt idx="408">
                  <c:v>128623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144624</c:v>
                </c:pt>
                <c:pt idx="414">
                  <c:v>130668</c:v>
                </c:pt>
                <c:pt idx="415">
                  <c:v>135530</c:v>
                </c:pt>
                <c:pt idx="416">
                  <c:v>#N/A</c:v>
                </c:pt>
                <c:pt idx="417">
                  <c:v>126553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107488</c:v>
                </c:pt>
                <c:pt idx="424">
                  <c:v>115381</c:v>
                </c:pt>
                <c:pt idx="425">
                  <c:v>#N/A</c:v>
                </c:pt>
                <c:pt idx="426">
                  <c:v>122661</c:v>
                </c:pt>
                <c:pt idx="427">
                  <c:v>120516</c:v>
                </c:pt>
                <c:pt idx="428">
                  <c:v>#N/A</c:v>
                </c:pt>
                <c:pt idx="429">
                  <c:v>103191</c:v>
                </c:pt>
                <c:pt idx="430">
                  <c:v>149741</c:v>
                </c:pt>
                <c:pt idx="431">
                  <c:v>#N/A</c:v>
                </c:pt>
                <c:pt idx="432">
                  <c:v>105019</c:v>
                </c:pt>
                <c:pt idx="433">
                  <c:v>#N/A</c:v>
                </c:pt>
                <c:pt idx="434">
                  <c:v>127948</c:v>
                </c:pt>
                <c:pt idx="435">
                  <c:v>141369</c:v>
                </c:pt>
                <c:pt idx="436">
                  <c:v>119844</c:v>
                </c:pt>
                <c:pt idx="437">
                  <c:v>135305</c:v>
                </c:pt>
                <c:pt idx="438">
                  <c:v>#N/A</c:v>
                </c:pt>
                <c:pt idx="439">
                  <c:v>101105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124369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147555</c:v>
                </c:pt>
                <c:pt idx="448">
                  <c:v>#N/A</c:v>
                </c:pt>
                <c:pt idx="449">
                  <c:v>100399</c:v>
                </c:pt>
                <c:pt idx="450">
                  <c:v>143640</c:v>
                </c:pt>
                <c:pt idx="451">
                  <c:v>100736</c:v>
                </c:pt>
                <c:pt idx="452">
                  <c:v>139508</c:v>
                </c:pt>
                <c:pt idx="453">
                  <c:v>112674</c:v>
                </c:pt>
                <c:pt idx="454">
                  <c:v>143424</c:v>
                </c:pt>
                <c:pt idx="455">
                  <c:v>120542</c:v>
                </c:pt>
                <c:pt idx="456">
                  <c:v>#N/A</c:v>
                </c:pt>
                <c:pt idx="457">
                  <c:v>124597</c:v>
                </c:pt>
                <c:pt idx="458">
                  <c:v>112021</c:v>
                </c:pt>
                <c:pt idx="459">
                  <c:v>#N/A</c:v>
                </c:pt>
                <c:pt idx="460">
                  <c:v>#N/A</c:v>
                </c:pt>
                <c:pt idx="461">
                  <c:v>112137</c:v>
                </c:pt>
                <c:pt idx="462">
                  <c:v>137276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115578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116378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106345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105994</c:v>
                </c:pt>
                <c:pt idx="490">
                  <c:v>#N/A</c:v>
                </c:pt>
                <c:pt idx="491">
                  <c:v>#N/A</c:v>
                </c:pt>
                <c:pt idx="492">
                  <c:v>115537</c:v>
                </c:pt>
                <c:pt idx="493">
                  <c:v>#N/A</c:v>
                </c:pt>
                <c:pt idx="494">
                  <c:v>130443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145028</c:v>
                </c:pt>
                <c:pt idx="504">
                  <c:v>143612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149578</c:v>
                </c:pt>
                <c:pt idx="510">
                  <c:v>111784</c:v>
                </c:pt>
                <c:pt idx="511">
                  <c:v>#N/A</c:v>
                </c:pt>
                <c:pt idx="512">
                  <c:v>120644</c:v>
                </c:pt>
                <c:pt idx="513">
                  <c:v>135627</c:v>
                </c:pt>
                <c:pt idx="514">
                  <c:v>145884</c:v>
                </c:pt>
                <c:pt idx="515">
                  <c:v>#N/A</c:v>
                </c:pt>
                <c:pt idx="516">
                  <c:v>106632</c:v>
                </c:pt>
                <c:pt idx="517">
                  <c:v>#N/A</c:v>
                </c:pt>
                <c:pt idx="518">
                  <c:v>112212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113706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128064</c:v>
                </c:pt>
                <c:pt idx="529">
                  <c:v>129592</c:v>
                </c:pt>
                <c:pt idx="530">
                  <c:v>#N/A</c:v>
                </c:pt>
                <c:pt idx="531">
                  <c:v>111493</c:v>
                </c:pt>
                <c:pt idx="532">
                  <c:v>114390</c:v>
                </c:pt>
                <c:pt idx="533">
                  <c:v>#N/A</c:v>
                </c:pt>
                <c:pt idx="534">
                  <c:v>133888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105024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122472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117432</c:v>
                </c:pt>
                <c:pt idx="556">
                  <c:v>#N/A</c:v>
                </c:pt>
                <c:pt idx="557">
                  <c:v>129611</c:v>
                </c:pt>
                <c:pt idx="558">
                  <c:v>#N/A</c:v>
                </c:pt>
                <c:pt idx="559">
                  <c:v>126598</c:v>
                </c:pt>
                <c:pt idx="560">
                  <c:v>#N/A</c:v>
                </c:pt>
                <c:pt idx="561">
                  <c:v>#N/A</c:v>
                </c:pt>
                <c:pt idx="562">
                  <c:v>145117</c:v>
                </c:pt>
                <c:pt idx="563">
                  <c:v>#N/A</c:v>
                </c:pt>
                <c:pt idx="564">
                  <c:v>#N/A</c:v>
                </c:pt>
                <c:pt idx="565">
                  <c:v>140349</c:v>
                </c:pt>
                <c:pt idx="566">
                  <c:v>118622</c:v>
                </c:pt>
                <c:pt idx="567">
                  <c:v>#N/A</c:v>
                </c:pt>
                <c:pt idx="568">
                  <c:v>136827</c:v>
                </c:pt>
                <c:pt idx="569">
                  <c:v>#N/A</c:v>
                </c:pt>
                <c:pt idx="570">
                  <c:v>113760</c:v>
                </c:pt>
                <c:pt idx="571">
                  <c:v>109039</c:v>
                </c:pt>
                <c:pt idx="572">
                  <c:v>113794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102269</c:v>
                </c:pt>
                <c:pt idx="579">
                  <c:v>108744</c:v>
                </c:pt>
                <c:pt idx="580">
                  <c:v>141667</c:v>
                </c:pt>
                <c:pt idx="581">
                  <c:v>#N/A</c:v>
                </c:pt>
                <c:pt idx="582">
                  <c:v>#N/A</c:v>
                </c:pt>
                <c:pt idx="583">
                  <c:v>114762</c:v>
                </c:pt>
                <c:pt idx="584">
                  <c:v>#N/A</c:v>
                </c:pt>
                <c:pt idx="585">
                  <c:v>#N/A</c:v>
                </c:pt>
                <c:pt idx="586">
                  <c:v>140475</c:v>
                </c:pt>
                <c:pt idx="587">
                  <c:v>#N/A</c:v>
                </c:pt>
                <c:pt idx="588">
                  <c:v>114874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120195</c:v>
                </c:pt>
                <c:pt idx="594">
                  <c:v>113532</c:v>
                </c:pt>
                <c:pt idx="595">
                  <c:v>146269</c:v>
                </c:pt>
                <c:pt idx="596">
                  <c:v>#N/A</c:v>
                </c:pt>
                <c:pt idx="597">
                  <c:v>#N/A</c:v>
                </c:pt>
                <c:pt idx="598">
                  <c:v>119492</c:v>
                </c:pt>
                <c:pt idx="599">
                  <c:v>106771</c:v>
                </c:pt>
                <c:pt idx="600">
                  <c:v>141567</c:v>
                </c:pt>
                <c:pt idx="601">
                  <c:v>#N/A</c:v>
                </c:pt>
                <c:pt idx="602">
                  <c:v>#N/A</c:v>
                </c:pt>
                <c:pt idx="603">
                  <c:v>117520</c:v>
                </c:pt>
                <c:pt idx="604">
                  <c:v>128667</c:v>
                </c:pt>
                <c:pt idx="605">
                  <c:v>109221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117157</c:v>
                </c:pt>
                <c:pt idx="614">
                  <c:v>102834</c:v>
                </c:pt>
                <c:pt idx="615">
                  <c:v>#N/A</c:v>
                </c:pt>
                <c:pt idx="616">
                  <c:v>#N/A</c:v>
                </c:pt>
                <c:pt idx="617">
                  <c:v>122987</c:v>
                </c:pt>
                <c:pt idx="618">
                  <c:v>#N/A</c:v>
                </c:pt>
                <c:pt idx="619">
                  <c:v>138064</c:v>
                </c:pt>
                <c:pt idx="620">
                  <c:v>#N/A</c:v>
                </c:pt>
                <c:pt idx="621">
                  <c:v>146312</c:v>
                </c:pt>
                <c:pt idx="622">
                  <c:v>123680</c:v>
                </c:pt>
                <c:pt idx="623">
                  <c:v>#N/A</c:v>
                </c:pt>
                <c:pt idx="624">
                  <c:v>109506</c:v>
                </c:pt>
                <c:pt idx="625">
                  <c:v>#N/A</c:v>
                </c:pt>
                <c:pt idx="626">
                  <c:v>#N/A</c:v>
                </c:pt>
                <c:pt idx="627">
                  <c:v>127086</c:v>
                </c:pt>
                <c:pt idx="628">
                  <c:v>133538</c:v>
                </c:pt>
                <c:pt idx="629">
                  <c:v>#N/A</c:v>
                </c:pt>
                <c:pt idx="630">
                  <c:v>109583</c:v>
                </c:pt>
                <c:pt idx="631">
                  <c:v>#N/A</c:v>
                </c:pt>
                <c:pt idx="632">
                  <c:v>#N/A</c:v>
                </c:pt>
                <c:pt idx="633">
                  <c:v>115366</c:v>
                </c:pt>
                <c:pt idx="634">
                  <c:v>#N/A</c:v>
                </c:pt>
                <c:pt idx="635">
                  <c:v>135713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142251</c:v>
                </c:pt>
                <c:pt idx="645">
                  <c:v>138199</c:v>
                </c:pt>
                <c:pt idx="646">
                  <c:v>126571</c:v>
                </c:pt>
                <c:pt idx="647">
                  <c:v>120083</c:v>
                </c:pt>
                <c:pt idx="648">
                  <c:v>#N/A</c:v>
                </c:pt>
                <c:pt idx="649">
                  <c:v>142641</c:v>
                </c:pt>
                <c:pt idx="650">
                  <c:v>137280</c:v>
                </c:pt>
                <c:pt idx="651">
                  <c:v>100338</c:v>
                </c:pt>
                <c:pt idx="652">
                  <c:v>108533</c:v>
                </c:pt>
                <c:pt idx="653">
                  <c:v>134923</c:v>
                </c:pt>
                <c:pt idx="654">
                  <c:v>106635</c:v>
                </c:pt>
                <c:pt idx="655">
                  <c:v>#N/A</c:v>
                </c:pt>
                <c:pt idx="656">
                  <c:v>147903</c:v>
                </c:pt>
                <c:pt idx="657">
                  <c:v>#N/A</c:v>
                </c:pt>
                <c:pt idx="658">
                  <c:v>#N/A</c:v>
                </c:pt>
                <c:pt idx="659">
                  <c:v>143678</c:v>
                </c:pt>
                <c:pt idx="660">
                  <c:v>122371</c:v>
                </c:pt>
                <c:pt idx="661">
                  <c:v>#N/A</c:v>
                </c:pt>
                <c:pt idx="662">
                  <c:v>#N/A</c:v>
                </c:pt>
                <c:pt idx="663">
                  <c:v>115974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129367</c:v>
                </c:pt>
                <c:pt idx="671">
                  <c:v>108344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149723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134487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102944</c:v>
                </c:pt>
                <c:pt idx="689">
                  <c:v>131101</c:v>
                </c:pt>
                <c:pt idx="690">
                  <c:v>#N/A</c:v>
                </c:pt>
                <c:pt idx="691">
                  <c:v>116124</c:v>
                </c:pt>
                <c:pt idx="692">
                  <c:v>#N/A</c:v>
                </c:pt>
                <c:pt idx="693">
                  <c:v>104517</c:v>
                </c:pt>
                <c:pt idx="694">
                  <c:v>#N/A</c:v>
                </c:pt>
                <c:pt idx="695">
                  <c:v>103766</c:v>
                </c:pt>
                <c:pt idx="696">
                  <c:v>111754</c:v>
                </c:pt>
                <c:pt idx="697">
                  <c:v>#N/A</c:v>
                </c:pt>
                <c:pt idx="698">
                  <c:v>104337</c:v>
                </c:pt>
                <c:pt idx="699">
                  <c:v>#N/A</c:v>
                </c:pt>
                <c:pt idx="700">
                  <c:v>124416</c:v>
                </c:pt>
                <c:pt idx="701">
                  <c:v>#N/A</c:v>
                </c:pt>
                <c:pt idx="702">
                  <c:v>108356</c:v>
                </c:pt>
                <c:pt idx="703">
                  <c:v>114972</c:v>
                </c:pt>
                <c:pt idx="704">
                  <c:v>136141</c:v>
                </c:pt>
                <c:pt idx="705">
                  <c:v>130474</c:v>
                </c:pt>
                <c:pt idx="706">
                  <c:v>110174</c:v>
                </c:pt>
                <c:pt idx="707">
                  <c:v>119075</c:v>
                </c:pt>
                <c:pt idx="708">
                  <c:v>#N/A</c:v>
                </c:pt>
                <c:pt idx="709">
                  <c:v>#N/A</c:v>
                </c:pt>
                <c:pt idx="710">
                  <c:v>105731</c:v>
                </c:pt>
                <c:pt idx="711">
                  <c:v>#N/A</c:v>
                </c:pt>
                <c:pt idx="712">
                  <c:v>104435</c:v>
                </c:pt>
                <c:pt idx="713">
                  <c:v>104781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145746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108833</c:v>
                </c:pt>
                <c:pt idx="729">
                  <c:v>129687</c:v>
                </c:pt>
                <c:pt idx="730">
                  <c:v>#N/A</c:v>
                </c:pt>
                <c:pt idx="731">
                  <c:v>123481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128481</c:v>
                </c:pt>
                <c:pt idx="739">
                  <c:v>#N/A</c:v>
                </c:pt>
                <c:pt idx="740">
                  <c:v>127950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135440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125479</c:v>
                </c:pt>
                <c:pt idx="752">
                  <c:v>#N/A</c:v>
                </c:pt>
                <c:pt idx="753">
                  <c:v>146519</c:v>
                </c:pt>
                <c:pt idx="754">
                  <c:v>112452</c:v>
                </c:pt>
                <c:pt idx="755">
                  <c:v>148542</c:v>
                </c:pt>
                <c:pt idx="756">
                  <c:v>115569</c:v>
                </c:pt>
                <c:pt idx="757">
                  <c:v>112072</c:v>
                </c:pt>
                <c:pt idx="758">
                  <c:v>#N/A</c:v>
                </c:pt>
                <c:pt idx="759">
                  <c:v>#N/A</c:v>
                </c:pt>
                <c:pt idx="760">
                  <c:v>102050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124599</c:v>
                </c:pt>
                <c:pt idx="767">
                  <c:v>121975</c:v>
                </c:pt>
                <c:pt idx="768">
                  <c:v>#N/A</c:v>
                </c:pt>
                <c:pt idx="769">
                  <c:v>106147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117737</c:v>
                </c:pt>
                <c:pt idx="775">
                  <c:v>#N/A</c:v>
                </c:pt>
                <c:pt idx="776">
                  <c:v>111261</c:v>
                </c:pt>
                <c:pt idx="777">
                  <c:v>#N/A</c:v>
                </c:pt>
                <c:pt idx="778">
                  <c:v>#N/A</c:v>
                </c:pt>
                <c:pt idx="779">
                  <c:v>110280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143338</c:v>
                </c:pt>
                <c:pt idx="784">
                  <c:v>#N/A</c:v>
                </c:pt>
                <c:pt idx="785">
                  <c:v>149744</c:v>
                </c:pt>
                <c:pt idx="786">
                  <c:v>137854</c:v>
                </c:pt>
                <c:pt idx="787">
                  <c:v>108766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146159</c:v>
                </c:pt>
                <c:pt idx="792">
                  <c:v>142450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123947</c:v>
                </c:pt>
                <c:pt idx="798">
                  <c:v>#N/A</c:v>
                </c:pt>
                <c:pt idx="799">
                  <c:v>115734</c:v>
                </c:pt>
                <c:pt idx="800">
                  <c:v>#N/A</c:v>
                </c:pt>
                <c:pt idx="801">
                  <c:v>#N/A</c:v>
                </c:pt>
                <c:pt idx="802">
                  <c:v>106629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133264</c:v>
                </c:pt>
                <c:pt idx="807">
                  <c:v>122557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140621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127346</c:v>
                </c:pt>
                <c:pt idx="824">
                  <c:v>#N/A</c:v>
                </c:pt>
                <c:pt idx="825">
                  <c:v>147187</c:v>
                </c:pt>
                <c:pt idx="826">
                  <c:v>#N/A</c:v>
                </c:pt>
                <c:pt idx="827">
                  <c:v>#N/A</c:v>
                </c:pt>
                <c:pt idx="828">
                  <c:v>130300</c:v>
                </c:pt>
                <c:pt idx="829">
                  <c:v>147024</c:v>
                </c:pt>
                <c:pt idx="830">
                  <c:v>#N/A</c:v>
                </c:pt>
                <c:pt idx="831">
                  <c:v>147572</c:v>
                </c:pt>
                <c:pt idx="832">
                  <c:v>125501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114587</c:v>
                </c:pt>
                <c:pt idx="841">
                  <c:v>148694</c:v>
                </c:pt>
                <c:pt idx="842">
                  <c:v>#N/A</c:v>
                </c:pt>
                <c:pt idx="843">
                  <c:v>130938</c:v>
                </c:pt>
                <c:pt idx="844">
                  <c:v>#N/A</c:v>
                </c:pt>
                <c:pt idx="845">
                  <c:v>#N/A</c:v>
                </c:pt>
                <c:pt idx="846">
                  <c:v>105658</c:v>
                </c:pt>
                <c:pt idx="847">
                  <c:v>100053</c:v>
                </c:pt>
                <c:pt idx="848">
                  <c:v>#N/A</c:v>
                </c:pt>
                <c:pt idx="849">
                  <c:v>100832</c:v>
                </c:pt>
                <c:pt idx="850">
                  <c:v>#N/A</c:v>
                </c:pt>
                <c:pt idx="851">
                  <c:v>#N/A</c:v>
                </c:pt>
                <c:pt idx="852">
                  <c:v>137836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103063</c:v>
                </c:pt>
                <c:pt idx="857">
                  <c:v>#N/A</c:v>
                </c:pt>
                <c:pt idx="858">
                  <c:v>149256</c:v>
                </c:pt>
                <c:pt idx="859">
                  <c:v>#N/A</c:v>
                </c:pt>
                <c:pt idx="860">
                  <c:v>144275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122669</c:v>
                </c:pt>
                <c:pt idx="865">
                  <c:v>114408</c:v>
                </c:pt>
                <c:pt idx="866">
                  <c:v>113174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136320</c:v>
                </c:pt>
                <c:pt idx="871">
                  <c:v>119083</c:v>
                </c:pt>
                <c:pt idx="872">
                  <c:v>#N/A</c:v>
                </c:pt>
                <c:pt idx="873">
                  <c:v>111050</c:v>
                </c:pt>
                <c:pt idx="874">
                  <c:v>#N/A</c:v>
                </c:pt>
                <c:pt idx="875">
                  <c:v>#N/A</c:v>
                </c:pt>
                <c:pt idx="876">
                  <c:v>121358</c:v>
                </c:pt>
                <c:pt idx="877">
                  <c:v>#N/A</c:v>
                </c:pt>
                <c:pt idx="878">
                  <c:v>#N/A</c:v>
                </c:pt>
                <c:pt idx="879">
                  <c:v>140081</c:v>
                </c:pt>
                <c:pt idx="880">
                  <c:v>117203</c:v>
                </c:pt>
                <c:pt idx="881">
                  <c:v>#N/A</c:v>
                </c:pt>
                <c:pt idx="882">
                  <c:v>113695</c:v>
                </c:pt>
                <c:pt idx="883">
                  <c:v>#N/A</c:v>
                </c:pt>
                <c:pt idx="884">
                  <c:v>126573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112198</c:v>
                </c:pt>
                <c:pt idx="893">
                  <c:v>139387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142407</c:v>
                </c:pt>
                <c:pt idx="899">
                  <c:v>#N/A</c:v>
                </c:pt>
                <c:pt idx="900">
                  <c:v>131607</c:v>
                </c:pt>
                <c:pt idx="901">
                  <c:v>100290</c:v>
                </c:pt>
                <c:pt idx="902">
                  <c:v>120561</c:v>
                </c:pt>
                <c:pt idx="903">
                  <c:v>#N/A</c:v>
                </c:pt>
                <c:pt idx="904">
                  <c:v>#N/A</c:v>
                </c:pt>
                <c:pt idx="905">
                  <c:v>117782</c:v>
                </c:pt>
                <c:pt idx="906">
                  <c:v>#N/A</c:v>
                </c:pt>
                <c:pt idx="907">
                  <c:v>#N/A</c:v>
                </c:pt>
                <c:pt idx="908">
                  <c:v>113240</c:v>
                </c:pt>
                <c:pt idx="909">
                  <c:v>#N/A</c:v>
                </c:pt>
                <c:pt idx="910">
                  <c:v>#N/A</c:v>
                </c:pt>
                <c:pt idx="911">
                  <c:v>121498</c:v>
                </c:pt>
                <c:pt idx="912">
                  <c:v>#N/A</c:v>
                </c:pt>
                <c:pt idx="913">
                  <c:v>146546</c:v>
                </c:pt>
                <c:pt idx="914">
                  <c:v>#N/A</c:v>
                </c:pt>
                <c:pt idx="915">
                  <c:v>#N/A</c:v>
                </c:pt>
                <c:pt idx="916">
                  <c:v>134743</c:v>
                </c:pt>
                <c:pt idx="917">
                  <c:v>#N/A</c:v>
                </c:pt>
                <c:pt idx="918">
                  <c:v>118116</c:v>
                </c:pt>
                <c:pt idx="919">
                  <c:v>104033</c:v>
                </c:pt>
                <c:pt idx="920">
                  <c:v>#N/A</c:v>
                </c:pt>
                <c:pt idx="921">
                  <c:v>121652</c:v>
                </c:pt>
                <c:pt idx="922">
                  <c:v>#N/A</c:v>
                </c:pt>
                <c:pt idx="923">
                  <c:v>#N/A</c:v>
                </c:pt>
                <c:pt idx="924">
                  <c:v>111697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104036</c:v>
                </c:pt>
                <c:pt idx="931">
                  <c:v>101759</c:v>
                </c:pt>
                <c:pt idx="932">
                  <c:v>127542</c:v>
                </c:pt>
                <c:pt idx="933">
                  <c:v>#N/A</c:v>
                </c:pt>
                <c:pt idx="934">
                  <c:v>147962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133291</c:v>
                </c:pt>
                <c:pt idx="940">
                  <c:v>118402</c:v>
                </c:pt>
                <c:pt idx="941">
                  <c:v>130546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105647</c:v>
                </c:pt>
                <c:pt idx="946">
                  <c:v>138529</c:v>
                </c:pt>
                <c:pt idx="947">
                  <c:v>#N/A</c:v>
                </c:pt>
                <c:pt idx="948">
                  <c:v>#N/A</c:v>
                </c:pt>
                <c:pt idx="949">
                  <c:v>113254</c:v>
                </c:pt>
                <c:pt idx="950">
                  <c:v>120616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117704</c:v>
                </c:pt>
                <c:pt idx="955">
                  <c:v>144577</c:v>
                </c:pt>
                <c:pt idx="956">
                  <c:v>#N/A</c:v>
                </c:pt>
                <c:pt idx="957">
                  <c:v>126893</c:v>
                </c:pt>
                <c:pt idx="958">
                  <c:v>123168</c:v>
                </c:pt>
                <c:pt idx="959">
                  <c:v>#N/A</c:v>
                </c:pt>
                <c:pt idx="960">
                  <c:v>148501</c:v>
                </c:pt>
                <c:pt idx="961">
                  <c:v>#N/A</c:v>
                </c:pt>
                <c:pt idx="962">
                  <c:v>116106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135394</c:v>
                </c:pt>
                <c:pt idx="970">
                  <c:v>#N/A</c:v>
                </c:pt>
                <c:pt idx="971">
                  <c:v>#N/A</c:v>
                </c:pt>
                <c:pt idx="972">
                  <c:v>112770</c:v>
                </c:pt>
                <c:pt idx="973">
                  <c:v>141586</c:v>
                </c:pt>
                <c:pt idx="974">
                  <c:v>114281</c:v>
                </c:pt>
                <c:pt idx="975">
                  <c:v>#N/A</c:v>
                </c:pt>
                <c:pt idx="976">
                  <c:v>102972</c:v>
                </c:pt>
                <c:pt idx="977">
                  <c:v>128439</c:v>
                </c:pt>
                <c:pt idx="978">
                  <c:v>118123</c:v>
                </c:pt>
                <c:pt idx="979">
                  <c:v>#N/A</c:v>
                </c:pt>
                <c:pt idx="980">
                  <c:v>119226</c:v>
                </c:pt>
                <c:pt idx="981">
                  <c:v>108563</c:v>
                </c:pt>
                <c:pt idx="982">
                  <c:v>130875</c:v>
                </c:pt>
                <c:pt idx="983">
                  <c:v>116123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126398</c:v>
                </c:pt>
                <c:pt idx="992">
                  <c:v>127546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135047</c:v>
                </c:pt>
              </c:numCache>
            </c:numRef>
          </c:xVal>
          <c:yVal>
            <c:numRef>
              <c:f>'Income_vs_spending score'!$P$2:$P$1001</c:f>
              <c:numCache>
                <c:formatCode>General</c:formatCode>
                <c:ptCount val="1000"/>
                <c:pt idx="0">
                  <c:v>17</c:v>
                </c:pt>
                <c:pt idx="1">
                  <c:v>#N/A</c:v>
                </c:pt>
                <c:pt idx="2">
                  <c:v>#N/A</c:v>
                </c:pt>
                <c:pt idx="3">
                  <c:v>14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69</c:v>
                </c:pt>
                <c:pt idx="8">
                  <c:v>#N/A</c:v>
                </c:pt>
                <c:pt idx="9">
                  <c:v>#N/A</c:v>
                </c:pt>
                <c:pt idx="10">
                  <c:v>89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13</c:v>
                </c:pt>
                <c:pt idx="15">
                  <c:v>30</c:v>
                </c:pt>
                <c:pt idx="16">
                  <c:v>5</c:v>
                </c:pt>
                <c:pt idx="17">
                  <c:v>53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69</c:v>
                </c:pt>
                <c:pt idx="22">
                  <c:v>15</c:v>
                </c:pt>
                <c:pt idx="23">
                  <c:v>#N/A</c:v>
                </c:pt>
                <c:pt idx="24">
                  <c:v>42</c:v>
                </c:pt>
                <c:pt idx="25">
                  <c:v>32</c:v>
                </c:pt>
                <c:pt idx="26">
                  <c:v>100</c:v>
                </c:pt>
                <c:pt idx="27">
                  <c:v>1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31</c:v>
                </c:pt>
                <c:pt idx="33">
                  <c:v>100</c:v>
                </c:pt>
                <c:pt idx="34">
                  <c:v>#N/A</c:v>
                </c:pt>
                <c:pt idx="35">
                  <c:v>38</c:v>
                </c:pt>
                <c:pt idx="36">
                  <c:v>#N/A</c:v>
                </c:pt>
                <c:pt idx="37">
                  <c:v>17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57</c:v>
                </c:pt>
                <c:pt idx="42">
                  <c:v>#N/A</c:v>
                </c:pt>
                <c:pt idx="43">
                  <c:v>#N/A</c:v>
                </c:pt>
                <c:pt idx="44">
                  <c:v>88</c:v>
                </c:pt>
                <c:pt idx="45">
                  <c:v>#N/A</c:v>
                </c:pt>
                <c:pt idx="46">
                  <c:v>#N/A</c:v>
                </c:pt>
                <c:pt idx="47">
                  <c:v>35</c:v>
                </c:pt>
                <c:pt idx="48">
                  <c:v>26</c:v>
                </c:pt>
                <c:pt idx="49">
                  <c:v>#N/A</c:v>
                </c:pt>
                <c:pt idx="50">
                  <c:v>#N/A</c:v>
                </c:pt>
                <c:pt idx="51">
                  <c:v>64</c:v>
                </c:pt>
                <c:pt idx="52">
                  <c:v>#N/A</c:v>
                </c:pt>
                <c:pt idx="53">
                  <c:v>37</c:v>
                </c:pt>
                <c:pt idx="54">
                  <c:v>99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1</c:v>
                </c:pt>
                <c:pt idx="60">
                  <c:v>12</c:v>
                </c:pt>
                <c:pt idx="61">
                  <c:v>#N/A</c:v>
                </c:pt>
                <c:pt idx="62">
                  <c:v>10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32</c:v>
                </c:pt>
                <c:pt idx="67">
                  <c:v>33</c:v>
                </c:pt>
                <c:pt idx="68">
                  <c:v>17</c:v>
                </c:pt>
                <c:pt idx="69">
                  <c:v>62</c:v>
                </c:pt>
                <c:pt idx="70">
                  <c:v>3</c:v>
                </c:pt>
                <c:pt idx="71">
                  <c:v>73</c:v>
                </c:pt>
                <c:pt idx="72">
                  <c:v>#N/A</c:v>
                </c:pt>
                <c:pt idx="73">
                  <c:v>17</c:v>
                </c:pt>
                <c:pt idx="74">
                  <c:v>#N/A</c:v>
                </c:pt>
                <c:pt idx="75">
                  <c:v>32</c:v>
                </c:pt>
                <c:pt idx="76">
                  <c:v>#N/A</c:v>
                </c:pt>
                <c:pt idx="77">
                  <c:v>30</c:v>
                </c:pt>
                <c:pt idx="78">
                  <c:v>#N/A</c:v>
                </c:pt>
                <c:pt idx="79">
                  <c:v>78</c:v>
                </c:pt>
                <c:pt idx="80">
                  <c:v>40</c:v>
                </c:pt>
                <c:pt idx="81">
                  <c:v>#N/A</c:v>
                </c:pt>
                <c:pt idx="82">
                  <c:v>88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44</c:v>
                </c:pt>
                <c:pt idx="87">
                  <c:v>#N/A</c:v>
                </c:pt>
                <c:pt idx="88">
                  <c:v>#N/A</c:v>
                </c:pt>
                <c:pt idx="89">
                  <c:v>36</c:v>
                </c:pt>
                <c:pt idx="90">
                  <c:v>32</c:v>
                </c:pt>
                <c:pt idx="91">
                  <c:v>62</c:v>
                </c:pt>
                <c:pt idx="92">
                  <c:v>80</c:v>
                </c:pt>
                <c:pt idx="93">
                  <c:v>78</c:v>
                </c:pt>
                <c:pt idx="94">
                  <c:v>#N/A</c:v>
                </c:pt>
                <c:pt idx="95">
                  <c:v>90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27</c:v>
                </c:pt>
                <c:pt idx="101">
                  <c:v>#N/A</c:v>
                </c:pt>
                <c:pt idx="102">
                  <c:v>#N/A</c:v>
                </c:pt>
                <c:pt idx="103">
                  <c:v>45</c:v>
                </c:pt>
                <c:pt idx="104">
                  <c:v>18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95</c:v>
                </c:pt>
                <c:pt idx="119">
                  <c:v>#N/A</c:v>
                </c:pt>
                <c:pt idx="120">
                  <c:v>50</c:v>
                </c:pt>
                <c:pt idx="121">
                  <c:v>21</c:v>
                </c:pt>
                <c:pt idx="122">
                  <c:v>64</c:v>
                </c:pt>
                <c:pt idx="123">
                  <c:v>98</c:v>
                </c:pt>
                <c:pt idx="124">
                  <c:v>40</c:v>
                </c:pt>
                <c:pt idx="125">
                  <c:v>78</c:v>
                </c:pt>
                <c:pt idx="126">
                  <c:v>#N/A</c:v>
                </c:pt>
                <c:pt idx="127">
                  <c:v>27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27</c:v>
                </c:pt>
                <c:pt idx="133">
                  <c:v>#N/A</c:v>
                </c:pt>
                <c:pt idx="134">
                  <c:v>#N/A</c:v>
                </c:pt>
                <c:pt idx="135">
                  <c:v>32</c:v>
                </c:pt>
                <c:pt idx="136">
                  <c:v>58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32</c:v>
                </c:pt>
                <c:pt idx="146">
                  <c:v>100</c:v>
                </c:pt>
                <c:pt idx="147">
                  <c:v>#N/A</c:v>
                </c:pt>
                <c:pt idx="148">
                  <c:v>72</c:v>
                </c:pt>
                <c:pt idx="149">
                  <c:v>#N/A</c:v>
                </c:pt>
                <c:pt idx="150">
                  <c:v>84</c:v>
                </c:pt>
                <c:pt idx="151">
                  <c:v>20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33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25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19</c:v>
                </c:pt>
                <c:pt idx="169">
                  <c:v>#N/A</c:v>
                </c:pt>
                <c:pt idx="170">
                  <c:v>#N/A</c:v>
                </c:pt>
                <c:pt idx="171">
                  <c:v>40</c:v>
                </c:pt>
                <c:pt idx="172">
                  <c:v>#N/A</c:v>
                </c:pt>
                <c:pt idx="173">
                  <c:v>#N/A</c:v>
                </c:pt>
                <c:pt idx="174">
                  <c:v>45</c:v>
                </c:pt>
                <c:pt idx="175">
                  <c:v>38</c:v>
                </c:pt>
                <c:pt idx="176">
                  <c:v>#N/A</c:v>
                </c:pt>
                <c:pt idx="177">
                  <c:v>4</c:v>
                </c:pt>
                <c:pt idx="178">
                  <c:v>#N/A</c:v>
                </c:pt>
                <c:pt idx="179">
                  <c:v>#N/A</c:v>
                </c:pt>
                <c:pt idx="180">
                  <c:v>19</c:v>
                </c:pt>
                <c:pt idx="181">
                  <c:v>17</c:v>
                </c:pt>
                <c:pt idx="182">
                  <c:v>#N/A</c:v>
                </c:pt>
                <c:pt idx="183">
                  <c:v>24</c:v>
                </c:pt>
                <c:pt idx="184">
                  <c:v>45</c:v>
                </c:pt>
                <c:pt idx="185">
                  <c:v>48</c:v>
                </c:pt>
                <c:pt idx="186">
                  <c:v>79</c:v>
                </c:pt>
                <c:pt idx="187">
                  <c:v>91</c:v>
                </c:pt>
                <c:pt idx="188">
                  <c:v>7</c:v>
                </c:pt>
                <c:pt idx="189">
                  <c:v>49</c:v>
                </c:pt>
                <c:pt idx="190">
                  <c:v>#N/A</c:v>
                </c:pt>
                <c:pt idx="191">
                  <c:v>39</c:v>
                </c:pt>
                <c:pt idx="192">
                  <c:v>63</c:v>
                </c:pt>
                <c:pt idx="193">
                  <c:v>#N/A</c:v>
                </c:pt>
                <c:pt idx="194">
                  <c:v>44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4</c:v>
                </c:pt>
                <c:pt idx="201">
                  <c:v>76</c:v>
                </c:pt>
                <c:pt idx="202">
                  <c:v>83</c:v>
                </c:pt>
                <c:pt idx="203">
                  <c:v>96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54</c:v>
                </c:pt>
                <c:pt idx="208">
                  <c:v>#N/A</c:v>
                </c:pt>
                <c:pt idx="209">
                  <c:v>81</c:v>
                </c:pt>
                <c:pt idx="210">
                  <c:v>#N/A</c:v>
                </c:pt>
                <c:pt idx="211">
                  <c:v>42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34</c:v>
                </c:pt>
                <c:pt idx="223">
                  <c:v>77</c:v>
                </c:pt>
                <c:pt idx="224">
                  <c:v>73</c:v>
                </c:pt>
                <c:pt idx="225">
                  <c:v>#N/A</c:v>
                </c:pt>
                <c:pt idx="226">
                  <c:v>43</c:v>
                </c:pt>
                <c:pt idx="227">
                  <c:v>#N/A</c:v>
                </c:pt>
                <c:pt idx="228">
                  <c:v>#N/A</c:v>
                </c:pt>
                <c:pt idx="229">
                  <c:v>40</c:v>
                </c:pt>
                <c:pt idx="230">
                  <c:v>94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75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76</c:v>
                </c:pt>
                <c:pt idx="244">
                  <c:v>28</c:v>
                </c:pt>
                <c:pt idx="245">
                  <c:v>41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55</c:v>
                </c:pt>
                <c:pt idx="250">
                  <c:v>#N/A</c:v>
                </c:pt>
                <c:pt idx="251">
                  <c:v>#N/A</c:v>
                </c:pt>
                <c:pt idx="252">
                  <c:v>83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57</c:v>
                </c:pt>
                <c:pt idx="257">
                  <c:v>#N/A</c:v>
                </c:pt>
                <c:pt idx="258">
                  <c:v>#N/A</c:v>
                </c:pt>
                <c:pt idx="259">
                  <c:v>46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23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46</c:v>
                </c:pt>
                <c:pt idx="271">
                  <c:v>10</c:v>
                </c:pt>
                <c:pt idx="272">
                  <c:v>#N/A</c:v>
                </c:pt>
                <c:pt idx="273">
                  <c:v>8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34</c:v>
                </c:pt>
                <c:pt idx="278">
                  <c:v>66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96</c:v>
                </c:pt>
                <c:pt idx="285">
                  <c:v>72</c:v>
                </c:pt>
                <c:pt idx="286">
                  <c:v>#N/A</c:v>
                </c:pt>
                <c:pt idx="287">
                  <c:v>43</c:v>
                </c:pt>
                <c:pt idx="288">
                  <c:v>41</c:v>
                </c:pt>
                <c:pt idx="289">
                  <c:v>47</c:v>
                </c:pt>
                <c:pt idx="290">
                  <c:v>70</c:v>
                </c:pt>
                <c:pt idx="291">
                  <c:v>#N/A</c:v>
                </c:pt>
                <c:pt idx="292">
                  <c:v>2</c:v>
                </c:pt>
                <c:pt idx="293">
                  <c:v>23</c:v>
                </c:pt>
                <c:pt idx="294">
                  <c:v>#N/A</c:v>
                </c:pt>
                <c:pt idx="295">
                  <c:v>53</c:v>
                </c:pt>
                <c:pt idx="296">
                  <c:v>80</c:v>
                </c:pt>
                <c:pt idx="297">
                  <c:v>#N/A</c:v>
                </c:pt>
                <c:pt idx="298">
                  <c:v>34</c:v>
                </c:pt>
                <c:pt idx="299">
                  <c:v>71</c:v>
                </c:pt>
                <c:pt idx="300">
                  <c:v>78</c:v>
                </c:pt>
                <c:pt idx="301">
                  <c:v>17</c:v>
                </c:pt>
                <c:pt idx="302">
                  <c:v>29</c:v>
                </c:pt>
                <c:pt idx="303">
                  <c:v>70</c:v>
                </c:pt>
                <c:pt idx="304">
                  <c:v>43</c:v>
                </c:pt>
                <c:pt idx="305">
                  <c:v>46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29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77</c:v>
                </c:pt>
                <c:pt idx="314">
                  <c:v>#N/A</c:v>
                </c:pt>
                <c:pt idx="315">
                  <c:v>#N/A</c:v>
                </c:pt>
                <c:pt idx="316">
                  <c:v>66</c:v>
                </c:pt>
                <c:pt idx="317">
                  <c:v>69</c:v>
                </c:pt>
                <c:pt idx="318">
                  <c:v>#N/A</c:v>
                </c:pt>
                <c:pt idx="319">
                  <c:v>#N/A</c:v>
                </c:pt>
                <c:pt idx="320">
                  <c:v>27</c:v>
                </c:pt>
                <c:pt idx="321">
                  <c:v>66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73</c:v>
                </c:pt>
                <c:pt idx="327">
                  <c:v>64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56</c:v>
                </c:pt>
                <c:pt idx="332">
                  <c:v>23</c:v>
                </c:pt>
                <c:pt idx="333">
                  <c:v>79</c:v>
                </c:pt>
                <c:pt idx="334">
                  <c:v>#N/A</c:v>
                </c:pt>
                <c:pt idx="335">
                  <c:v>#N/A</c:v>
                </c:pt>
                <c:pt idx="336">
                  <c:v>78</c:v>
                </c:pt>
                <c:pt idx="337">
                  <c:v>#N/A</c:v>
                </c:pt>
                <c:pt idx="338">
                  <c:v>#N/A</c:v>
                </c:pt>
                <c:pt idx="339">
                  <c:v>76</c:v>
                </c:pt>
                <c:pt idx="340">
                  <c:v>74</c:v>
                </c:pt>
                <c:pt idx="341">
                  <c:v>#N/A</c:v>
                </c:pt>
                <c:pt idx="342">
                  <c:v>27</c:v>
                </c:pt>
                <c:pt idx="343">
                  <c:v>#N/A</c:v>
                </c:pt>
                <c:pt idx="344">
                  <c:v>98</c:v>
                </c:pt>
                <c:pt idx="345">
                  <c:v>64</c:v>
                </c:pt>
                <c:pt idx="346">
                  <c:v>56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51</c:v>
                </c:pt>
                <c:pt idx="351">
                  <c:v>43</c:v>
                </c:pt>
                <c:pt idx="352">
                  <c:v>#N/A</c:v>
                </c:pt>
                <c:pt idx="353">
                  <c:v>#N/A</c:v>
                </c:pt>
                <c:pt idx="354">
                  <c:v>79</c:v>
                </c:pt>
                <c:pt idx="355">
                  <c:v>#N/A</c:v>
                </c:pt>
                <c:pt idx="356">
                  <c:v>57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60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73</c:v>
                </c:pt>
                <c:pt idx="369">
                  <c:v>#N/A</c:v>
                </c:pt>
                <c:pt idx="370">
                  <c:v>#N/A</c:v>
                </c:pt>
                <c:pt idx="371">
                  <c:v>56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8</c:v>
                </c:pt>
                <c:pt idx="376">
                  <c:v>#N/A</c:v>
                </c:pt>
                <c:pt idx="377">
                  <c:v>#N/A</c:v>
                </c:pt>
                <c:pt idx="378">
                  <c:v>67</c:v>
                </c:pt>
                <c:pt idx="379">
                  <c:v>7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73</c:v>
                </c:pt>
                <c:pt idx="384">
                  <c:v>#N/A</c:v>
                </c:pt>
                <c:pt idx="385">
                  <c:v>#N/A</c:v>
                </c:pt>
                <c:pt idx="386">
                  <c:v>70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84</c:v>
                </c:pt>
                <c:pt idx="393">
                  <c:v>41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19</c:v>
                </c:pt>
                <c:pt idx="398">
                  <c:v>19</c:v>
                </c:pt>
                <c:pt idx="399">
                  <c:v>70</c:v>
                </c:pt>
                <c:pt idx="400">
                  <c:v>25</c:v>
                </c:pt>
                <c:pt idx="401">
                  <c:v>98</c:v>
                </c:pt>
                <c:pt idx="402">
                  <c:v>69</c:v>
                </c:pt>
                <c:pt idx="403">
                  <c:v>#N/A</c:v>
                </c:pt>
                <c:pt idx="404">
                  <c:v>#N/A</c:v>
                </c:pt>
                <c:pt idx="405">
                  <c:v>29</c:v>
                </c:pt>
                <c:pt idx="406">
                  <c:v>#N/A</c:v>
                </c:pt>
                <c:pt idx="407">
                  <c:v>68</c:v>
                </c:pt>
                <c:pt idx="408">
                  <c:v>88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38</c:v>
                </c:pt>
                <c:pt idx="414">
                  <c:v>39</c:v>
                </c:pt>
                <c:pt idx="415">
                  <c:v>81</c:v>
                </c:pt>
                <c:pt idx="416">
                  <c:v>#N/A</c:v>
                </c:pt>
                <c:pt idx="417">
                  <c:v>16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96</c:v>
                </c:pt>
                <c:pt idx="424">
                  <c:v>70</c:v>
                </c:pt>
                <c:pt idx="425">
                  <c:v>#N/A</c:v>
                </c:pt>
                <c:pt idx="426">
                  <c:v>16</c:v>
                </c:pt>
                <c:pt idx="427">
                  <c:v>100</c:v>
                </c:pt>
                <c:pt idx="428">
                  <c:v>#N/A</c:v>
                </c:pt>
                <c:pt idx="429">
                  <c:v>34</c:v>
                </c:pt>
                <c:pt idx="430">
                  <c:v>51</c:v>
                </c:pt>
                <c:pt idx="431">
                  <c:v>#N/A</c:v>
                </c:pt>
                <c:pt idx="432">
                  <c:v>84</c:v>
                </c:pt>
                <c:pt idx="433">
                  <c:v>#N/A</c:v>
                </c:pt>
                <c:pt idx="434">
                  <c:v>29</c:v>
                </c:pt>
                <c:pt idx="435">
                  <c:v>42</c:v>
                </c:pt>
                <c:pt idx="436">
                  <c:v>78</c:v>
                </c:pt>
                <c:pt idx="437">
                  <c:v>54</c:v>
                </c:pt>
                <c:pt idx="438">
                  <c:v>#N/A</c:v>
                </c:pt>
                <c:pt idx="439">
                  <c:v>11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74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65</c:v>
                </c:pt>
                <c:pt idx="448">
                  <c:v>#N/A</c:v>
                </c:pt>
                <c:pt idx="449">
                  <c:v>96</c:v>
                </c:pt>
                <c:pt idx="450">
                  <c:v>14</c:v>
                </c:pt>
                <c:pt idx="451">
                  <c:v>84</c:v>
                </c:pt>
                <c:pt idx="452">
                  <c:v>92</c:v>
                </c:pt>
                <c:pt idx="453">
                  <c:v>12</c:v>
                </c:pt>
                <c:pt idx="454">
                  <c:v>24</c:v>
                </c:pt>
                <c:pt idx="455">
                  <c:v>52</c:v>
                </c:pt>
                <c:pt idx="456">
                  <c:v>#N/A</c:v>
                </c:pt>
                <c:pt idx="457">
                  <c:v>67</c:v>
                </c:pt>
                <c:pt idx="458">
                  <c:v>9</c:v>
                </c:pt>
                <c:pt idx="459">
                  <c:v>#N/A</c:v>
                </c:pt>
                <c:pt idx="460">
                  <c:v>#N/A</c:v>
                </c:pt>
                <c:pt idx="461">
                  <c:v>37</c:v>
                </c:pt>
                <c:pt idx="462">
                  <c:v>92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10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38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98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39</c:v>
                </c:pt>
                <c:pt idx="490">
                  <c:v>#N/A</c:v>
                </c:pt>
                <c:pt idx="491">
                  <c:v>#N/A</c:v>
                </c:pt>
                <c:pt idx="492">
                  <c:v>10</c:v>
                </c:pt>
                <c:pt idx="493">
                  <c:v>#N/A</c:v>
                </c:pt>
                <c:pt idx="494">
                  <c:v>29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2</c:v>
                </c:pt>
                <c:pt idx="504">
                  <c:v>71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28</c:v>
                </c:pt>
                <c:pt idx="510">
                  <c:v>31</c:v>
                </c:pt>
                <c:pt idx="511">
                  <c:v>#N/A</c:v>
                </c:pt>
                <c:pt idx="512">
                  <c:v>75</c:v>
                </c:pt>
                <c:pt idx="513">
                  <c:v>67</c:v>
                </c:pt>
                <c:pt idx="514">
                  <c:v>3</c:v>
                </c:pt>
                <c:pt idx="515">
                  <c:v>#N/A</c:v>
                </c:pt>
                <c:pt idx="516">
                  <c:v>26</c:v>
                </c:pt>
                <c:pt idx="517">
                  <c:v>#N/A</c:v>
                </c:pt>
                <c:pt idx="518">
                  <c:v>6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19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8</c:v>
                </c:pt>
                <c:pt idx="529">
                  <c:v>2</c:v>
                </c:pt>
                <c:pt idx="530">
                  <c:v>#N/A</c:v>
                </c:pt>
                <c:pt idx="531">
                  <c:v>40</c:v>
                </c:pt>
                <c:pt idx="532">
                  <c:v>38</c:v>
                </c:pt>
                <c:pt idx="533">
                  <c:v>#N/A</c:v>
                </c:pt>
                <c:pt idx="534">
                  <c:v>92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45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75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96</c:v>
                </c:pt>
                <c:pt idx="556">
                  <c:v>#N/A</c:v>
                </c:pt>
                <c:pt idx="557">
                  <c:v>23</c:v>
                </c:pt>
                <c:pt idx="558">
                  <c:v>#N/A</c:v>
                </c:pt>
                <c:pt idx="559">
                  <c:v>14</c:v>
                </c:pt>
                <c:pt idx="560">
                  <c:v>#N/A</c:v>
                </c:pt>
                <c:pt idx="561">
                  <c:v>#N/A</c:v>
                </c:pt>
                <c:pt idx="562">
                  <c:v>66</c:v>
                </c:pt>
                <c:pt idx="563">
                  <c:v>#N/A</c:v>
                </c:pt>
                <c:pt idx="564">
                  <c:v>#N/A</c:v>
                </c:pt>
                <c:pt idx="565">
                  <c:v>75</c:v>
                </c:pt>
                <c:pt idx="566">
                  <c:v>99</c:v>
                </c:pt>
                <c:pt idx="567">
                  <c:v>#N/A</c:v>
                </c:pt>
                <c:pt idx="568">
                  <c:v>87</c:v>
                </c:pt>
                <c:pt idx="569">
                  <c:v>#N/A</c:v>
                </c:pt>
                <c:pt idx="570">
                  <c:v>64</c:v>
                </c:pt>
                <c:pt idx="571">
                  <c:v>71</c:v>
                </c:pt>
                <c:pt idx="572">
                  <c:v>74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26</c:v>
                </c:pt>
                <c:pt idx="579">
                  <c:v>63</c:v>
                </c:pt>
                <c:pt idx="580">
                  <c:v>28</c:v>
                </c:pt>
                <c:pt idx="581">
                  <c:v>#N/A</c:v>
                </c:pt>
                <c:pt idx="582">
                  <c:v>#N/A</c:v>
                </c:pt>
                <c:pt idx="583">
                  <c:v>28</c:v>
                </c:pt>
                <c:pt idx="584">
                  <c:v>#N/A</c:v>
                </c:pt>
                <c:pt idx="585">
                  <c:v>#N/A</c:v>
                </c:pt>
                <c:pt idx="586">
                  <c:v>38</c:v>
                </c:pt>
                <c:pt idx="587">
                  <c:v>#N/A</c:v>
                </c:pt>
                <c:pt idx="588">
                  <c:v>40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68</c:v>
                </c:pt>
                <c:pt idx="594">
                  <c:v>70</c:v>
                </c:pt>
                <c:pt idx="595">
                  <c:v>92</c:v>
                </c:pt>
                <c:pt idx="596">
                  <c:v>#N/A</c:v>
                </c:pt>
                <c:pt idx="597">
                  <c:v>#N/A</c:v>
                </c:pt>
                <c:pt idx="598">
                  <c:v>25</c:v>
                </c:pt>
                <c:pt idx="599">
                  <c:v>23</c:v>
                </c:pt>
                <c:pt idx="600">
                  <c:v>27</c:v>
                </c:pt>
                <c:pt idx="601">
                  <c:v>#N/A</c:v>
                </c:pt>
                <c:pt idx="602">
                  <c:v>#N/A</c:v>
                </c:pt>
                <c:pt idx="603">
                  <c:v>34</c:v>
                </c:pt>
                <c:pt idx="604">
                  <c:v>37</c:v>
                </c:pt>
                <c:pt idx="605">
                  <c:v>91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90</c:v>
                </c:pt>
                <c:pt idx="614">
                  <c:v>31</c:v>
                </c:pt>
                <c:pt idx="615">
                  <c:v>#N/A</c:v>
                </c:pt>
                <c:pt idx="616">
                  <c:v>#N/A</c:v>
                </c:pt>
                <c:pt idx="617">
                  <c:v>29</c:v>
                </c:pt>
                <c:pt idx="618">
                  <c:v>#N/A</c:v>
                </c:pt>
                <c:pt idx="619">
                  <c:v>86</c:v>
                </c:pt>
                <c:pt idx="620">
                  <c:v>#N/A</c:v>
                </c:pt>
                <c:pt idx="621">
                  <c:v>58</c:v>
                </c:pt>
                <c:pt idx="622">
                  <c:v>30</c:v>
                </c:pt>
                <c:pt idx="623">
                  <c:v>#N/A</c:v>
                </c:pt>
                <c:pt idx="624">
                  <c:v>48</c:v>
                </c:pt>
                <c:pt idx="625">
                  <c:v>#N/A</c:v>
                </c:pt>
                <c:pt idx="626">
                  <c:v>#N/A</c:v>
                </c:pt>
                <c:pt idx="627">
                  <c:v>93</c:v>
                </c:pt>
                <c:pt idx="628">
                  <c:v>27</c:v>
                </c:pt>
                <c:pt idx="629">
                  <c:v>#N/A</c:v>
                </c:pt>
                <c:pt idx="630">
                  <c:v>6</c:v>
                </c:pt>
                <c:pt idx="631">
                  <c:v>#N/A</c:v>
                </c:pt>
                <c:pt idx="632">
                  <c:v>#N/A</c:v>
                </c:pt>
                <c:pt idx="633">
                  <c:v>68</c:v>
                </c:pt>
                <c:pt idx="634">
                  <c:v>#N/A</c:v>
                </c:pt>
                <c:pt idx="635">
                  <c:v>79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90</c:v>
                </c:pt>
                <c:pt idx="645">
                  <c:v>79</c:v>
                </c:pt>
                <c:pt idx="646">
                  <c:v>82</c:v>
                </c:pt>
                <c:pt idx="647">
                  <c:v>47</c:v>
                </c:pt>
                <c:pt idx="648">
                  <c:v>#N/A</c:v>
                </c:pt>
                <c:pt idx="649">
                  <c:v>40</c:v>
                </c:pt>
                <c:pt idx="650">
                  <c:v>95</c:v>
                </c:pt>
                <c:pt idx="651">
                  <c:v>13</c:v>
                </c:pt>
                <c:pt idx="652">
                  <c:v>23</c:v>
                </c:pt>
                <c:pt idx="653">
                  <c:v>18</c:v>
                </c:pt>
                <c:pt idx="654">
                  <c:v>85</c:v>
                </c:pt>
                <c:pt idx="655">
                  <c:v>#N/A</c:v>
                </c:pt>
                <c:pt idx="656">
                  <c:v>79</c:v>
                </c:pt>
                <c:pt idx="657">
                  <c:v>#N/A</c:v>
                </c:pt>
                <c:pt idx="658">
                  <c:v>#N/A</c:v>
                </c:pt>
                <c:pt idx="659">
                  <c:v>50</c:v>
                </c:pt>
                <c:pt idx="660">
                  <c:v>11</c:v>
                </c:pt>
                <c:pt idx="661">
                  <c:v>#N/A</c:v>
                </c:pt>
                <c:pt idx="662">
                  <c:v>#N/A</c:v>
                </c:pt>
                <c:pt idx="663">
                  <c:v>95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4</c:v>
                </c:pt>
                <c:pt idx="671">
                  <c:v>87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70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7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63</c:v>
                </c:pt>
                <c:pt idx="689">
                  <c:v>68</c:v>
                </c:pt>
                <c:pt idx="690">
                  <c:v>#N/A</c:v>
                </c:pt>
                <c:pt idx="691">
                  <c:v>78</c:v>
                </c:pt>
                <c:pt idx="692">
                  <c:v>#N/A</c:v>
                </c:pt>
                <c:pt idx="693">
                  <c:v>91</c:v>
                </c:pt>
                <c:pt idx="694">
                  <c:v>#N/A</c:v>
                </c:pt>
                <c:pt idx="695">
                  <c:v>77</c:v>
                </c:pt>
                <c:pt idx="696">
                  <c:v>96</c:v>
                </c:pt>
                <c:pt idx="697">
                  <c:v>#N/A</c:v>
                </c:pt>
                <c:pt idx="698">
                  <c:v>91</c:v>
                </c:pt>
                <c:pt idx="699">
                  <c:v>#N/A</c:v>
                </c:pt>
                <c:pt idx="700">
                  <c:v>24</c:v>
                </c:pt>
                <c:pt idx="701">
                  <c:v>#N/A</c:v>
                </c:pt>
                <c:pt idx="702">
                  <c:v>84</c:v>
                </c:pt>
                <c:pt idx="703">
                  <c:v>42</c:v>
                </c:pt>
                <c:pt idx="704">
                  <c:v>58</c:v>
                </c:pt>
                <c:pt idx="705">
                  <c:v>74</c:v>
                </c:pt>
                <c:pt idx="706">
                  <c:v>87</c:v>
                </c:pt>
                <c:pt idx="707">
                  <c:v>40</c:v>
                </c:pt>
                <c:pt idx="708">
                  <c:v>#N/A</c:v>
                </c:pt>
                <c:pt idx="709">
                  <c:v>#N/A</c:v>
                </c:pt>
                <c:pt idx="710">
                  <c:v>9</c:v>
                </c:pt>
                <c:pt idx="711">
                  <c:v>#N/A</c:v>
                </c:pt>
                <c:pt idx="712">
                  <c:v>42</c:v>
                </c:pt>
                <c:pt idx="713">
                  <c:v>64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76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77</c:v>
                </c:pt>
                <c:pt idx="729">
                  <c:v>78</c:v>
                </c:pt>
                <c:pt idx="730">
                  <c:v>#N/A</c:v>
                </c:pt>
                <c:pt idx="731">
                  <c:v>26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86</c:v>
                </c:pt>
                <c:pt idx="739">
                  <c:v>#N/A</c:v>
                </c:pt>
                <c:pt idx="740">
                  <c:v>27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46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57</c:v>
                </c:pt>
                <c:pt idx="752">
                  <c:v>#N/A</c:v>
                </c:pt>
                <c:pt idx="753">
                  <c:v>96</c:v>
                </c:pt>
                <c:pt idx="754">
                  <c:v>21</c:v>
                </c:pt>
                <c:pt idx="755">
                  <c:v>60</c:v>
                </c:pt>
                <c:pt idx="756">
                  <c:v>1</c:v>
                </c:pt>
                <c:pt idx="757">
                  <c:v>50</c:v>
                </c:pt>
                <c:pt idx="758">
                  <c:v>#N/A</c:v>
                </c:pt>
                <c:pt idx="759">
                  <c:v>#N/A</c:v>
                </c:pt>
                <c:pt idx="760">
                  <c:v>57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41</c:v>
                </c:pt>
                <c:pt idx="767">
                  <c:v>33</c:v>
                </c:pt>
                <c:pt idx="768">
                  <c:v>#N/A</c:v>
                </c:pt>
                <c:pt idx="769">
                  <c:v>2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6</c:v>
                </c:pt>
                <c:pt idx="775">
                  <c:v>#N/A</c:v>
                </c:pt>
                <c:pt idx="776">
                  <c:v>56</c:v>
                </c:pt>
                <c:pt idx="777">
                  <c:v>#N/A</c:v>
                </c:pt>
                <c:pt idx="778">
                  <c:v>#N/A</c:v>
                </c:pt>
                <c:pt idx="779">
                  <c:v>85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6</c:v>
                </c:pt>
                <c:pt idx="784">
                  <c:v>#N/A</c:v>
                </c:pt>
                <c:pt idx="785">
                  <c:v>99</c:v>
                </c:pt>
                <c:pt idx="786">
                  <c:v>33</c:v>
                </c:pt>
                <c:pt idx="787">
                  <c:v>37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99</c:v>
                </c:pt>
                <c:pt idx="792">
                  <c:v>80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25</c:v>
                </c:pt>
                <c:pt idx="798">
                  <c:v>#N/A</c:v>
                </c:pt>
                <c:pt idx="799">
                  <c:v>87</c:v>
                </c:pt>
                <c:pt idx="800">
                  <c:v>#N/A</c:v>
                </c:pt>
                <c:pt idx="801">
                  <c:v>#N/A</c:v>
                </c:pt>
                <c:pt idx="802">
                  <c:v>4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93</c:v>
                </c:pt>
                <c:pt idx="807">
                  <c:v>87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21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75</c:v>
                </c:pt>
                <c:pt idx="824">
                  <c:v>#N/A</c:v>
                </c:pt>
                <c:pt idx="825">
                  <c:v>37</c:v>
                </c:pt>
                <c:pt idx="826">
                  <c:v>#N/A</c:v>
                </c:pt>
                <c:pt idx="827">
                  <c:v>#N/A</c:v>
                </c:pt>
                <c:pt idx="828">
                  <c:v>75</c:v>
                </c:pt>
                <c:pt idx="829">
                  <c:v>24</c:v>
                </c:pt>
                <c:pt idx="830">
                  <c:v>#N/A</c:v>
                </c:pt>
                <c:pt idx="831">
                  <c:v>44</c:v>
                </c:pt>
                <c:pt idx="832">
                  <c:v>74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14</c:v>
                </c:pt>
                <c:pt idx="841">
                  <c:v>44</c:v>
                </c:pt>
                <c:pt idx="842">
                  <c:v>#N/A</c:v>
                </c:pt>
                <c:pt idx="843">
                  <c:v>98</c:v>
                </c:pt>
                <c:pt idx="844">
                  <c:v>#N/A</c:v>
                </c:pt>
                <c:pt idx="845">
                  <c:v>#N/A</c:v>
                </c:pt>
                <c:pt idx="846">
                  <c:v>49</c:v>
                </c:pt>
                <c:pt idx="847">
                  <c:v>6</c:v>
                </c:pt>
                <c:pt idx="848">
                  <c:v>#N/A</c:v>
                </c:pt>
                <c:pt idx="849">
                  <c:v>90</c:v>
                </c:pt>
                <c:pt idx="850">
                  <c:v>#N/A</c:v>
                </c:pt>
                <c:pt idx="851">
                  <c:v>#N/A</c:v>
                </c:pt>
                <c:pt idx="852">
                  <c:v>19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16</c:v>
                </c:pt>
                <c:pt idx="857">
                  <c:v>#N/A</c:v>
                </c:pt>
                <c:pt idx="858">
                  <c:v>96</c:v>
                </c:pt>
                <c:pt idx="859">
                  <c:v>#N/A</c:v>
                </c:pt>
                <c:pt idx="860">
                  <c:v>69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15</c:v>
                </c:pt>
                <c:pt idx="865">
                  <c:v>38</c:v>
                </c:pt>
                <c:pt idx="866">
                  <c:v>36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52</c:v>
                </c:pt>
                <c:pt idx="871">
                  <c:v>18</c:v>
                </c:pt>
                <c:pt idx="872">
                  <c:v>#N/A</c:v>
                </c:pt>
                <c:pt idx="873">
                  <c:v>61</c:v>
                </c:pt>
                <c:pt idx="874">
                  <c:v>#N/A</c:v>
                </c:pt>
                <c:pt idx="875">
                  <c:v>#N/A</c:v>
                </c:pt>
                <c:pt idx="876">
                  <c:v>16</c:v>
                </c:pt>
                <c:pt idx="877">
                  <c:v>#N/A</c:v>
                </c:pt>
                <c:pt idx="878">
                  <c:v>#N/A</c:v>
                </c:pt>
                <c:pt idx="879">
                  <c:v>100</c:v>
                </c:pt>
                <c:pt idx="880">
                  <c:v>76</c:v>
                </c:pt>
                <c:pt idx="881">
                  <c:v>#N/A</c:v>
                </c:pt>
                <c:pt idx="882">
                  <c:v>63</c:v>
                </c:pt>
                <c:pt idx="883">
                  <c:v>#N/A</c:v>
                </c:pt>
                <c:pt idx="884">
                  <c:v>30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48</c:v>
                </c:pt>
                <c:pt idx="893">
                  <c:v>1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4</c:v>
                </c:pt>
                <c:pt idx="899">
                  <c:v>#N/A</c:v>
                </c:pt>
                <c:pt idx="900">
                  <c:v>25</c:v>
                </c:pt>
                <c:pt idx="901">
                  <c:v>85</c:v>
                </c:pt>
                <c:pt idx="902">
                  <c:v>66</c:v>
                </c:pt>
                <c:pt idx="903">
                  <c:v>#N/A</c:v>
                </c:pt>
                <c:pt idx="904">
                  <c:v>#N/A</c:v>
                </c:pt>
                <c:pt idx="905">
                  <c:v>18</c:v>
                </c:pt>
                <c:pt idx="906">
                  <c:v>#N/A</c:v>
                </c:pt>
                <c:pt idx="907">
                  <c:v>#N/A</c:v>
                </c:pt>
                <c:pt idx="908">
                  <c:v>47</c:v>
                </c:pt>
                <c:pt idx="909">
                  <c:v>#N/A</c:v>
                </c:pt>
                <c:pt idx="910">
                  <c:v>#N/A</c:v>
                </c:pt>
                <c:pt idx="911">
                  <c:v>29</c:v>
                </c:pt>
                <c:pt idx="912">
                  <c:v>#N/A</c:v>
                </c:pt>
                <c:pt idx="913">
                  <c:v>12</c:v>
                </c:pt>
                <c:pt idx="914">
                  <c:v>#N/A</c:v>
                </c:pt>
                <c:pt idx="915">
                  <c:v>#N/A</c:v>
                </c:pt>
                <c:pt idx="916">
                  <c:v>98</c:v>
                </c:pt>
                <c:pt idx="917">
                  <c:v>#N/A</c:v>
                </c:pt>
                <c:pt idx="918">
                  <c:v>100</c:v>
                </c:pt>
                <c:pt idx="919">
                  <c:v>6</c:v>
                </c:pt>
                <c:pt idx="920">
                  <c:v>#N/A</c:v>
                </c:pt>
                <c:pt idx="921">
                  <c:v>20</c:v>
                </c:pt>
                <c:pt idx="922">
                  <c:v>#N/A</c:v>
                </c:pt>
                <c:pt idx="923">
                  <c:v>#N/A</c:v>
                </c:pt>
                <c:pt idx="924">
                  <c:v>92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56</c:v>
                </c:pt>
                <c:pt idx="931">
                  <c:v>57</c:v>
                </c:pt>
                <c:pt idx="932">
                  <c:v>79</c:v>
                </c:pt>
                <c:pt idx="933">
                  <c:v>#N/A</c:v>
                </c:pt>
                <c:pt idx="934">
                  <c:v>90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52</c:v>
                </c:pt>
                <c:pt idx="940">
                  <c:v>74</c:v>
                </c:pt>
                <c:pt idx="941">
                  <c:v>71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94</c:v>
                </c:pt>
                <c:pt idx="946">
                  <c:v>87</c:v>
                </c:pt>
                <c:pt idx="947">
                  <c:v>#N/A</c:v>
                </c:pt>
                <c:pt idx="948">
                  <c:v>#N/A</c:v>
                </c:pt>
                <c:pt idx="949">
                  <c:v>38</c:v>
                </c:pt>
                <c:pt idx="950">
                  <c:v>71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37</c:v>
                </c:pt>
                <c:pt idx="955">
                  <c:v>75</c:v>
                </c:pt>
                <c:pt idx="956">
                  <c:v>#N/A</c:v>
                </c:pt>
                <c:pt idx="957">
                  <c:v>3</c:v>
                </c:pt>
                <c:pt idx="958">
                  <c:v>80</c:v>
                </c:pt>
                <c:pt idx="959">
                  <c:v>#N/A</c:v>
                </c:pt>
                <c:pt idx="960">
                  <c:v>41</c:v>
                </c:pt>
                <c:pt idx="961">
                  <c:v>#N/A</c:v>
                </c:pt>
                <c:pt idx="962">
                  <c:v>5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53</c:v>
                </c:pt>
                <c:pt idx="970">
                  <c:v>#N/A</c:v>
                </c:pt>
                <c:pt idx="971">
                  <c:v>#N/A</c:v>
                </c:pt>
                <c:pt idx="972">
                  <c:v>6</c:v>
                </c:pt>
                <c:pt idx="973">
                  <c:v>50</c:v>
                </c:pt>
                <c:pt idx="974">
                  <c:v>99</c:v>
                </c:pt>
                <c:pt idx="975">
                  <c:v>#N/A</c:v>
                </c:pt>
                <c:pt idx="976">
                  <c:v>68</c:v>
                </c:pt>
                <c:pt idx="977">
                  <c:v>42</c:v>
                </c:pt>
                <c:pt idx="978">
                  <c:v>40</c:v>
                </c:pt>
                <c:pt idx="979">
                  <c:v>#N/A</c:v>
                </c:pt>
                <c:pt idx="980">
                  <c:v>21</c:v>
                </c:pt>
                <c:pt idx="981">
                  <c:v>3</c:v>
                </c:pt>
                <c:pt idx="982">
                  <c:v>76</c:v>
                </c:pt>
                <c:pt idx="983">
                  <c:v>96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19</c:v>
                </c:pt>
                <c:pt idx="992">
                  <c:v>54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31-4A81-A2CF-CB5F54CF9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55344"/>
        <c:axId val="454552944"/>
      </c:scatterChart>
      <c:valAx>
        <c:axId val="454555344"/>
        <c:scaling>
          <c:orientation val="minMax"/>
          <c:min val="2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#,##0,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52944"/>
        <c:crosses val="autoZero"/>
        <c:crossBetween val="midCat"/>
      </c:valAx>
      <c:valAx>
        <c:axId val="454552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Spending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5534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EBD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Which Spending Score is Common Among Customers?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Spending_score_segments!$N$1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23E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Spending_score_segments!$L$2:$L$4</c:f>
              <c:strCache>
                <c:ptCount val="3"/>
                <c:pt idx="0">
                  <c:v>High(&gt;66)</c:v>
                </c:pt>
                <c:pt idx="1">
                  <c:v>Low(34&gt; &lt;66)</c:v>
                </c:pt>
                <c:pt idx="2">
                  <c:v>Medium(&lt;33)</c:v>
                </c:pt>
              </c:strCache>
            </c:strRef>
          </c:cat>
          <c:val>
            <c:numRef>
              <c:f>Spending_score_segments!$N$2:$N$4</c:f>
              <c:numCache>
                <c:formatCode>General</c:formatCode>
                <c:ptCount val="3"/>
                <c:pt idx="0">
                  <c:v>374</c:v>
                </c:pt>
                <c:pt idx="1">
                  <c:v>327</c:v>
                </c:pt>
                <c:pt idx="2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E-49B7-AF38-76BD4F386C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4548624"/>
        <c:axId val="454559664"/>
      </c:barChart>
      <c:catAx>
        <c:axId val="45454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59664"/>
        <c:crosses val="autoZero"/>
        <c:auto val="1"/>
        <c:lblAlgn val="ctr"/>
        <c:lblOffset val="100"/>
        <c:noMultiLvlLbl val="0"/>
      </c:catAx>
      <c:valAx>
        <c:axId val="4545596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5454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DEBD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Income VS Last</a:t>
            </a:r>
            <a:r>
              <a:rPr lang="en-US" baseline="0">
                <a:solidFill>
                  <a:schemeClr val="tx1"/>
                </a:solidFill>
              </a:rPr>
              <a:t> Purchase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9.1222236564691708E-2"/>
          <c:y val="0.10756698821007503"/>
          <c:w val="0.8762423303644421"/>
          <c:h val="0.76208657197593066"/>
        </c:manualLayout>
      </c:layout>
      <c:scatterChart>
        <c:scatterStyle val="lineMarker"/>
        <c:varyColors val="0"/>
        <c:ser>
          <c:idx val="0"/>
          <c:order val="0"/>
          <c:tx>
            <c:v>Income Vs Last Purchase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23E37">
                  <a:alpha val="70000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>
                    <a:lumMod val="95000"/>
                    <a:lumOff val="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'Income_vs_Last Purchase Amount'!$D$2:$D$1001</c:f>
              <c:numCache>
                <c:formatCode>_-[$$-409]* #,##0_ ;_-[$$-409]* \-#,##0\ ;_-[$$-409]* "-"??_ ;_-@_ </c:formatCode>
                <c:ptCount val="1000"/>
                <c:pt idx="0">
                  <c:v>112260</c:v>
                </c:pt>
                <c:pt idx="1">
                  <c:v>95491</c:v>
                </c:pt>
                <c:pt idx="2">
                  <c:v>49077</c:v>
                </c:pt>
                <c:pt idx="3">
                  <c:v>107057</c:v>
                </c:pt>
                <c:pt idx="4">
                  <c:v>70723</c:v>
                </c:pt>
                <c:pt idx="5">
                  <c:v>72179</c:v>
                </c:pt>
                <c:pt idx="6">
                  <c:v>42404</c:v>
                </c:pt>
                <c:pt idx="7">
                  <c:v>100270</c:v>
                </c:pt>
                <c:pt idx="8">
                  <c:v>47990</c:v>
                </c:pt>
                <c:pt idx="9">
                  <c:v>81753</c:v>
                </c:pt>
                <c:pt idx="10">
                  <c:v>125014</c:v>
                </c:pt>
                <c:pt idx="11">
                  <c:v>48693</c:v>
                </c:pt>
                <c:pt idx="12">
                  <c:v>51454</c:v>
                </c:pt>
                <c:pt idx="13">
                  <c:v>61695</c:v>
                </c:pt>
                <c:pt idx="14">
                  <c:v>140801</c:v>
                </c:pt>
                <c:pt idx="15">
                  <c:v>121325</c:v>
                </c:pt>
                <c:pt idx="16">
                  <c:v>108550</c:v>
                </c:pt>
                <c:pt idx="17">
                  <c:v>100258</c:v>
                </c:pt>
                <c:pt idx="18">
                  <c:v>84883</c:v>
                </c:pt>
                <c:pt idx="19">
                  <c:v>57651</c:v>
                </c:pt>
                <c:pt idx="20">
                  <c:v>91491</c:v>
                </c:pt>
                <c:pt idx="21">
                  <c:v>117922</c:v>
                </c:pt>
                <c:pt idx="22">
                  <c:v>119162</c:v>
                </c:pt>
                <c:pt idx="23">
                  <c:v>48445</c:v>
                </c:pt>
                <c:pt idx="24">
                  <c:v>136928</c:v>
                </c:pt>
                <c:pt idx="25">
                  <c:v>107934</c:v>
                </c:pt>
                <c:pt idx="26">
                  <c:v>123037</c:v>
                </c:pt>
                <c:pt idx="27">
                  <c:v>120914</c:v>
                </c:pt>
                <c:pt idx="28">
                  <c:v>59278</c:v>
                </c:pt>
                <c:pt idx="29">
                  <c:v>42889</c:v>
                </c:pt>
                <c:pt idx="30">
                  <c:v>60671</c:v>
                </c:pt>
                <c:pt idx="31">
                  <c:v>46524</c:v>
                </c:pt>
                <c:pt idx="32">
                  <c:v>143992</c:v>
                </c:pt>
                <c:pt idx="33">
                  <c:v>141605</c:v>
                </c:pt>
                <c:pt idx="34">
                  <c:v>39113</c:v>
                </c:pt>
                <c:pt idx="35">
                  <c:v>146165</c:v>
                </c:pt>
                <c:pt idx="36">
                  <c:v>95367</c:v>
                </c:pt>
                <c:pt idx="37">
                  <c:v>121639</c:v>
                </c:pt>
                <c:pt idx="38">
                  <c:v>82296</c:v>
                </c:pt>
                <c:pt idx="39">
                  <c:v>38240</c:v>
                </c:pt>
                <c:pt idx="40">
                  <c:v>73370</c:v>
                </c:pt>
                <c:pt idx="41">
                  <c:v>132598</c:v>
                </c:pt>
                <c:pt idx="42">
                  <c:v>64592</c:v>
                </c:pt>
                <c:pt idx="43">
                  <c:v>48641</c:v>
                </c:pt>
                <c:pt idx="44">
                  <c:v>102200</c:v>
                </c:pt>
                <c:pt idx="45">
                  <c:v>36763</c:v>
                </c:pt>
                <c:pt idx="46">
                  <c:v>97035</c:v>
                </c:pt>
                <c:pt idx="47">
                  <c:v>140959</c:v>
                </c:pt>
                <c:pt idx="48">
                  <c:v>105623</c:v>
                </c:pt>
                <c:pt idx="49">
                  <c:v>54274</c:v>
                </c:pt>
                <c:pt idx="50">
                  <c:v>94803</c:v>
                </c:pt>
                <c:pt idx="51">
                  <c:v>104041</c:v>
                </c:pt>
                <c:pt idx="52">
                  <c:v>65196</c:v>
                </c:pt>
                <c:pt idx="53">
                  <c:v>141318</c:v>
                </c:pt>
                <c:pt idx="54">
                  <c:v>127989</c:v>
                </c:pt>
                <c:pt idx="55">
                  <c:v>85349</c:v>
                </c:pt>
                <c:pt idx="56">
                  <c:v>73023</c:v>
                </c:pt>
                <c:pt idx="57">
                  <c:v>85928</c:v>
                </c:pt>
                <c:pt idx="58">
                  <c:v>94896</c:v>
                </c:pt>
                <c:pt idx="59">
                  <c:v>112510</c:v>
                </c:pt>
                <c:pt idx="60">
                  <c:v>115204</c:v>
                </c:pt>
                <c:pt idx="61">
                  <c:v>52167</c:v>
                </c:pt>
                <c:pt idx="62">
                  <c:v>147355</c:v>
                </c:pt>
                <c:pt idx="63">
                  <c:v>38558</c:v>
                </c:pt>
                <c:pt idx="64">
                  <c:v>92114</c:v>
                </c:pt>
                <c:pt idx="65">
                  <c:v>86651</c:v>
                </c:pt>
                <c:pt idx="66">
                  <c:v>129445</c:v>
                </c:pt>
                <c:pt idx="67">
                  <c:v>112949</c:v>
                </c:pt>
                <c:pt idx="68">
                  <c:v>136418</c:v>
                </c:pt>
                <c:pt idx="69">
                  <c:v>140638</c:v>
                </c:pt>
                <c:pt idx="70">
                  <c:v>128640</c:v>
                </c:pt>
                <c:pt idx="71">
                  <c:v>122436</c:v>
                </c:pt>
                <c:pt idx="72">
                  <c:v>48329</c:v>
                </c:pt>
                <c:pt idx="73">
                  <c:v>148784</c:v>
                </c:pt>
                <c:pt idx="74">
                  <c:v>70213</c:v>
                </c:pt>
                <c:pt idx="75">
                  <c:v>117373</c:v>
                </c:pt>
                <c:pt idx="76">
                  <c:v>45147</c:v>
                </c:pt>
                <c:pt idx="77">
                  <c:v>104106</c:v>
                </c:pt>
                <c:pt idx="78">
                  <c:v>71951</c:v>
                </c:pt>
                <c:pt idx="79">
                  <c:v>108074</c:v>
                </c:pt>
                <c:pt idx="80">
                  <c:v>129005</c:v>
                </c:pt>
                <c:pt idx="81">
                  <c:v>76317</c:v>
                </c:pt>
                <c:pt idx="82">
                  <c:v>135861</c:v>
                </c:pt>
                <c:pt idx="83">
                  <c:v>58971</c:v>
                </c:pt>
                <c:pt idx="84">
                  <c:v>62792</c:v>
                </c:pt>
                <c:pt idx="85">
                  <c:v>87595</c:v>
                </c:pt>
                <c:pt idx="86">
                  <c:v>128322</c:v>
                </c:pt>
                <c:pt idx="87">
                  <c:v>42855</c:v>
                </c:pt>
                <c:pt idx="88">
                  <c:v>90929</c:v>
                </c:pt>
                <c:pt idx="89">
                  <c:v>136323</c:v>
                </c:pt>
                <c:pt idx="90">
                  <c:v>137307</c:v>
                </c:pt>
                <c:pt idx="91">
                  <c:v>108335</c:v>
                </c:pt>
                <c:pt idx="92">
                  <c:v>100208</c:v>
                </c:pt>
                <c:pt idx="93">
                  <c:v>132541</c:v>
                </c:pt>
                <c:pt idx="94">
                  <c:v>97962</c:v>
                </c:pt>
                <c:pt idx="95">
                  <c:v>142216</c:v>
                </c:pt>
                <c:pt idx="96">
                  <c:v>89274</c:v>
                </c:pt>
                <c:pt idx="97">
                  <c:v>31154</c:v>
                </c:pt>
                <c:pt idx="98">
                  <c:v>83880</c:v>
                </c:pt>
                <c:pt idx="99">
                  <c:v>89688</c:v>
                </c:pt>
                <c:pt idx="100">
                  <c:v>113187</c:v>
                </c:pt>
                <c:pt idx="101">
                  <c:v>77006</c:v>
                </c:pt>
                <c:pt idx="102">
                  <c:v>64136</c:v>
                </c:pt>
                <c:pt idx="103">
                  <c:v>138922</c:v>
                </c:pt>
                <c:pt idx="104">
                  <c:v>137205</c:v>
                </c:pt>
                <c:pt idx="105">
                  <c:v>40590</c:v>
                </c:pt>
                <c:pt idx="106">
                  <c:v>65343</c:v>
                </c:pt>
                <c:pt idx="107">
                  <c:v>67039</c:v>
                </c:pt>
                <c:pt idx="108">
                  <c:v>49308</c:v>
                </c:pt>
                <c:pt idx="109">
                  <c:v>60668</c:v>
                </c:pt>
                <c:pt idx="110">
                  <c:v>56570</c:v>
                </c:pt>
                <c:pt idx="111">
                  <c:v>60382</c:v>
                </c:pt>
                <c:pt idx="112">
                  <c:v>35565</c:v>
                </c:pt>
                <c:pt idx="113">
                  <c:v>75626</c:v>
                </c:pt>
                <c:pt idx="114">
                  <c:v>53863</c:v>
                </c:pt>
                <c:pt idx="115">
                  <c:v>54918</c:v>
                </c:pt>
                <c:pt idx="116">
                  <c:v>73823</c:v>
                </c:pt>
                <c:pt idx="117">
                  <c:v>43965</c:v>
                </c:pt>
                <c:pt idx="118">
                  <c:v>134193</c:v>
                </c:pt>
                <c:pt idx="119">
                  <c:v>43175</c:v>
                </c:pt>
                <c:pt idx="120">
                  <c:v>135968</c:v>
                </c:pt>
                <c:pt idx="121">
                  <c:v>108263</c:v>
                </c:pt>
                <c:pt idx="122">
                  <c:v>145924</c:v>
                </c:pt>
                <c:pt idx="123">
                  <c:v>141965</c:v>
                </c:pt>
                <c:pt idx="124">
                  <c:v>122028</c:v>
                </c:pt>
                <c:pt idx="125">
                  <c:v>113856</c:v>
                </c:pt>
                <c:pt idx="126">
                  <c:v>81110</c:v>
                </c:pt>
                <c:pt idx="127">
                  <c:v>136973</c:v>
                </c:pt>
                <c:pt idx="128">
                  <c:v>57558</c:v>
                </c:pt>
                <c:pt idx="129">
                  <c:v>53474</c:v>
                </c:pt>
                <c:pt idx="130">
                  <c:v>33604</c:v>
                </c:pt>
                <c:pt idx="131">
                  <c:v>56707</c:v>
                </c:pt>
                <c:pt idx="132">
                  <c:v>113380</c:v>
                </c:pt>
                <c:pt idx="133">
                  <c:v>90816</c:v>
                </c:pt>
                <c:pt idx="134">
                  <c:v>34657</c:v>
                </c:pt>
                <c:pt idx="135">
                  <c:v>118840</c:v>
                </c:pt>
                <c:pt idx="136">
                  <c:v>103921</c:v>
                </c:pt>
                <c:pt idx="137">
                  <c:v>83547</c:v>
                </c:pt>
                <c:pt idx="138">
                  <c:v>43316</c:v>
                </c:pt>
                <c:pt idx="139">
                  <c:v>98928</c:v>
                </c:pt>
                <c:pt idx="140">
                  <c:v>62752</c:v>
                </c:pt>
                <c:pt idx="141">
                  <c:v>46866</c:v>
                </c:pt>
                <c:pt idx="142">
                  <c:v>92371</c:v>
                </c:pt>
                <c:pt idx="143">
                  <c:v>48068</c:v>
                </c:pt>
                <c:pt idx="144">
                  <c:v>81701</c:v>
                </c:pt>
                <c:pt idx="145">
                  <c:v>134463</c:v>
                </c:pt>
                <c:pt idx="146">
                  <c:v>130604</c:v>
                </c:pt>
                <c:pt idx="147">
                  <c:v>45551</c:v>
                </c:pt>
                <c:pt idx="148">
                  <c:v>109314</c:v>
                </c:pt>
                <c:pt idx="149">
                  <c:v>48768</c:v>
                </c:pt>
                <c:pt idx="150">
                  <c:v>117893</c:v>
                </c:pt>
                <c:pt idx="151">
                  <c:v>123822</c:v>
                </c:pt>
                <c:pt idx="152">
                  <c:v>54930</c:v>
                </c:pt>
                <c:pt idx="153">
                  <c:v>34424</c:v>
                </c:pt>
                <c:pt idx="154">
                  <c:v>41849</c:v>
                </c:pt>
                <c:pt idx="155">
                  <c:v>55100</c:v>
                </c:pt>
                <c:pt idx="156">
                  <c:v>111242</c:v>
                </c:pt>
                <c:pt idx="157">
                  <c:v>35514</c:v>
                </c:pt>
                <c:pt idx="158">
                  <c:v>32860</c:v>
                </c:pt>
                <c:pt idx="159">
                  <c:v>42337</c:v>
                </c:pt>
                <c:pt idx="160">
                  <c:v>62131</c:v>
                </c:pt>
                <c:pt idx="161">
                  <c:v>145261</c:v>
                </c:pt>
                <c:pt idx="162">
                  <c:v>81763</c:v>
                </c:pt>
                <c:pt idx="163">
                  <c:v>76259</c:v>
                </c:pt>
                <c:pt idx="164">
                  <c:v>79572</c:v>
                </c:pt>
                <c:pt idx="165">
                  <c:v>77060</c:v>
                </c:pt>
                <c:pt idx="166">
                  <c:v>30570</c:v>
                </c:pt>
                <c:pt idx="167">
                  <c:v>48714</c:v>
                </c:pt>
                <c:pt idx="168">
                  <c:v>134203</c:v>
                </c:pt>
                <c:pt idx="169">
                  <c:v>84577</c:v>
                </c:pt>
                <c:pt idx="170">
                  <c:v>97995</c:v>
                </c:pt>
                <c:pt idx="171">
                  <c:v>132488</c:v>
                </c:pt>
                <c:pt idx="172">
                  <c:v>39407</c:v>
                </c:pt>
                <c:pt idx="173">
                  <c:v>39407</c:v>
                </c:pt>
                <c:pt idx="174">
                  <c:v>100320</c:v>
                </c:pt>
                <c:pt idx="175">
                  <c:v>143200</c:v>
                </c:pt>
                <c:pt idx="176">
                  <c:v>32030</c:v>
                </c:pt>
                <c:pt idx="177">
                  <c:v>124796</c:v>
                </c:pt>
                <c:pt idx="178">
                  <c:v>78829</c:v>
                </c:pt>
                <c:pt idx="179">
                  <c:v>36282</c:v>
                </c:pt>
                <c:pt idx="180">
                  <c:v>115342</c:v>
                </c:pt>
                <c:pt idx="181">
                  <c:v>105641</c:v>
                </c:pt>
                <c:pt idx="182">
                  <c:v>84725</c:v>
                </c:pt>
                <c:pt idx="183">
                  <c:v>141134</c:v>
                </c:pt>
                <c:pt idx="184">
                  <c:v>140809</c:v>
                </c:pt>
                <c:pt idx="185">
                  <c:v>145254</c:v>
                </c:pt>
                <c:pt idx="186">
                  <c:v>149505</c:v>
                </c:pt>
                <c:pt idx="187">
                  <c:v>132215</c:v>
                </c:pt>
                <c:pt idx="188">
                  <c:v>111238</c:v>
                </c:pt>
                <c:pt idx="189">
                  <c:v>132968</c:v>
                </c:pt>
                <c:pt idx="190">
                  <c:v>82506</c:v>
                </c:pt>
                <c:pt idx="191">
                  <c:v>139366</c:v>
                </c:pt>
                <c:pt idx="192">
                  <c:v>106944</c:v>
                </c:pt>
                <c:pt idx="193">
                  <c:v>92031</c:v>
                </c:pt>
                <c:pt idx="194">
                  <c:v>121073</c:v>
                </c:pt>
                <c:pt idx="195">
                  <c:v>30004</c:v>
                </c:pt>
                <c:pt idx="196">
                  <c:v>47499</c:v>
                </c:pt>
                <c:pt idx="197">
                  <c:v>51759</c:v>
                </c:pt>
                <c:pt idx="198">
                  <c:v>62536</c:v>
                </c:pt>
                <c:pt idx="199">
                  <c:v>93599</c:v>
                </c:pt>
                <c:pt idx="200">
                  <c:v>100730</c:v>
                </c:pt>
                <c:pt idx="201">
                  <c:v>127010</c:v>
                </c:pt>
                <c:pt idx="202">
                  <c:v>132403</c:v>
                </c:pt>
                <c:pt idx="203">
                  <c:v>147360</c:v>
                </c:pt>
                <c:pt idx="204">
                  <c:v>82356</c:v>
                </c:pt>
                <c:pt idx="205">
                  <c:v>94970</c:v>
                </c:pt>
                <c:pt idx="206">
                  <c:v>32144</c:v>
                </c:pt>
                <c:pt idx="207">
                  <c:v>100115</c:v>
                </c:pt>
                <c:pt idx="208">
                  <c:v>86985</c:v>
                </c:pt>
                <c:pt idx="209">
                  <c:v>132277</c:v>
                </c:pt>
                <c:pt idx="210">
                  <c:v>80545</c:v>
                </c:pt>
                <c:pt idx="211">
                  <c:v>145190</c:v>
                </c:pt>
                <c:pt idx="212">
                  <c:v>85583</c:v>
                </c:pt>
                <c:pt idx="213">
                  <c:v>51225</c:v>
                </c:pt>
                <c:pt idx="214">
                  <c:v>43192</c:v>
                </c:pt>
                <c:pt idx="215">
                  <c:v>96409</c:v>
                </c:pt>
                <c:pt idx="216">
                  <c:v>68304</c:v>
                </c:pt>
                <c:pt idx="217">
                  <c:v>85068</c:v>
                </c:pt>
                <c:pt idx="218">
                  <c:v>90687</c:v>
                </c:pt>
                <c:pt idx="219">
                  <c:v>30102</c:v>
                </c:pt>
                <c:pt idx="220">
                  <c:v>33546</c:v>
                </c:pt>
                <c:pt idx="221">
                  <c:v>80995</c:v>
                </c:pt>
                <c:pt idx="222">
                  <c:v>137307</c:v>
                </c:pt>
                <c:pt idx="223">
                  <c:v>139658</c:v>
                </c:pt>
                <c:pt idx="224">
                  <c:v>107702</c:v>
                </c:pt>
                <c:pt idx="225">
                  <c:v>33087</c:v>
                </c:pt>
                <c:pt idx="226">
                  <c:v>104830</c:v>
                </c:pt>
                <c:pt idx="227">
                  <c:v>50661</c:v>
                </c:pt>
                <c:pt idx="228">
                  <c:v>80049</c:v>
                </c:pt>
                <c:pt idx="229">
                  <c:v>113097</c:v>
                </c:pt>
                <c:pt idx="230">
                  <c:v>108115</c:v>
                </c:pt>
                <c:pt idx="231">
                  <c:v>97103</c:v>
                </c:pt>
                <c:pt idx="232">
                  <c:v>35394</c:v>
                </c:pt>
                <c:pt idx="233">
                  <c:v>69133</c:v>
                </c:pt>
                <c:pt idx="234">
                  <c:v>30708</c:v>
                </c:pt>
                <c:pt idx="235">
                  <c:v>49346</c:v>
                </c:pt>
                <c:pt idx="236">
                  <c:v>82856</c:v>
                </c:pt>
                <c:pt idx="237">
                  <c:v>113154</c:v>
                </c:pt>
                <c:pt idx="238">
                  <c:v>33030</c:v>
                </c:pt>
                <c:pt idx="239">
                  <c:v>33987</c:v>
                </c:pt>
                <c:pt idx="240">
                  <c:v>98446</c:v>
                </c:pt>
                <c:pt idx="241">
                  <c:v>76202</c:v>
                </c:pt>
                <c:pt idx="242">
                  <c:v>63313</c:v>
                </c:pt>
                <c:pt idx="243">
                  <c:v>116566</c:v>
                </c:pt>
                <c:pt idx="244">
                  <c:v>111788</c:v>
                </c:pt>
                <c:pt idx="245">
                  <c:v>144573</c:v>
                </c:pt>
                <c:pt idx="246">
                  <c:v>49725</c:v>
                </c:pt>
                <c:pt idx="247">
                  <c:v>47458</c:v>
                </c:pt>
                <c:pt idx="248">
                  <c:v>36383</c:v>
                </c:pt>
                <c:pt idx="249">
                  <c:v>141748</c:v>
                </c:pt>
                <c:pt idx="250">
                  <c:v>51087</c:v>
                </c:pt>
                <c:pt idx="251">
                  <c:v>90651</c:v>
                </c:pt>
                <c:pt idx="252">
                  <c:v>145308</c:v>
                </c:pt>
                <c:pt idx="253">
                  <c:v>60768</c:v>
                </c:pt>
                <c:pt idx="254">
                  <c:v>85888</c:v>
                </c:pt>
                <c:pt idx="255">
                  <c:v>87520</c:v>
                </c:pt>
                <c:pt idx="256">
                  <c:v>105810</c:v>
                </c:pt>
                <c:pt idx="257">
                  <c:v>30121</c:v>
                </c:pt>
                <c:pt idx="258">
                  <c:v>52164</c:v>
                </c:pt>
                <c:pt idx="259">
                  <c:v>134502</c:v>
                </c:pt>
                <c:pt idx="260">
                  <c:v>99618</c:v>
                </c:pt>
                <c:pt idx="261">
                  <c:v>32827</c:v>
                </c:pt>
                <c:pt idx="262">
                  <c:v>99668</c:v>
                </c:pt>
                <c:pt idx="263">
                  <c:v>38683</c:v>
                </c:pt>
                <c:pt idx="264">
                  <c:v>144083</c:v>
                </c:pt>
                <c:pt idx="265">
                  <c:v>61052</c:v>
                </c:pt>
                <c:pt idx="266">
                  <c:v>33065</c:v>
                </c:pt>
                <c:pt idx="267">
                  <c:v>66961</c:v>
                </c:pt>
                <c:pt idx="268">
                  <c:v>49970</c:v>
                </c:pt>
                <c:pt idx="269">
                  <c:v>37595</c:v>
                </c:pt>
                <c:pt idx="270">
                  <c:v>143235</c:v>
                </c:pt>
                <c:pt idx="271">
                  <c:v>143899</c:v>
                </c:pt>
                <c:pt idx="272">
                  <c:v>38012</c:v>
                </c:pt>
                <c:pt idx="273">
                  <c:v>138008</c:v>
                </c:pt>
                <c:pt idx="274">
                  <c:v>84223</c:v>
                </c:pt>
                <c:pt idx="275">
                  <c:v>57700</c:v>
                </c:pt>
                <c:pt idx="276">
                  <c:v>89720</c:v>
                </c:pt>
                <c:pt idx="277">
                  <c:v>148121</c:v>
                </c:pt>
                <c:pt idx="278">
                  <c:v>114848</c:v>
                </c:pt>
                <c:pt idx="279">
                  <c:v>48504</c:v>
                </c:pt>
                <c:pt idx="280">
                  <c:v>44725</c:v>
                </c:pt>
                <c:pt idx="281">
                  <c:v>37201</c:v>
                </c:pt>
                <c:pt idx="282">
                  <c:v>49342</c:v>
                </c:pt>
                <c:pt idx="283">
                  <c:v>32692</c:v>
                </c:pt>
                <c:pt idx="284">
                  <c:v>107033</c:v>
                </c:pt>
                <c:pt idx="285">
                  <c:v>127745</c:v>
                </c:pt>
                <c:pt idx="286">
                  <c:v>69864</c:v>
                </c:pt>
                <c:pt idx="287">
                  <c:v>127302</c:v>
                </c:pt>
                <c:pt idx="288">
                  <c:v>111795</c:v>
                </c:pt>
                <c:pt idx="289">
                  <c:v>134801</c:v>
                </c:pt>
                <c:pt idx="290">
                  <c:v>121037</c:v>
                </c:pt>
                <c:pt idx="291">
                  <c:v>98882</c:v>
                </c:pt>
                <c:pt idx="292">
                  <c:v>149973</c:v>
                </c:pt>
                <c:pt idx="293">
                  <c:v>131020</c:v>
                </c:pt>
                <c:pt idx="294">
                  <c:v>88778</c:v>
                </c:pt>
                <c:pt idx="295">
                  <c:v>138152</c:v>
                </c:pt>
                <c:pt idx="296">
                  <c:v>149936</c:v>
                </c:pt>
                <c:pt idx="297">
                  <c:v>98537</c:v>
                </c:pt>
                <c:pt idx="298">
                  <c:v>130645</c:v>
                </c:pt>
                <c:pt idx="299">
                  <c:v>100314</c:v>
                </c:pt>
                <c:pt idx="300">
                  <c:v>148451</c:v>
                </c:pt>
                <c:pt idx="301">
                  <c:v>129284</c:v>
                </c:pt>
                <c:pt idx="302">
                  <c:v>102535</c:v>
                </c:pt>
                <c:pt idx="303">
                  <c:v>115529</c:v>
                </c:pt>
                <c:pt idx="304">
                  <c:v>101100</c:v>
                </c:pt>
                <c:pt idx="305">
                  <c:v>108480</c:v>
                </c:pt>
                <c:pt idx="306">
                  <c:v>46695</c:v>
                </c:pt>
                <c:pt idx="307">
                  <c:v>75430</c:v>
                </c:pt>
                <c:pt idx="308">
                  <c:v>87006</c:v>
                </c:pt>
                <c:pt idx="309">
                  <c:v>100745</c:v>
                </c:pt>
                <c:pt idx="310">
                  <c:v>74519</c:v>
                </c:pt>
                <c:pt idx="311">
                  <c:v>33009</c:v>
                </c:pt>
                <c:pt idx="312">
                  <c:v>82623</c:v>
                </c:pt>
                <c:pt idx="313">
                  <c:v>142287</c:v>
                </c:pt>
                <c:pt idx="314">
                  <c:v>48225</c:v>
                </c:pt>
                <c:pt idx="315">
                  <c:v>68250</c:v>
                </c:pt>
                <c:pt idx="316">
                  <c:v>124670</c:v>
                </c:pt>
                <c:pt idx="317">
                  <c:v>119460</c:v>
                </c:pt>
                <c:pt idx="318">
                  <c:v>31668</c:v>
                </c:pt>
                <c:pt idx="319">
                  <c:v>36022</c:v>
                </c:pt>
                <c:pt idx="320">
                  <c:v>112118</c:v>
                </c:pt>
                <c:pt idx="321">
                  <c:v>149062</c:v>
                </c:pt>
                <c:pt idx="322">
                  <c:v>68970</c:v>
                </c:pt>
                <c:pt idx="323">
                  <c:v>37569</c:v>
                </c:pt>
                <c:pt idx="324">
                  <c:v>32276</c:v>
                </c:pt>
                <c:pt idx="325">
                  <c:v>69168</c:v>
                </c:pt>
                <c:pt idx="326">
                  <c:v>129999</c:v>
                </c:pt>
                <c:pt idx="327">
                  <c:v>133701</c:v>
                </c:pt>
                <c:pt idx="328">
                  <c:v>51199</c:v>
                </c:pt>
                <c:pt idx="329">
                  <c:v>60262</c:v>
                </c:pt>
                <c:pt idx="330">
                  <c:v>55027</c:v>
                </c:pt>
                <c:pt idx="331">
                  <c:v>129568</c:v>
                </c:pt>
                <c:pt idx="332">
                  <c:v>114808</c:v>
                </c:pt>
                <c:pt idx="333">
                  <c:v>145578</c:v>
                </c:pt>
                <c:pt idx="334">
                  <c:v>87717</c:v>
                </c:pt>
                <c:pt idx="335">
                  <c:v>56378</c:v>
                </c:pt>
                <c:pt idx="336">
                  <c:v>115674</c:v>
                </c:pt>
                <c:pt idx="337">
                  <c:v>49140</c:v>
                </c:pt>
                <c:pt idx="338">
                  <c:v>47482</c:v>
                </c:pt>
                <c:pt idx="339">
                  <c:v>136278</c:v>
                </c:pt>
                <c:pt idx="340">
                  <c:v>104971</c:v>
                </c:pt>
                <c:pt idx="341">
                  <c:v>59583</c:v>
                </c:pt>
                <c:pt idx="342">
                  <c:v>107042</c:v>
                </c:pt>
                <c:pt idx="343">
                  <c:v>68172</c:v>
                </c:pt>
                <c:pt idx="344">
                  <c:v>101111</c:v>
                </c:pt>
                <c:pt idx="345">
                  <c:v>125996</c:v>
                </c:pt>
                <c:pt idx="346">
                  <c:v>115470</c:v>
                </c:pt>
                <c:pt idx="347">
                  <c:v>79899</c:v>
                </c:pt>
                <c:pt idx="348">
                  <c:v>49557</c:v>
                </c:pt>
                <c:pt idx="349">
                  <c:v>69676</c:v>
                </c:pt>
                <c:pt idx="350">
                  <c:v>105157</c:v>
                </c:pt>
                <c:pt idx="351">
                  <c:v>134592</c:v>
                </c:pt>
                <c:pt idx="352">
                  <c:v>33706</c:v>
                </c:pt>
                <c:pt idx="353">
                  <c:v>42779</c:v>
                </c:pt>
                <c:pt idx="354">
                  <c:v>120294</c:v>
                </c:pt>
                <c:pt idx="355">
                  <c:v>71923</c:v>
                </c:pt>
                <c:pt idx="356">
                  <c:v>112170</c:v>
                </c:pt>
                <c:pt idx="357">
                  <c:v>47099</c:v>
                </c:pt>
                <c:pt idx="358">
                  <c:v>57305</c:v>
                </c:pt>
                <c:pt idx="359">
                  <c:v>54319</c:v>
                </c:pt>
                <c:pt idx="360">
                  <c:v>69659</c:v>
                </c:pt>
                <c:pt idx="361">
                  <c:v>30058</c:v>
                </c:pt>
                <c:pt idx="362">
                  <c:v>81758</c:v>
                </c:pt>
                <c:pt idx="363">
                  <c:v>141757</c:v>
                </c:pt>
                <c:pt idx="364">
                  <c:v>76756</c:v>
                </c:pt>
                <c:pt idx="365">
                  <c:v>86593</c:v>
                </c:pt>
                <c:pt idx="366">
                  <c:v>62405</c:v>
                </c:pt>
                <c:pt idx="367">
                  <c:v>94531</c:v>
                </c:pt>
                <c:pt idx="368">
                  <c:v>134241</c:v>
                </c:pt>
                <c:pt idx="369">
                  <c:v>89149</c:v>
                </c:pt>
                <c:pt idx="370">
                  <c:v>56120</c:v>
                </c:pt>
                <c:pt idx="371">
                  <c:v>143037</c:v>
                </c:pt>
                <c:pt idx="372">
                  <c:v>44048</c:v>
                </c:pt>
                <c:pt idx="373">
                  <c:v>95501</c:v>
                </c:pt>
                <c:pt idx="374">
                  <c:v>61849</c:v>
                </c:pt>
                <c:pt idx="375">
                  <c:v>105470</c:v>
                </c:pt>
                <c:pt idx="376">
                  <c:v>63381</c:v>
                </c:pt>
                <c:pt idx="377">
                  <c:v>92089</c:v>
                </c:pt>
                <c:pt idx="378">
                  <c:v>104031</c:v>
                </c:pt>
                <c:pt idx="379">
                  <c:v>113116</c:v>
                </c:pt>
                <c:pt idx="380">
                  <c:v>34982</c:v>
                </c:pt>
                <c:pt idx="381">
                  <c:v>69362</c:v>
                </c:pt>
                <c:pt idx="382">
                  <c:v>94016</c:v>
                </c:pt>
                <c:pt idx="383">
                  <c:v>101084</c:v>
                </c:pt>
                <c:pt idx="384">
                  <c:v>79949</c:v>
                </c:pt>
                <c:pt idx="385">
                  <c:v>46738</c:v>
                </c:pt>
                <c:pt idx="386">
                  <c:v>107818</c:v>
                </c:pt>
                <c:pt idx="387">
                  <c:v>83511</c:v>
                </c:pt>
                <c:pt idx="388">
                  <c:v>96494</c:v>
                </c:pt>
                <c:pt idx="389">
                  <c:v>46707</c:v>
                </c:pt>
                <c:pt idx="390">
                  <c:v>87275</c:v>
                </c:pt>
                <c:pt idx="391">
                  <c:v>66932</c:v>
                </c:pt>
                <c:pt idx="392">
                  <c:v>124138</c:v>
                </c:pt>
                <c:pt idx="393">
                  <c:v>106631</c:v>
                </c:pt>
                <c:pt idx="394">
                  <c:v>54421</c:v>
                </c:pt>
                <c:pt idx="395">
                  <c:v>64134</c:v>
                </c:pt>
                <c:pt idx="396">
                  <c:v>52470</c:v>
                </c:pt>
                <c:pt idx="397">
                  <c:v>148368</c:v>
                </c:pt>
                <c:pt idx="398">
                  <c:v>134414</c:v>
                </c:pt>
                <c:pt idx="399">
                  <c:v>105185</c:v>
                </c:pt>
                <c:pt idx="400">
                  <c:v>129014</c:v>
                </c:pt>
                <c:pt idx="401">
                  <c:v>112847</c:v>
                </c:pt>
                <c:pt idx="402">
                  <c:v>139589</c:v>
                </c:pt>
                <c:pt idx="403">
                  <c:v>38785</c:v>
                </c:pt>
                <c:pt idx="404">
                  <c:v>84616</c:v>
                </c:pt>
                <c:pt idx="405">
                  <c:v>101024</c:v>
                </c:pt>
                <c:pt idx="406">
                  <c:v>84117</c:v>
                </c:pt>
                <c:pt idx="407">
                  <c:v>107232</c:v>
                </c:pt>
                <c:pt idx="408">
                  <c:v>128623</c:v>
                </c:pt>
                <c:pt idx="409">
                  <c:v>94392</c:v>
                </c:pt>
                <c:pt idx="410">
                  <c:v>47689</c:v>
                </c:pt>
                <c:pt idx="411">
                  <c:v>38250</c:v>
                </c:pt>
                <c:pt idx="412">
                  <c:v>89077</c:v>
                </c:pt>
                <c:pt idx="413">
                  <c:v>144624</c:v>
                </c:pt>
                <c:pt idx="414">
                  <c:v>130668</c:v>
                </c:pt>
                <c:pt idx="415">
                  <c:v>135530</c:v>
                </c:pt>
                <c:pt idx="416">
                  <c:v>47790</c:v>
                </c:pt>
                <c:pt idx="417">
                  <c:v>126553</c:v>
                </c:pt>
                <c:pt idx="418">
                  <c:v>80006</c:v>
                </c:pt>
                <c:pt idx="419">
                  <c:v>71410</c:v>
                </c:pt>
                <c:pt idx="420">
                  <c:v>49020</c:v>
                </c:pt>
                <c:pt idx="421">
                  <c:v>76921</c:v>
                </c:pt>
                <c:pt idx="422">
                  <c:v>99475</c:v>
                </c:pt>
                <c:pt idx="423">
                  <c:v>107488</c:v>
                </c:pt>
                <c:pt idx="424">
                  <c:v>115381</c:v>
                </c:pt>
                <c:pt idx="425">
                  <c:v>30374</c:v>
                </c:pt>
                <c:pt idx="426">
                  <c:v>122661</c:v>
                </c:pt>
                <c:pt idx="427">
                  <c:v>120516</c:v>
                </c:pt>
                <c:pt idx="428">
                  <c:v>94627</c:v>
                </c:pt>
                <c:pt idx="429">
                  <c:v>103191</c:v>
                </c:pt>
                <c:pt idx="430">
                  <c:v>149741</c:v>
                </c:pt>
                <c:pt idx="431">
                  <c:v>90000</c:v>
                </c:pt>
                <c:pt idx="432">
                  <c:v>105019</c:v>
                </c:pt>
                <c:pt idx="433">
                  <c:v>87418</c:v>
                </c:pt>
                <c:pt idx="434">
                  <c:v>127948</c:v>
                </c:pt>
                <c:pt idx="435">
                  <c:v>141369</c:v>
                </c:pt>
                <c:pt idx="436">
                  <c:v>119844</c:v>
                </c:pt>
                <c:pt idx="437">
                  <c:v>135305</c:v>
                </c:pt>
                <c:pt idx="438">
                  <c:v>80988</c:v>
                </c:pt>
                <c:pt idx="439">
                  <c:v>101105</c:v>
                </c:pt>
                <c:pt idx="440">
                  <c:v>71594</c:v>
                </c:pt>
                <c:pt idx="441">
                  <c:v>36843</c:v>
                </c:pt>
                <c:pt idx="442">
                  <c:v>90780</c:v>
                </c:pt>
                <c:pt idx="443">
                  <c:v>124369</c:v>
                </c:pt>
                <c:pt idx="444">
                  <c:v>51565</c:v>
                </c:pt>
                <c:pt idx="445">
                  <c:v>59481</c:v>
                </c:pt>
                <c:pt idx="446">
                  <c:v>68689</c:v>
                </c:pt>
                <c:pt idx="447">
                  <c:v>147555</c:v>
                </c:pt>
                <c:pt idx="448">
                  <c:v>57851</c:v>
                </c:pt>
                <c:pt idx="449">
                  <c:v>100399</c:v>
                </c:pt>
                <c:pt idx="450">
                  <c:v>143640</c:v>
                </c:pt>
                <c:pt idx="451">
                  <c:v>100736</c:v>
                </c:pt>
                <c:pt idx="452">
                  <c:v>139508</c:v>
                </c:pt>
                <c:pt idx="453">
                  <c:v>112674</c:v>
                </c:pt>
                <c:pt idx="454">
                  <c:v>143424</c:v>
                </c:pt>
                <c:pt idx="455">
                  <c:v>120542</c:v>
                </c:pt>
                <c:pt idx="456">
                  <c:v>91672</c:v>
                </c:pt>
                <c:pt idx="457">
                  <c:v>124597</c:v>
                </c:pt>
                <c:pt idx="458">
                  <c:v>112021</c:v>
                </c:pt>
                <c:pt idx="459">
                  <c:v>78534</c:v>
                </c:pt>
                <c:pt idx="460">
                  <c:v>86860</c:v>
                </c:pt>
                <c:pt idx="461">
                  <c:v>112137</c:v>
                </c:pt>
                <c:pt idx="462">
                  <c:v>137276</c:v>
                </c:pt>
                <c:pt idx="463">
                  <c:v>94701</c:v>
                </c:pt>
                <c:pt idx="464">
                  <c:v>93084</c:v>
                </c:pt>
                <c:pt idx="465">
                  <c:v>61541</c:v>
                </c:pt>
                <c:pt idx="466">
                  <c:v>55753</c:v>
                </c:pt>
                <c:pt idx="467">
                  <c:v>80868</c:v>
                </c:pt>
                <c:pt idx="468">
                  <c:v>61870</c:v>
                </c:pt>
                <c:pt idx="469">
                  <c:v>69204</c:v>
                </c:pt>
                <c:pt idx="470">
                  <c:v>67215</c:v>
                </c:pt>
                <c:pt idx="471">
                  <c:v>53295</c:v>
                </c:pt>
                <c:pt idx="472">
                  <c:v>83172</c:v>
                </c:pt>
                <c:pt idx="473">
                  <c:v>88288</c:v>
                </c:pt>
                <c:pt idx="474">
                  <c:v>66196</c:v>
                </c:pt>
                <c:pt idx="475">
                  <c:v>85267</c:v>
                </c:pt>
                <c:pt idx="476">
                  <c:v>115578</c:v>
                </c:pt>
                <c:pt idx="477">
                  <c:v>88268</c:v>
                </c:pt>
                <c:pt idx="478">
                  <c:v>47989</c:v>
                </c:pt>
                <c:pt idx="479">
                  <c:v>65142</c:v>
                </c:pt>
                <c:pt idx="480">
                  <c:v>116378</c:v>
                </c:pt>
                <c:pt idx="481">
                  <c:v>38652</c:v>
                </c:pt>
                <c:pt idx="482">
                  <c:v>30492</c:v>
                </c:pt>
                <c:pt idx="483">
                  <c:v>59108</c:v>
                </c:pt>
                <c:pt idx="484">
                  <c:v>56374</c:v>
                </c:pt>
                <c:pt idx="485">
                  <c:v>106345</c:v>
                </c:pt>
                <c:pt idx="486">
                  <c:v>45024</c:v>
                </c:pt>
                <c:pt idx="487">
                  <c:v>84686</c:v>
                </c:pt>
                <c:pt idx="488">
                  <c:v>53164</c:v>
                </c:pt>
                <c:pt idx="489">
                  <c:v>105994</c:v>
                </c:pt>
                <c:pt idx="490">
                  <c:v>84764</c:v>
                </c:pt>
                <c:pt idx="491">
                  <c:v>53503</c:v>
                </c:pt>
                <c:pt idx="492">
                  <c:v>115537</c:v>
                </c:pt>
                <c:pt idx="493">
                  <c:v>30738</c:v>
                </c:pt>
                <c:pt idx="494">
                  <c:v>130443</c:v>
                </c:pt>
                <c:pt idx="495">
                  <c:v>74198</c:v>
                </c:pt>
                <c:pt idx="496">
                  <c:v>62582</c:v>
                </c:pt>
                <c:pt idx="497">
                  <c:v>92798</c:v>
                </c:pt>
                <c:pt idx="498">
                  <c:v>53069</c:v>
                </c:pt>
                <c:pt idx="499">
                  <c:v>71987</c:v>
                </c:pt>
                <c:pt idx="500">
                  <c:v>64229</c:v>
                </c:pt>
                <c:pt idx="501">
                  <c:v>56547</c:v>
                </c:pt>
                <c:pt idx="502">
                  <c:v>76842</c:v>
                </c:pt>
                <c:pt idx="503">
                  <c:v>145028</c:v>
                </c:pt>
                <c:pt idx="504">
                  <c:v>143612</c:v>
                </c:pt>
                <c:pt idx="505">
                  <c:v>58692</c:v>
                </c:pt>
                <c:pt idx="506">
                  <c:v>37547</c:v>
                </c:pt>
                <c:pt idx="507">
                  <c:v>81964</c:v>
                </c:pt>
                <c:pt idx="508">
                  <c:v>42089</c:v>
                </c:pt>
                <c:pt idx="509">
                  <c:v>149578</c:v>
                </c:pt>
                <c:pt idx="510">
                  <c:v>111784</c:v>
                </c:pt>
                <c:pt idx="511">
                  <c:v>59566</c:v>
                </c:pt>
                <c:pt idx="512">
                  <c:v>120644</c:v>
                </c:pt>
                <c:pt idx="513">
                  <c:v>135627</c:v>
                </c:pt>
                <c:pt idx="514">
                  <c:v>145884</c:v>
                </c:pt>
                <c:pt idx="515">
                  <c:v>77292</c:v>
                </c:pt>
                <c:pt idx="516">
                  <c:v>106632</c:v>
                </c:pt>
                <c:pt idx="517">
                  <c:v>83467</c:v>
                </c:pt>
                <c:pt idx="518">
                  <c:v>112212</c:v>
                </c:pt>
                <c:pt idx="519">
                  <c:v>97355</c:v>
                </c:pt>
                <c:pt idx="520">
                  <c:v>97909</c:v>
                </c:pt>
                <c:pt idx="521">
                  <c:v>73059</c:v>
                </c:pt>
                <c:pt idx="522">
                  <c:v>82140</c:v>
                </c:pt>
                <c:pt idx="523">
                  <c:v>113706</c:v>
                </c:pt>
                <c:pt idx="524">
                  <c:v>45562</c:v>
                </c:pt>
                <c:pt idx="525">
                  <c:v>57107</c:v>
                </c:pt>
                <c:pt idx="526">
                  <c:v>32539</c:v>
                </c:pt>
                <c:pt idx="527">
                  <c:v>46368</c:v>
                </c:pt>
                <c:pt idx="528">
                  <c:v>128064</c:v>
                </c:pt>
                <c:pt idx="529">
                  <c:v>129592</c:v>
                </c:pt>
                <c:pt idx="530">
                  <c:v>65498</c:v>
                </c:pt>
                <c:pt idx="531">
                  <c:v>111493</c:v>
                </c:pt>
                <c:pt idx="532">
                  <c:v>114390</c:v>
                </c:pt>
                <c:pt idx="533">
                  <c:v>48802</c:v>
                </c:pt>
                <c:pt idx="534">
                  <c:v>133888</c:v>
                </c:pt>
                <c:pt idx="535">
                  <c:v>87884</c:v>
                </c:pt>
                <c:pt idx="536">
                  <c:v>78149</c:v>
                </c:pt>
                <c:pt idx="537">
                  <c:v>65337</c:v>
                </c:pt>
                <c:pt idx="538">
                  <c:v>33018</c:v>
                </c:pt>
                <c:pt idx="539">
                  <c:v>85473</c:v>
                </c:pt>
                <c:pt idx="540">
                  <c:v>43138</c:v>
                </c:pt>
                <c:pt idx="541">
                  <c:v>85309</c:v>
                </c:pt>
                <c:pt idx="542">
                  <c:v>73466</c:v>
                </c:pt>
                <c:pt idx="543">
                  <c:v>90557</c:v>
                </c:pt>
                <c:pt idx="544">
                  <c:v>40936</c:v>
                </c:pt>
                <c:pt idx="545">
                  <c:v>75926</c:v>
                </c:pt>
                <c:pt idx="546">
                  <c:v>105024</c:v>
                </c:pt>
                <c:pt idx="547">
                  <c:v>37993</c:v>
                </c:pt>
                <c:pt idx="548">
                  <c:v>55515</c:v>
                </c:pt>
                <c:pt idx="549">
                  <c:v>40385</c:v>
                </c:pt>
                <c:pt idx="550">
                  <c:v>122472</c:v>
                </c:pt>
                <c:pt idx="551">
                  <c:v>98771</c:v>
                </c:pt>
                <c:pt idx="552">
                  <c:v>66495</c:v>
                </c:pt>
                <c:pt idx="553">
                  <c:v>48896</c:v>
                </c:pt>
                <c:pt idx="554">
                  <c:v>48383</c:v>
                </c:pt>
                <c:pt idx="555">
                  <c:v>117432</c:v>
                </c:pt>
                <c:pt idx="556">
                  <c:v>54819</c:v>
                </c:pt>
                <c:pt idx="557">
                  <c:v>129611</c:v>
                </c:pt>
                <c:pt idx="558">
                  <c:v>50518</c:v>
                </c:pt>
                <c:pt idx="559">
                  <c:v>126598</c:v>
                </c:pt>
                <c:pt idx="560">
                  <c:v>37003</c:v>
                </c:pt>
                <c:pt idx="561">
                  <c:v>81837</c:v>
                </c:pt>
                <c:pt idx="562">
                  <c:v>145117</c:v>
                </c:pt>
                <c:pt idx="563">
                  <c:v>77411</c:v>
                </c:pt>
                <c:pt idx="564">
                  <c:v>84380</c:v>
                </c:pt>
                <c:pt idx="565">
                  <c:v>140349</c:v>
                </c:pt>
                <c:pt idx="566">
                  <c:v>118622</c:v>
                </c:pt>
                <c:pt idx="567">
                  <c:v>51327</c:v>
                </c:pt>
                <c:pt idx="568">
                  <c:v>136827</c:v>
                </c:pt>
                <c:pt idx="569">
                  <c:v>72108</c:v>
                </c:pt>
                <c:pt idx="570">
                  <c:v>113760</c:v>
                </c:pt>
                <c:pt idx="571">
                  <c:v>109039</c:v>
                </c:pt>
                <c:pt idx="572">
                  <c:v>113794</c:v>
                </c:pt>
                <c:pt idx="573">
                  <c:v>61090</c:v>
                </c:pt>
                <c:pt idx="574">
                  <c:v>53345</c:v>
                </c:pt>
                <c:pt idx="575">
                  <c:v>98150</c:v>
                </c:pt>
                <c:pt idx="576">
                  <c:v>62024</c:v>
                </c:pt>
                <c:pt idx="577">
                  <c:v>50215</c:v>
                </c:pt>
                <c:pt idx="578">
                  <c:v>102269</c:v>
                </c:pt>
                <c:pt idx="579">
                  <c:v>108744</c:v>
                </c:pt>
                <c:pt idx="580">
                  <c:v>141667</c:v>
                </c:pt>
                <c:pt idx="581">
                  <c:v>85972</c:v>
                </c:pt>
                <c:pt idx="582">
                  <c:v>51398</c:v>
                </c:pt>
                <c:pt idx="583">
                  <c:v>114762</c:v>
                </c:pt>
                <c:pt idx="584">
                  <c:v>45781</c:v>
                </c:pt>
                <c:pt idx="585">
                  <c:v>80686</c:v>
                </c:pt>
                <c:pt idx="586">
                  <c:v>140475</c:v>
                </c:pt>
                <c:pt idx="587">
                  <c:v>44597</c:v>
                </c:pt>
                <c:pt idx="588">
                  <c:v>114874</c:v>
                </c:pt>
                <c:pt idx="589">
                  <c:v>69791</c:v>
                </c:pt>
                <c:pt idx="590">
                  <c:v>73723</c:v>
                </c:pt>
                <c:pt idx="591">
                  <c:v>88975</c:v>
                </c:pt>
                <c:pt idx="592">
                  <c:v>35122</c:v>
                </c:pt>
                <c:pt idx="593">
                  <c:v>120195</c:v>
                </c:pt>
                <c:pt idx="594">
                  <c:v>113532</c:v>
                </c:pt>
                <c:pt idx="595">
                  <c:v>146269</c:v>
                </c:pt>
                <c:pt idx="596">
                  <c:v>87909</c:v>
                </c:pt>
                <c:pt idx="597">
                  <c:v>40932</c:v>
                </c:pt>
                <c:pt idx="598">
                  <c:v>119492</c:v>
                </c:pt>
                <c:pt idx="599">
                  <c:v>106771</c:v>
                </c:pt>
                <c:pt idx="600">
                  <c:v>141567</c:v>
                </c:pt>
                <c:pt idx="601">
                  <c:v>69502</c:v>
                </c:pt>
                <c:pt idx="602">
                  <c:v>30969</c:v>
                </c:pt>
                <c:pt idx="603">
                  <c:v>117520</c:v>
                </c:pt>
                <c:pt idx="604">
                  <c:v>128667</c:v>
                </c:pt>
                <c:pt idx="605">
                  <c:v>109221</c:v>
                </c:pt>
                <c:pt idx="606">
                  <c:v>38209</c:v>
                </c:pt>
                <c:pt idx="607">
                  <c:v>82057</c:v>
                </c:pt>
                <c:pt idx="608">
                  <c:v>80264</c:v>
                </c:pt>
                <c:pt idx="609">
                  <c:v>83578</c:v>
                </c:pt>
                <c:pt idx="610">
                  <c:v>81794</c:v>
                </c:pt>
                <c:pt idx="611">
                  <c:v>49607</c:v>
                </c:pt>
                <c:pt idx="612">
                  <c:v>45092</c:v>
                </c:pt>
                <c:pt idx="613">
                  <c:v>117157</c:v>
                </c:pt>
                <c:pt idx="614">
                  <c:v>102834</c:v>
                </c:pt>
                <c:pt idx="615">
                  <c:v>81037</c:v>
                </c:pt>
                <c:pt idx="616">
                  <c:v>67237</c:v>
                </c:pt>
                <c:pt idx="617">
                  <c:v>122987</c:v>
                </c:pt>
                <c:pt idx="618">
                  <c:v>90389</c:v>
                </c:pt>
                <c:pt idx="619">
                  <c:v>138064</c:v>
                </c:pt>
                <c:pt idx="620">
                  <c:v>78653</c:v>
                </c:pt>
                <c:pt idx="621">
                  <c:v>146312</c:v>
                </c:pt>
                <c:pt idx="622">
                  <c:v>123680</c:v>
                </c:pt>
                <c:pt idx="623">
                  <c:v>59408</c:v>
                </c:pt>
                <c:pt idx="624">
                  <c:v>109506</c:v>
                </c:pt>
                <c:pt idx="625">
                  <c:v>31806</c:v>
                </c:pt>
                <c:pt idx="626">
                  <c:v>93783</c:v>
                </c:pt>
                <c:pt idx="627">
                  <c:v>127086</c:v>
                </c:pt>
                <c:pt idx="628">
                  <c:v>133538</c:v>
                </c:pt>
                <c:pt idx="629">
                  <c:v>52480</c:v>
                </c:pt>
                <c:pt idx="630">
                  <c:v>109583</c:v>
                </c:pt>
                <c:pt idx="631">
                  <c:v>86856</c:v>
                </c:pt>
                <c:pt idx="632">
                  <c:v>45827</c:v>
                </c:pt>
                <c:pt idx="633">
                  <c:v>115366</c:v>
                </c:pt>
                <c:pt idx="634">
                  <c:v>95656</c:v>
                </c:pt>
                <c:pt idx="635">
                  <c:v>135713</c:v>
                </c:pt>
                <c:pt idx="636">
                  <c:v>35218</c:v>
                </c:pt>
                <c:pt idx="637">
                  <c:v>92363</c:v>
                </c:pt>
                <c:pt idx="638">
                  <c:v>84664</c:v>
                </c:pt>
                <c:pt idx="639">
                  <c:v>35406</c:v>
                </c:pt>
                <c:pt idx="640">
                  <c:v>80320</c:v>
                </c:pt>
                <c:pt idx="641">
                  <c:v>93926</c:v>
                </c:pt>
                <c:pt idx="642">
                  <c:v>37713</c:v>
                </c:pt>
                <c:pt idx="643">
                  <c:v>86268</c:v>
                </c:pt>
                <c:pt idx="644">
                  <c:v>142251</c:v>
                </c:pt>
                <c:pt idx="645">
                  <c:v>138199</c:v>
                </c:pt>
                <c:pt idx="646">
                  <c:v>126571</c:v>
                </c:pt>
                <c:pt idx="647">
                  <c:v>120083</c:v>
                </c:pt>
                <c:pt idx="648">
                  <c:v>42390</c:v>
                </c:pt>
                <c:pt idx="649">
                  <c:v>142641</c:v>
                </c:pt>
                <c:pt idx="650">
                  <c:v>137280</c:v>
                </c:pt>
                <c:pt idx="651">
                  <c:v>100338</c:v>
                </c:pt>
                <c:pt idx="652">
                  <c:v>108533</c:v>
                </c:pt>
                <c:pt idx="653">
                  <c:v>134923</c:v>
                </c:pt>
                <c:pt idx="654">
                  <c:v>106635</c:v>
                </c:pt>
                <c:pt idx="655">
                  <c:v>92601</c:v>
                </c:pt>
                <c:pt idx="656">
                  <c:v>147903</c:v>
                </c:pt>
                <c:pt idx="657">
                  <c:v>55695</c:v>
                </c:pt>
                <c:pt idx="658">
                  <c:v>96499</c:v>
                </c:pt>
                <c:pt idx="659">
                  <c:v>143678</c:v>
                </c:pt>
                <c:pt idx="660">
                  <c:v>122371</c:v>
                </c:pt>
                <c:pt idx="661">
                  <c:v>95862</c:v>
                </c:pt>
                <c:pt idx="662">
                  <c:v>41072</c:v>
                </c:pt>
                <c:pt idx="663">
                  <c:v>115974</c:v>
                </c:pt>
                <c:pt idx="664">
                  <c:v>36577</c:v>
                </c:pt>
                <c:pt idx="665">
                  <c:v>67912</c:v>
                </c:pt>
                <c:pt idx="666">
                  <c:v>72651</c:v>
                </c:pt>
                <c:pt idx="667">
                  <c:v>66264</c:v>
                </c:pt>
                <c:pt idx="668">
                  <c:v>66886</c:v>
                </c:pt>
                <c:pt idx="669">
                  <c:v>74985</c:v>
                </c:pt>
                <c:pt idx="670">
                  <c:v>129367</c:v>
                </c:pt>
                <c:pt idx="671">
                  <c:v>108344</c:v>
                </c:pt>
                <c:pt idx="672">
                  <c:v>43031</c:v>
                </c:pt>
                <c:pt idx="673">
                  <c:v>91845</c:v>
                </c:pt>
                <c:pt idx="674">
                  <c:v>61376</c:v>
                </c:pt>
                <c:pt idx="675">
                  <c:v>149723</c:v>
                </c:pt>
                <c:pt idx="676">
                  <c:v>30523</c:v>
                </c:pt>
                <c:pt idx="677">
                  <c:v>44555</c:v>
                </c:pt>
                <c:pt idx="678">
                  <c:v>37014</c:v>
                </c:pt>
                <c:pt idx="679">
                  <c:v>134487</c:v>
                </c:pt>
                <c:pt idx="680">
                  <c:v>94218</c:v>
                </c:pt>
                <c:pt idx="681">
                  <c:v>75118</c:v>
                </c:pt>
                <c:pt idx="682">
                  <c:v>91682</c:v>
                </c:pt>
                <c:pt idx="683">
                  <c:v>45695</c:v>
                </c:pt>
                <c:pt idx="684">
                  <c:v>87461</c:v>
                </c:pt>
                <c:pt idx="685">
                  <c:v>82519</c:v>
                </c:pt>
                <c:pt idx="686">
                  <c:v>70721</c:v>
                </c:pt>
                <c:pt idx="687">
                  <c:v>45136</c:v>
                </c:pt>
                <c:pt idx="688">
                  <c:v>102944</c:v>
                </c:pt>
                <c:pt idx="689">
                  <c:v>131101</c:v>
                </c:pt>
                <c:pt idx="690">
                  <c:v>40676</c:v>
                </c:pt>
                <c:pt idx="691">
                  <c:v>116124</c:v>
                </c:pt>
                <c:pt idx="692">
                  <c:v>82613</c:v>
                </c:pt>
                <c:pt idx="693">
                  <c:v>104517</c:v>
                </c:pt>
                <c:pt idx="694">
                  <c:v>79721</c:v>
                </c:pt>
                <c:pt idx="695">
                  <c:v>103766</c:v>
                </c:pt>
                <c:pt idx="696">
                  <c:v>111754</c:v>
                </c:pt>
                <c:pt idx="697">
                  <c:v>32512</c:v>
                </c:pt>
                <c:pt idx="698">
                  <c:v>104337</c:v>
                </c:pt>
                <c:pt idx="699">
                  <c:v>56125</c:v>
                </c:pt>
                <c:pt idx="700">
                  <c:v>124416</c:v>
                </c:pt>
                <c:pt idx="701">
                  <c:v>51355</c:v>
                </c:pt>
                <c:pt idx="702">
                  <c:v>108356</c:v>
                </c:pt>
                <c:pt idx="703">
                  <c:v>114972</c:v>
                </c:pt>
                <c:pt idx="704">
                  <c:v>136141</c:v>
                </c:pt>
                <c:pt idx="705">
                  <c:v>130474</c:v>
                </c:pt>
                <c:pt idx="706">
                  <c:v>110174</c:v>
                </c:pt>
                <c:pt idx="707">
                  <c:v>119075</c:v>
                </c:pt>
                <c:pt idx="708">
                  <c:v>70967</c:v>
                </c:pt>
                <c:pt idx="709">
                  <c:v>98213</c:v>
                </c:pt>
                <c:pt idx="710">
                  <c:v>105731</c:v>
                </c:pt>
                <c:pt idx="711">
                  <c:v>69782</c:v>
                </c:pt>
                <c:pt idx="712">
                  <c:v>104435</c:v>
                </c:pt>
                <c:pt idx="713">
                  <c:v>104781</c:v>
                </c:pt>
                <c:pt idx="714">
                  <c:v>96845</c:v>
                </c:pt>
                <c:pt idx="715">
                  <c:v>58668</c:v>
                </c:pt>
                <c:pt idx="716">
                  <c:v>51471</c:v>
                </c:pt>
                <c:pt idx="717">
                  <c:v>57932</c:v>
                </c:pt>
                <c:pt idx="718">
                  <c:v>93861</c:v>
                </c:pt>
                <c:pt idx="719">
                  <c:v>54256</c:v>
                </c:pt>
                <c:pt idx="720">
                  <c:v>41917</c:v>
                </c:pt>
                <c:pt idx="721">
                  <c:v>83912</c:v>
                </c:pt>
                <c:pt idx="722">
                  <c:v>63444</c:v>
                </c:pt>
                <c:pt idx="723">
                  <c:v>145746</c:v>
                </c:pt>
                <c:pt idx="724">
                  <c:v>60489</c:v>
                </c:pt>
                <c:pt idx="725">
                  <c:v>67704</c:v>
                </c:pt>
                <c:pt idx="726">
                  <c:v>89855</c:v>
                </c:pt>
                <c:pt idx="727">
                  <c:v>56466</c:v>
                </c:pt>
                <c:pt idx="728">
                  <c:v>108833</c:v>
                </c:pt>
                <c:pt idx="729">
                  <c:v>129687</c:v>
                </c:pt>
                <c:pt idx="730">
                  <c:v>97756</c:v>
                </c:pt>
                <c:pt idx="731">
                  <c:v>123481</c:v>
                </c:pt>
                <c:pt idx="732">
                  <c:v>78001</c:v>
                </c:pt>
                <c:pt idx="733">
                  <c:v>58486</c:v>
                </c:pt>
                <c:pt idx="734">
                  <c:v>81244</c:v>
                </c:pt>
                <c:pt idx="735">
                  <c:v>76811</c:v>
                </c:pt>
                <c:pt idx="736">
                  <c:v>90561</c:v>
                </c:pt>
                <c:pt idx="737">
                  <c:v>61376</c:v>
                </c:pt>
                <c:pt idx="738">
                  <c:v>128481</c:v>
                </c:pt>
                <c:pt idx="739">
                  <c:v>76606</c:v>
                </c:pt>
                <c:pt idx="740">
                  <c:v>127950</c:v>
                </c:pt>
                <c:pt idx="741">
                  <c:v>51646</c:v>
                </c:pt>
                <c:pt idx="742">
                  <c:v>60763</c:v>
                </c:pt>
                <c:pt idx="743">
                  <c:v>41544</c:v>
                </c:pt>
                <c:pt idx="744">
                  <c:v>135440</c:v>
                </c:pt>
                <c:pt idx="745">
                  <c:v>72193</c:v>
                </c:pt>
                <c:pt idx="746">
                  <c:v>42201</c:v>
                </c:pt>
                <c:pt idx="747">
                  <c:v>51736</c:v>
                </c:pt>
                <c:pt idx="748">
                  <c:v>60808</c:v>
                </c:pt>
                <c:pt idx="749">
                  <c:v>51913</c:v>
                </c:pt>
                <c:pt idx="750">
                  <c:v>79546</c:v>
                </c:pt>
                <c:pt idx="751">
                  <c:v>125479</c:v>
                </c:pt>
                <c:pt idx="752">
                  <c:v>99342</c:v>
                </c:pt>
                <c:pt idx="753">
                  <c:v>146519</c:v>
                </c:pt>
                <c:pt idx="754">
                  <c:v>112452</c:v>
                </c:pt>
                <c:pt idx="755">
                  <c:v>148542</c:v>
                </c:pt>
                <c:pt idx="756">
                  <c:v>115569</c:v>
                </c:pt>
                <c:pt idx="757">
                  <c:v>112072</c:v>
                </c:pt>
                <c:pt idx="758">
                  <c:v>99638</c:v>
                </c:pt>
                <c:pt idx="759">
                  <c:v>48155</c:v>
                </c:pt>
                <c:pt idx="760">
                  <c:v>102050</c:v>
                </c:pt>
                <c:pt idx="761">
                  <c:v>39509</c:v>
                </c:pt>
                <c:pt idx="762">
                  <c:v>82014</c:v>
                </c:pt>
                <c:pt idx="763">
                  <c:v>33665</c:v>
                </c:pt>
                <c:pt idx="764">
                  <c:v>88312</c:v>
                </c:pt>
                <c:pt idx="765">
                  <c:v>41542</c:v>
                </c:pt>
                <c:pt idx="766">
                  <c:v>124599</c:v>
                </c:pt>
                <c:pt idx="767">
                  <c:v>121975</c:v>
                </c:pt>
                <c:pt idx="768">
                  <c:v>39931</c:v>
                </c:pt>
                <c:pt idx="769">
                  <c:v>106147</c:v>
                </c:pt>
                <c:pt idx="770">
                  <c:v>96182</c:v>
                </c:pt>
                <c:pt idx="771">
                  <c:v>64634</c:v>
                </c:pt>
                <c:pt idx="772">
                  <c:v>58367</c:v>
                </c:pt>
                <c:pt idx="773">
                  <c:v>69790</c:v>
                </c:pt>
                <c:pt idx="774">
                  <c:v>117737</c:v>
                </c:pt>
                <c:pt idx="775">
                  <c:v>75974</c:v>
                </c:pt>
                <c:pt idx="776">
                  <c:v>111261</c:v>
                </c:pt>
                <c:pt idx="777">
                  <c:v>43069</c:v>
                </c:pt>
                <c:pt idx="778">
                  <c:v>46900</c:v>
                </c:pt>
                <c:pt idx="779">
                  <c:v>110280</c:v>
                </c:pt>
                <c:pt idx="780">
                  <c:v>40478</c:v>
                </c:pt>
                <c:pt idx="781">
                  <c:v>52403</c:v>
                </c:pt>
                <c:pt idx="782">
                  <c:v>59815</c:v>
                </c:pt>
                <c:pt idx="783">
                  <c:v>143338</c:v>
                </c:pt>
                <c:pt idx="784">
                  <c:v>46610</c:v>
                </c:pt>
                <c:pt idx="785">
                  <c:v>149744</c:v>
                </c:pt>
                <c:pt idx="786">
                  <c:v>137854</c:v>
                </c:pt>
                <c:pt idx="787">
                  <c:v>108766</c:v>
                </c:pt>
                <c:pt idx="788">
                  <c:v>67979</c:v>
                </c:pt>
                <c:pt idx="789">
                  <c:v>76658</c:v>
                </c:pt>
                <c:pt idx="790">
                  <c:v>48169</c:v>
                </c:pt>
                <c:pt idx="791">
                  <c:v>146159</c:v>
                </c:pt>
                <c:pt idx="792">
                  <c:v>142450</c:v>
                </c:pt>
                <c:pt idx="793">
                  <c:v>52855</c:v>
                </c:pt>
                <c:pt idx="794">
                  <c:v>64288</c:v>
                </c:pt>
                <c:pt idx="795">
                  <c:v>58696</c:v>
                </c:pt>
                <c:pt idx="796">
                  <c:v>70099</c:v>
                </c:pt>
                <c:pt idx="797">
                  <c:v>123947</c:v>
                </c:pt>
                <c:pt idx="798">
                  <c:v>58656</c:v>
                </c:pt>
                <c:pt idx="799">
                  <c:v>115734</c:v>
                </c:pt>
                <c:pt idx="800">
                  <c:v>34901</c:v>
                </c:pt>
                <c:pt idx="801">
                  <c:v>68147</c:v>
                </c:pt>
                <c:pt idx="802">
                  <c:v>106629</c:v>
                </c:pt>
                <c:pt idx="803">
                  <c:v>68764</c:v>
                </c:pt>
                <c:pt idx="804">
                  <c:v>63123</c:v>
                </c:pt>
                <c:pt idx="805">
                  <c:v>40595</c:v>
                </c:pt>
                <c:pt idx="806">
                  <c:v>133264</c:v>
                </c:pt>
                <c:pt idx="807">
                  <c:v>122557</c:v>
                </c:pt>
                <c:pt idx="808">
                  <c:v>89618</c:v>
                </c:pt>
                <c:pt idx="809">
                  <c:v>45458</c:v>
                </c:pt>
                <c:pt idx="810">
                  <c:v>53091</c:v>
                </c:pt>
                <c:pt idx="811">
                  <c:v>45164</c:v>
                </c:pt>
                <c:pt idx="812">
                  <c:v>56429</c:v>
                </c:pt>
                <c:pt idx="813">
                  <c:v>99054</c:v>
                </c:pt>
                <c:pt idx="814">
                  <c:v>72885</c:v>
                </c:pt>
                <c:pt idx="815">
                  <c:v>74773</c:v>
                </c:pt>
                <c:pt idx="816">
                  <c:v>40471</c:v>
                </c:pt>
                <c:pt idx="817">
                  <c:v>90420</c:v>
                </c:pt>
                <c:pt idx="818">
                  <c:v>140621</c:v>
                </c:pt>
                <c:pt idx="819">
                  <c:v>45839</c:v>
                </c:pt>
                <c:pt idx="820">
                  <c:v>45733</c:v>
                </c:pt>
                <c:pt idx="821">
                  <c:v>81595</c:v>
                </c:pt>
                <c:pt idx="822">
                  <c:v>85111</c:v>
                </c:pt>
                <c:pt idx="823">
                  <c:v>127346</c:v>
                </c:pt>
                <c:pt idx="824">
                  <c:v>66376</c:v>
                </c:pt>
                <c:pt idx="825">
                  <c:v>147187</c:v>
                </c:pt>
                <c:pt idx="826">
                  <c:v>81695</c:v>
                </c:pt>
                <c:pt idx="827">
                  <c:v>69795</c:v>
                </c:pt>
                <c:pt idx="828">
                  <c:v>130300</c:v>
                </c:pt>
                <c:pt idx="829">
                  <c:v>147024</c:v>
                </c:pt>
                <c:pt idx="830">
                  <c:v>92156</c:v>
                </c:pt>
                <c:pt idx="831">
                  <c:v>147572</c:v>
                </c:pt>
                <c:pt idx="832">
                  <c:v>125501</c:v>
                </c:pt>
                <c:pt idx="833">
                  <c:v>31451</c:v>
                </c:pt>
                <c:pt idx="834">
                  <c:v>49020</c:v>
                </c:pt>
                <c:pt idx="835">
                  <c:v>57745</c:v>
                </c:pt>
                <c:pt idx="836">
                  <c:v>78296</c:v>
                </c:pt>
                <c:pt idx="837">
                  <c:v>76995</c:v>
                </c:pt>
                <c:pt idx="838">
                  <c:v>62971</c:v>
                </c:pt>
                <c:pt idx="839">
                  <c:v>57260</c:v>
                </c:pt>
                <c:pt idx="840">
                  <c:v>114587</c:v>
                </c:pt>
                <c:pt idx="841">
                  <c:v>148694</c:v>
                </c:pt>
                <c:pt idx="842">
                  <c:v>54571</c:v>
                </c:pt>
                <c:pt idx="843">
                  <c:v>130938</c:v>
                </c:pt>
                <c:pt idx="844">
                  <c:v>30751</c:v>
                </c:pt>
                <c:pt idx="845">
                  <c:v>56110</c:v>
                </c:pt>
                <c:pt idx="846">
                  <c:v>105658</c:v>
                </c:pt>
                <c:pt idx="847">
                  <c:v>100053</c:v>
                </c:pt>
                <c:pt idx="848">
                  <c:v>96260</c:v>
                </c:pt>
                <c:pt idx="849">
                  <c:v>100832</c:v>
                </c:pt>
                <c:pt idx="850">
                  <c:v>95033</c:v>
                </c:pt>
                <c:pt idx="851">
                  <c:v>46563</c:v>
                </c:pt>
                <c:pt idx="852">
                  <c:v>137836</c:v>
                </c:pt>
                <c:pt idx="853">
                  <c:v>43308</c:v>
                </c:pt>
                <c:pt idx="854">
                  <c:v>41730</c:v>
                </c:pt>
                <c:pt idx="855">
                  <c:v>58144</c:v>
                </c:pt>
                <c:pt idx="856">
                  <c:v>103063</c:v>
                </c:pt>
                <c:pt idx="857">
                  <c:v>31458</c:v>
                </c:pt>
                <c:pt idx="858">
                  <c:v>149256</c:v>
                </c:pt>
                <c:pt idx="859">
                  <c:v>71227</c:v>
                </c:pt>
                <c:pt idx="860">
                  <c:v>144275</c:v>
                </c:pt>
                <c:pt idx="861">
                  <c:v>38271</c:v>
                </c:pt>
                <c:pt idx="862">
                  <c:v>96762</c:v>
                </c:pt>
                <c:pt idx="863">
                  <c:v>97989</c:v>
                </c:pt>
                <c:pt idx="864">
                  <c:v>122669</c:v>
                </c:pt>
                <c:pt idx="865">
                  <c:v>114408</c:v>
                </c:pt>
                <c:pt idx="866">
                  <c:v>113174</c:v>
                </c:pt>
                <c:pt idx="867">
                  <c:v>42499</c:v>
                </c:pt>
                <c:pt idx="868">
                  <c:v>43545</c:v>
                </c:pt>
                <c:pt idx="869">
                  <c:v>76416</c:v>
                </c:pt>
                <c:pt idx="870">
                  <c:v>136320</c:v>
                </c:pt>
                <c:pt idx="871">
                  <c:v>119083</c:v>
                </c:pt>
                <c:pt idx="872">
                  <c:v>50944</c:v>
                </c:pt>
                <c:pt idx="873">
                  <c:v>111050</c:v>
                </c:pt>
                <c:pt idx="874">
                  <c:v>88366</c:v>
                </c:pt>
                <c:pt idx="875">
                  <c:v>45432</c:v>
                </c:pt>
                <c:pt idx="876">
                  <c:v>121358</c:v>
                </c:pt>
                <c:pt idx="877">
                  <c:v>57615</c:v>
                </c:pt>
                <c:pt idx="878">
                  <c:v>55154</c:v>
                </c:pt>
                <c:pt idx="879">
                  <c:v>140081</c:v>
                </c:pt>
                <c:pt idx="880">
                  <c:v>117203</c:v>
                </c:pt>
                <c:pt idx="881">
                  <c:v>64799</c:v>
                </c:pt>
                <c:pt idx="882">
                  <c:v>113695</c:v>
                </c:pt>
                <c:pt idx="883">
                  <c:v>78852</c:v>
                </c:pt>
                <c:pt idx="884">
                  <c:v>126573</c:v>
                </c:pt>
                <c:pt idx="885">
                  <c:v>36140</c:v>
                </c:pt>
                <c:pt idx="886">
                  <c:v>50680</c:v>
                </c:pt>
                <c:pt idx="887">
                  <c:v>73464</c:v>
                </c:pt>
                <c:pt idx="888">
                  <c:v>75392</c:v>
                </c:pt>
                <c:pt idx="889">
                  <c:v>61290</c:v>
                </c:pt>
                <c:pt idx="890">
                  <c:v>96082</c:v>
                </c:pt>
                <c:pt idx="891">
                  <c:v>85476</c:v>
                </c:pt>
                <c:pt idx="892">
                  <c:v>112198</c:v>
                </c:pt>
                <c:pt idx="893">
                  <c:v>139387</c:v>
                </c:pt>
                <c:pt idx="894">
                  <c:v>79992</c:v>
                </c:pt>
                <c:pt idx="895">
                  <c:v>87807</c:v>
                </c:pt>
                <c:pt idx="896">
                  <c:v>99427</c:v>
                </c:pt>
                <c:pt idx="897">
                  <c:v>59496</c:v>
                </c:pt>
                <c:pt idx="898">
                  <c:v>142407</c:v>
                </c:pt>
                <c:pt idx="899">
                  <c:v>78309</c:v>
                </c:pt>
                <c:pt idx="900">
                  <c:v>131607</c:v>
                </c:pt>
                <c:pt idx="901">
                  <c:v>100290</c:v>
                </c:pt>
                <c:pt idx="902">
                  <c:v>120561</c:v>
                </c:pt>
                <c:pt idx="903">
                  <c:v>78097</c:v>
                </c:pt>
                <c:pt idx="904">
                  <c:v>51990</c:v>
                </c:pt>
                <c:pt idx="905">
                  <c:v>117782</c:v>
                </c:pt>
                <c:pt idx="906">
                  <c:v>58930</c:v>
                </c:pt>
                <c:pt idx="907">
                  <c:v>81766</c:v>
                </c:pt>
                <c:pt idx="908">
                  <c:v>113240</c:v>
                </c:pt>
                <c:pt idx="909">
                  <c:v>70050</c:v>
                </c:pt>
                <c:pt idx="910">
                  <c:v>83445</c:v>
                </c:pt>
                <c:pt idx="911">
                  <c:v>121498</c:v>
                </c:pt>
                <c:pt idx="912">
                  <c:v>82034</c:v>
                </c:pt>
                <c:pt idx="913">
                  <c:v>146546</c:v>
                </c:pt>
                <c:pt idx="914">
                  <c:v>96066</c:v>
                </c:pt>
                <c:pt idx="915">
                  <c:v>41748</c:v>
                </c:pt>
                <c:pt idx="916">
                  <c:v>134743</c:v>
                </c:pt>
                <c:pt idx="917">
                  <c:v>56381</c:v>
                </c:pt>
                <c:pt idx="918">
                  <c:v>118116</c:v>
                </c:pt>
                <c:pt idx="919">
                  <c:v>104033</c:v>
                </c:pt>
                <c:pt idx="920">
                  <c:v>61826</c:v>
                </c:pt>
                <c:pt idx="921">
                  <c:v>121652</c:v>
                </c:pt>
                <c:pt idx="922">
                  <c:v>57845</c:v>
                </c:pt>
                <c:pt idx="923">
                  <c:v>78858</c:v>
                </c:pt>
                <c:pt idx="924">
                  <c:v>111697</c:v>
                </c:pt>
                <c:pt idx="925">
                  <c:v>71688</c:v>
                </c:pt>
                <c:pt idx="926">
                  <c:v>42378</c:v>
                </c:pt>
                <c:pt idx="927">
                  <c:v>65576</c:v>
                </c:pt>
                <c:pt idx="928">
                  <c:v>53805</c:v>
                </c:pt>
                <c:pt idx="929">
                  <c:v>30074</c:v>
                </c:pt>
                <c:pt idx="930">
                  <c:v>104036</c:v>
                </c:pt>
                <c:pt idx="931">
                  <c:v>101759</c:v>
                </c:pt>
                <c:pt idx="932">
                  <c:v>127542</c:v>
                </c:pt>
                <c:pt idx="933">
                  <c:v>74331</c:v>
                </c:pt>
                <c:pt idx="934">
                  <c:v>147962</c:v>
                </c:pt>
                <c:pt idx="935">
                  <c:v>89856</c:v>
                </c:pt>
                <c:pt idx="936">
                  <c:v>97565</c:v>
                </c:pt>
                <c:pt idx="937">
                  <c:v>90871</c:v>
                </c:pt>
                <c:pt idx="938">
                  <c:v>49336</c:v>
                </c:pt>
                <c:pt idx="939">
                  <c:v>133291</c:v>
                </c:pt>
                <c:pt idx="940">
                  <c:v>118402</c:v>
                </c:pt>
                <c:pt idx="941">
                  <c:v>130546</c:v>
                </c:pt>
                <c:pt idx="942">
                  <c:v>84460</c:v>
                </c:pt>
                <c:pt idx="943">
                  <c:v>46106</c:v>
                </c:pt>
                <c:pt idx="944">
                  <c:v>93800</c:v>
                </c:pt>
                <c:pt idx="945">
                  <c:v>105647</c:v>
                </c:pt>
                <c:pt idx="946">
                  <c:v>138529</c:v>
                </c:pt>
                <c:pt idx="947">
                  <c:v>40858</c:v>
                </c:pt>
                <c:pt idx="948">
                  <c:v>35529</c:v>
                </c:pt>
                <c:pt idx="949">
                  <c:v>113254</c:v>
                </c:pt>
                <c:pt idx="950">
                  <c:v>120616</c:v>
                </c:pt>
                <c:pt idx="951">
                  <c:v>65486</c:v>
                </c:pt>
                <c:pt idx="952">
                  <c:v>67753</c:v>
                </c:pt>
                <c:pt idx="953">
                  <c:v>90232</c:v>
                </c:pt>
                <c:pt idx="954">
                  <c:v>117704</c:v>
                </c:pt>
                <c:pt idx="955">
                  <c:v>144577</c:v>
                </c:pt>
                <c:pt idx="956">
                  <c:v>74474</c:v>
                </c:pt>
                <c:pt idx="957">
                  <c:v>126893</c:v>
                </c:pt>
                <c:pt idx="958">
                  <c:v>123168</c:v>
                </c:pt>
                <c:pt idx="959">
                  <c:v>37310</c:v>
                </c:pt>
                <c:pt idx="960">
                  <c:v>148501</c:v>
                </c:pt>
                <c:pt idx="961">
                  <c:v>53219</c:v>
                </c:pt>
                <c:pt idx="962">
                  <c:v>116106</c:v>
                </c:pt>
                <c:pt idx="963">
                  <c:v>97829</c:v>
                </c:pt>
                <c:pt idx="964">
                  <c:v>72125</c:v>
                </c:pt>
                <c:pt idx="965">
                  <c:v>93266</c:v>
                </c:pt>
                <c:pt idx="966">
                  <c:v>92888</c:v>
                </c:pt>
                <c:pt idx="967">
                  <c:v>89035</c:v>
                </c:pt>
                <c:pt idx="968">
                  <c:v>34122</c:v>
                </c:pt>
                <c:pt idx="969">
                  <c:v>135394</c:v>
                </c:pt>
                <c:pt idx="970">
                  <c:v>48576</c:v>
                </c:pt>
                <c:pt idx="971">
                  <c:v>40790</c:v>
                </c:pt>
                <c:pt idx="972">
                  <c:v>112770</c:v>
                </c:pt>
                <c:pt idx="973">
                  <c:v>141586</c:v>
                </c:pt>
                <c:pt idx="974">
                  <c:v>114281</c:v>
                </c:pt>
                <c:pt idx="975">
                  <c:v>58805</c:v>
                </c:pt>
                <c:pt idx="976">
                  <c:v>102972</c:v>
                </c:pt>
                <c:pt idx="977">
                  <c:v>128439</c:v>
                </c:pt>
                <c:pt idx="978">
                  <c:v>118123</c:v>
                </c:pt>
                <c:pt idx="979">
                  <c:v>74273</c:v>
                </c:pt>
                <c:pt idx="980">
                  <c:v>119226</c:v>
                </c:pt>
                <c:pt idx="981">
                  <c:v>108563</c:v>
                </c:pt>
                <c:pt idx="982">
                  <c:v>130875</c:v>
                </c:pt>
                <c:pt idx="983">
                  <c:v>116123</c:v>
                </c:pt>
                <c:pt idx="984">
                  <c:v>79842</c:v>
                </c:pt>
                <c:pt idx="985">
                  <c:v>78023</c:v>
                </c:pt>
                <c:pt idx="986">
                  <c:v>52575</c:v>
                </c:pt>
                <c:pt idx="987">
                  <c:v>97660</c:v>
                </c:pt>
                <c:pt idx="988">
                  <c:v>85487</c:v>
                </c:pt>
                <c:pt idx="989">
                  <c:v>96916</c:v>
                </c:pt>
                <c:pt idx="990">
                  <c:v>86142</c:v>
                </c:pt>
                <c:pt idx="991">
                  <c:v>126398</c:v>
                </c:pt>
                <c:pt idx="992">
                  <c:v>127546</c:v>
                </c:pt>
                <c:pt idx="993">
                  <c:v>59695</c:v>
                </c:pt>
                <c:pt idx="994">
                  <c:v>41126</c:v>
                </c:pt>
                <c:pt idx="995">
                  <c:v>50349</c:v>
                </c:pt>
                <c:pt idx="996">
                  <c:v>67361</c:v>
                </c:pt>
                <c:pt idx="997">
                  <c:v>91381</c:v>
                </c:pt>
                <c:pt idx="998">
                  <c:v>74055</c:v>
                </c:pt>
                <c:pt idx="999">
                  <c:v>135047</c:v>
                </c:pt>
              </c:numCache>
            </c:numRef>
          </c:xVal>
          <c:yVal>
            <c:numRef>
              <c:f>'Income_vs_Last Purchase Amount'!$J$1:$J$1001</c:f>
              <c:numCache>
                <c:formatCode>General</c:formatCode>
                <c:ptCount val="1001"/>
                <c:pt idx="0">
                  <c:v>0</c:v>
                </c:pt>
                <c:pt idx="1">
                  <c:v>915.89</c:v>
                </c:pt>
                <c:pt idx="2">
                  <c:v>454.83</c:v>
                </c:pt>
                <c:pt idx="3">
                  <c:v>799.31</c:v>
                </c:pt>
                <c:pt idx="4">
                  <c:v>98.86</c:v>
                </c:pt>
                <c:pt idx="5">
                  <c:v>713.33</c:v>
                </c:pt>
                <c:pt idx="6">
                  <c:v>165.18</c:v>
                </c:pt>
                <c:pt idx="7">
                  <c:v>753.6</c:v>
                </c:pt>
                <c:pt idx="8">
                  <c:v>686.05</c:v>
                </c:pt>
                <c:pt idx="9">
                  <c:v>755.92</c:v>
                </c:pt>
                <c:pt idx="10">
                  <c:v>633.63</c:v>
                </c:pt>
                <c:pt idx="11">
                  <c:v>451.82</c:v>
                </c:pt>
                <c:pt idx="12">
                  <c:v>755.67</c:v>
                </c:pt>
                <c:pt idx="13">
                  <c:v>553.35</c:v>
                </c:pt>
                <c:pt idx="14">
                  <c:v>18.489999999999998</c:v>
                </c:pt>
                <c:pt idx="15">
                  <c:v>82.88</c:v>
                </c:pt>
                <c:pt idx="16">
                  <c:v>624.36</c:v>
                </c:pt>
                <c:pt idx="17">
                  <c:v>410.05</c:v>
                </c:pt>
                <c:pt idx="18">
                  <c:v>436.43</c:v>
                </c:pt>
                <c:pt idx="19">
                  <c:v>956.03</c:v>
                </c:pt>
                <c:pt idx="20">
                  <c:v>345.62</c:v>
                </c:pt>
                <c:pt idx="21">
                  <c:v>21.43</c:v>
                </c:pt>
                <c:pt idx="22">
                  <c:v>98.83</c:v>
                </c:pt>
                <c:pt idx="23">
                  <c:v>937.85</c:v>
                </c:pt>
                <c:pt idx="24">
                  <c:v>265.17</c:v>
                </c:pt>
                <c:pt idx="25">
                  <c:v>239.72</c:v>
                </c:pt>
                <c:pt idx="26">
                  <c:v>533.17999999999995</c:v>
                </c:pt>
                <c:pt idx="27">
                  <c:v>617.74</c:v>
                </c:pt>
                <c:pt idx="28">
                  <c:v>329.9</c:v>
                </c:pt>
                <c:pt idx="29">
                  <c:v>362.41</c:v>
                </c:pt>
                <c:pt idx="30">
                  <c:v>789.92</c:v>
                </c:pt>
                <c:pt idx="31">
                  <c:v>817.69</c:v>
                </c:pt>
                <c:pt idx="32">
                  <c:v>371.62</c:v>
                </c:pt>
                <c:pt idx="33">
                  <c:v>994.1</c:v>
                </c:pt>
                <c:pt idx="34">
                  <c:v>693.02</c:v>
                </c:pt>
                <c:pt idx="35">
                  <c:v>964.87</c:v>
                </c:pt>
                <c:pt idx="36">
                  <c:v>819.92</c:v>
                </c:pt>
                <c:pt idx="37">
                  <c:v>845.33</c:v>
                </c:pt>
                <c:pt idx="38">
                  <c:v>422.14</c:v>
                </c:pt>
                <c:pt idx="39">
                  <c:v>390.89</c:v>
                </c:pt>
                <c:pt idx="40">
                  <c:v>626.82000000000005</c:v>
                </c:pt>
                <c:pt idx="41">
                  <c:v>486.5</c:v>
                </c:pt>
                <c:pt idx="42">
                  <c:v>930.91</c:v>
                </c:pt>
                <c:pt idx="43">
                  <c:v>237.34</c:v>
                </c:pt>
                <c:pt idx="44">
                  <c:v>415.19</c:v>
                </c:pt>
                <c:pt idx="45">
                  <c:v>131.84</c:v>
                </c:pt>
                <c:pt idx="46">
                  <c:v>490.62</c:v>
                </c:pt>
                <c:pt idx="47">
                  <c:v>741.41</c:v>
                </c:pt>
                <c:pt idx="48">
                  <c:v>232.42</c:v>
                </c:pt>
                <c:pt idx="49">
                  <c:v>94.79</c:v>
                </c:pt>
                <c:pt idx="50">
                  <c:v>954.46</c:v>
                </c:pt>
                <c:pt idx="51">
                  <c:v>596.98</c:v>
                </c:pt>
                <c:pt idx="52">
                  <c:v>117.52</c:v>
                </c:pt>
                <c:pt idx="53">
                  <c:v>625.33000000000004</c:v>
                </c:pt>
                <c:pt idx="54">
                  <c:v>428.33</c:v>
                </c:pt>
                <c:pt idx="55">
                  <c:v>683.99</c:v>
                </c:pt>
                <c:pt idx="56">
                  <c:v>381.04</c:v>
                </c:pt>
                <c:pt idx="57">
                  <c:v>661.7</c:v>
                </c:pt>
                <c:pt idx="58">
                  <c:v>34.1</c:v>
                </c:pt>
                <c:pt idx="59">
                  <c:v>102.23</c:v>
                </c:pt>
                <c:pt idx="60">
                  <c:v>618.20000000000005</c:v>
                </c:pt>
                <c:pt idx="61">
                  <c:v>910.59</c:v>
                </c:pt>
                <c:pt idx="62">
                  <c:v>961.55</c:v>
                </c:pt>
                <c:pt idx="63">
                  <c:v>866.3</c:v>
                </c:pt>
                <c:pt idx="64">
                  <c:v>223.73</c:v>
                </c:pt>
                <c:pt idx="65">
                  <c:v>997.15</c:v>
                </c:pt>
                <c:pt idx="66">
                  <c:v>678.41</c:v>
                </c:pt>
                <c:pt idx="67">
                  <c:v>42.19</c:v>
                </c:pt>
                <c:pt idx="68">
                  <c:v>424.07</c:v>
                </c:pt>
                <c:pt idx="69">
                  <c:v>765.53</c:v>
                </c:pt>
                <c:pt idx="70">
                  <c:v>78.52</c:v>
                </c:pt>
                <c:pt idx="71">
                  <c:v>140.52000000000001</c:v>
                </c:pt>
                <c:pt idx="72">
                  <c:v>666.62</c:v>
                </c:pt>
                <c:pt idx="73">
                  <c:v>36.76</c:v>
                </c:pt>
                <c:pt idx="74">
                  <c:v>302.81</c:v>
                </c:pt>
                <c:pt idx="75">
                  <c:v>785.53</c:v>
                </c:pt>
                <c:pt idx="76">
                  <c:v>129.35</c:v>
                </c:pt>
                <c:pt idx="77">
                  <c:v>750.58</c:v>
                </c:pt>
                <c:pt idx="78">
                  <c:v>950.56</c:v>
                </c:pt>
                <c:pt idx="79">
                  <c:v>91.94</c:v>
                </c:pt>
                <c:pt idx="80">
                  <c:v>128.19999999999999</c:v>
                </c:pt>
                <c:pt idx="81">
                  <c:v>355.34</c:v>
                </c:pt>
                <c:pt idx="82">
                  <c:v>189.28</c:v>
                </c:pt>
                <c:pt idx="83">
                  <c:v>103.33</c:v>
                </c:pt>
                <c:pt idx="84">
                  <c:v>13.16</c:v>
                </c:pt>
                <c:pt idx="85">
                  <c:v>230.58</c:v>
                </c:pt>
                <c:pt idx="86">
                  <c:v>69.78</c:v>
                </c:pt>
                <c:pt idx="87">
                  <c:v>668.91</c:v>
                </c:pt>
                <c:pt idx="88">
                  <c:v>138.51</c:v>
                </c:pt>
                <c:pt idx="89">
                  <c:v>518.70000000000005</c:v>
                </c:pt>
                <c:pt idx="90">
                  <c:v>625.28</c:v>
                </c:pt>
                <c:pt idx="91">
                  <c:v>111.27</c:v>
                </c:pt>
                <c:pt idx="92">
                  <c:v>940.93</c:v>
                </c:pt>
                <c:pt idx="93">
                  <c:v>23.73</c:v>
                </c:pt>
                <c:pt idx="94">
                  <c:v>825.01</c:v>
                </c:pt>
                <c:pt idx="95">
                  <c:v>947.73</c:v>
                </c:pt>
                <c:pt idx="96">
                  <c:v>559.73</c:v>
                </c:pt>
                <c:pt idx="97">
                  <c:v>840.45</c:v>
                </c:pt>
                <c:pt idx="98">
                  <c:v>197.54</c:v>
                </c:pt>
                <c:pt idx="99">
                  <c:v>464.42</c:v>
                </c:pt>
                <c:pt idx="100">
                  <c:v>223.64</c:v>
                </c:pt>
                <c:pt idx="101">
                  <c:v>886.3</c:v>
                </c:pt>
                <c:pt idx="102">
                  <c:v>223.98</c:v>
                </c:pt>
                <c:pt idx="103">
                  <c:v>680.92</c:v>
                </c:pt>
                <c:pt idx="104">
                  <c:v>154.06</c:v>
                </c:pt>
                <c:pt idx="105">
                  <c:v>862.12</c:v>
                </c:pt>
                <c:pt idx="106">
                  <c:v>617.64</c:v>
                </c:pt>
                <c:pt idx="107">
                  <c:v>668.23</c:v>
                </c:pt>
                <c:pt idx="108">
                  <c:v>178.68</c:v>
                </c:pt>
                <c:pt idx="109">
                  <c:v>351.64</c:v>
                </c:pt>
                <c:pt idx="110">
                  <c:v>984.6</c:v>
                </c:pt>
                <c:pt idx="111">
                  <c:v>432.65</c:v>
                </c:pt>
                <c:pt idx="112">
                  <c:v>694.59</c:v>
                </c:pt>
                <c:pt idx="113">
                  <c:v>238.79</c:v>
                </c:pt>
                <c:pt idx="114">
                  <c:v>154.66999999999999</c:v>
                </c:pt>
                <c:pt idx="115">
                  <c:v>491.64</c:v>
                </c:pt>
                <c:pt idx="116">
                  <c:v>979.26</c:v>
                </c:pt>
                <c:pt idx="117">
                  <c:v>27.4</c:v>
                </c:pt>
                <c:pt idx="118">
                  <c:v>83.38</c:v>
                </c:pt>
                <c:pt idx="119">
                  <c:v>97.65</c:v>
                </c:pt>
                <c:pt idx="120">
                  <c:v>363.86</c:v>
                </c:pt>
                <c:pt idx="121">
                  <c:v>174.43</c:v>
                </c:pt>
                <c:pt idx="122">
                  <c:v>734.48</c:v>
                </c:pt>
                <c:pt idx="123">
                  <c:v>495.49</c:v>
                </c:pt>
                <c:pt idx="124">
                  <c:v>616.66</c:v>
                </c:pt>
                <c:pt idx="125">
                  <c:v>777.44</c:v>
                </c:pt>
                <c:pt idx="126">
                  <c:v>720.47</c:v>
                </c:pt>
                <c:pt idx="127">
                  <c:v>654.04999999999995</c:v>
                </c:pt>
                <c:pt idx="128">
                  <c:v>269.2</c:v>
                </c:pt>
                <c:pt idx="129">
                  <c:v>800.78</c:v>
                </c:pt>
                <c:pt idx="130">
                  <c:v>40.32</c:v>
                </c:pt>
                <c:pt idx="131">
                  <c:v>984.15</c:v>
                </c:pt>
                <c:pt idx="132">
                  <c:v>604.53</c:v>
                </c:pt>
                <c:pt idx="133">
                  <c:v>177.5</c:v>
                </c:pt>
                <c:pt idx="134">
                  <c:v>808.16</c:v>
                </c:pt>
                <c:pt idx="135">
                  <c:v>983.3</c:v>
                </c:pt>
                <c:pt idx="136">
                  <c:v>819.14</c:v>
                </c:pt>
                <c:pt idx="137">
                  <c:v>687.32</c:v>
                </c:pt>
                <c:pt idx="138">
                  <c:v>570.08000000000004</c:v>
                </c:pt>
                <c:pt idx="139">
                  <c:v>274.88</c:v>
                </c:pt>
                <c:pt idx="140">
                  <c:v>934.98</c:v>
                </c:pt>
                <c:pt idx="141">
                  <c:v>469.36</c:v>
                </c:pt>
                <c:pt idx="142">
                  <c:v>737.44</c:v>
                </c:pt>
                <c:pt idx="143">
                  <c:v>594.96</c:v>
                </c:pt>
                <c:pt idx="144">
                  <c:v>683.02</c:v>
                </c:pt>
                <c:pt idx="145">
                  <c:v>77.45</c:v>
                </c:pt>
                <c:pt idx="146">
                  <c:v>535.1</c:v>
                </c:pt>
                <c:pt idx="147">
                  <c:v>355.45</c:v>
                </c:pt>
                <c:pt idx="148">
                  <c:v>99.63</c:v>
                </c:pt>
                <c:pt idx="149">
                  <c:v>438.97</c:v>
                </c:pt>
                <c:pt idx="150">
                  <c:v>746.74</c:v>
                </c:pt>
                <c:pt idx="151">
                  <c:v>413.27</c:v>
                </c:pt>
                <c:pt idx="152">
                  <c:v>209.75</c:v>
                </c:pt>
                <c:pt idx="153">
                  <c:v>724.88</c:v>
                </c:pt>
                <c:pt idx="154">
                  <c:v>951.71</c:v>
                </c:pt>
                <c:pt idx="155">
                  <c:v>844.08</c:v>
                </c:pt>
                <c:pt idx="156">
                  <c:v>59.84</c:v>
                </c:pt>
                <c:pt idx="157">
                  <c:v>756.32</c:v>
                </c:pt>
                <c:pt idx="158">
                  <c:v>415.44</c:v>
                </c:pt>
                <c:pt idx="159">
                  <c:v>405.05</c:v>
                </c:pt>
                <c:pt idx="160">
                  <c:v>914.97</c:v>
                </c:pt>
                <c:pt idx="161">
                  <c:v>70.56</c:v>
                </c:pt>
                <c:pt idx="162">
                  <c:v>378.4</c:v>
                </c:pt>
                <c:pt idx="163">
                  <c:v>179.25</c:v>
                </c:pt>
                <c:pt idx="164">
                  <c:v>228.88</c:v>
                </c:pt>
                <c:pt idx="165">
                  <c:v>843.15</c:v>
                </c:pt>
                <c:pt idx="166">
                  <c:v>286.79000000000002</c:v>
                </c:pt>
                <c:pt idx="167">
                  <c:v>971.09</c:v>
                </c:pt>
                <c:pt idx="168">
                  <c:v>324.91000000000003</c:v>
                </c:pt>
                <c:pt idx="169">
                  <c:v>935.64</c:v>
                </c:pt>
                <c:pt idx="170">
                  <c:v>631.28</c:v>
                </c:pt>
                <c:pt idx="171">
                  <c:v>101.35</c:v>
                </c:pt>
                <c:pt idx="172">
                  <c:v>82.16</c:v>
                </c:pt>
                <c:pt idx="173">
                  <c:v>844.22</c:v>
                </c:pt>
                <c:pt idx="174">
                  <c:v>463.07</c:v>
                </c:pt>
                <c:pt idx="175">
                  <c:v>139.38999999999999</c:v>
                </c:pt>
                <c:pt idx="176">
                  <c:v>684.43</c:v>
                </c:pt>
                <c:pt idx="177">
                  <c:v>912.15</c:v>
                </c:pt>
                <c:pt idx="178">
                  <c:v>247.96</c:v>
                </c:pt>
                <c:pt idx="179">
                  <c:v>665.25</c:v>
                </c:pt>
                <c:pt idx="180">
                  <c:v>210.43</c:v>
                </c:pt>
                <c:pt idx="181">
                  <c:v>13.69</c:v>
                </c:pt>
                <c:pt idx="182">
                  <c:v>173.81</c:v>
                </c:pt>
                <c:pt idx="183">
                  <c:v>906.07</c:v>
                </c:pt>
                <c:pt idx="184">
                  <c:v>649.61</c:v>
                </c:pt>
                <c:pt idx="185">
                  <c:v>917.5</c:v>
                </c:pt>
                <c:pt idx="186">
                  <c:v>422.32</c:v>
                </c:pt>
                <c:pt idx="187">
                  <c:v>334.95</c:v>
                </c:pt>
                <c:pt idx="188">
                  <c:v>275.70999999999998</c:v>
                </c:pt>
                <c:pt idx="189">
                  <c:v>813.37</c:v>
                </c:pt>
                <c:pt idx="190">
                  <c:v>641.53</c:v>
                </c:pt>
                <c:pt idx="191">
                  <c:v>406.32</c:v>
                </c:pt>
                <c:pt idx="192">
                  <c:v>34.5</c:v>
                </c:pt>
                <c:pt idx="193">
                  <c:v>36.39</c:v>
                </c:pt>
                <c:pt idx="194">
                  <c:v>573.30999999999995</c:v>
                </c:pt>
                <c:pt idx="195">
                  <c:v>482.35</c:v>
                </c:pt>
                <c:pt idx="196">
                  <c:v>863.47</c:v>
                </c:pt>
                <c:pt idx="197">
                  <c:v>338.69</c:v>
                </c:pt>
                <c:pt idx="198">
                  <c:v>563.48</c:v>
                </c:pt>
                <c:pt idx="199">
                  <c:v>149.07</c:v>
                </c:pt>
                <c:pt idx="200">
                  <c:v>274.95999999999998</c:v>
                </c:pt>
                <c:pt idx="201">
                  <c:v>459.58</c:v>
                </c:pt>
                <c:pt idx="202">
                  <c:v>13.46</c:v>
                </c:pt>
                <c:pt idx="203">
                  <c:v>45.2</c:v>
                </c:pt>
                <c:pt idx="204">
                  <c:v>26.1</c:v>
                </c:pt>
                <c:pt idx="205">
                  <c:v>204.55</c:v>
                </c:pt>
                <c:pt idx="206">
                  <c:v>250.07</c:v>
                </c:pt>
                <c:pt idx="207">
                  <c:v>902.66</c:v>
                </c:pt>
                <c:pt idx="208">
                  <c:v>789.67</c:v>
                </c:pt>
                <c:pt idx="209">
                  <c:v>964.1</c:v>
                </c:pt>
                <c:pt idx="210">
                  <c:v>505.24</c:v>
                </c:pt>
                <c:pt idx="211">
                  <c:v>575.98</c:v>
                </c:pt>
                <c:pt idx="212">
                  <c:v>971.83</c:v>
                </c:pt>
                <c:pt idx="213">
                  <c:v>316.35000000000002</c:v>
                </c:pt>
                <c:pt idx="214">
                  <c:v>235.64</c:v>
                </c:pt>
                <c:pt idx="215">
                  <c:v>614.39</c:v>
                </c:pt>
                <c:pt idx="216">
                  <c:v>674.93</c:v>
                </c:pt>
                <c:pt idx="217">
                  <c:v>864.57</c:v>
                </c:pt>
                <c:pt idx="218">
                  <c:v>846.68</c:v>
                </c:pt>
                <c:pt idx="219">
                  <c:v>531.25</c:v>
                </c:pt>
                <c:pt idx="220">
                  <c:v>739.27</c:v>
                </c:pt>
                <c:pt idx="221">
                  <c:v>191.8</c:v>
                </c:pt>
                <c:pt idx="222">
                  <c:v>863.54</c:v>
                </c:pt>
                <c:pt idx="223">
                  <c:v>952.12</c:v>
                </c:pt>
                <c:pt idx="224">
                  <c:v>71.97</c:v>
                </c:pt>
                <c:pt idx="225">
                  <c:v>136.03</c:v>
                </c:pt>
                <c:pt idx="226">
                  <c:v>651.79999999999995</c:v>
                </c:pt>
                <c:pt idx="227">
                  <c:v>593.91999999999996</c:v>
                </c:pt>
                <c:pt idx="228">
                  <c:v>630.37</c:v>
                </c:pt>
                <c:pt idx="229">
                  <c:v>16.97</c:v>
                </c:pt>
                <c:pt idx="230">
                  <c:v>75.09</c:v>
                </c:pt>
                <c:pt idx="231">
                  <c:v>734.56</c:v>
                </c:pt>
                <c:pt idx="232">
                  <c:v>61.3</c:v>
                </c:pt>
                <c:pt idx="233">
                  <c:v>124.29</c:v>
                </c:pt>
                <c:pt idx="234">
                  <c:v>224.86</c:v>
                </c:pt>
                <c:pt idx="235">
                  <c:v>990</c:v>
                </c:pt>
                <c:pt idx="236">
                  <c:v>127.14</c:v>
                </c:pt>
                <c:pt idx="237">
                  <c:v>450.72</c:v>
                </c:pt>
                <c:pt idx="238">
                  <c:v>895.58</c:v>
                </c:pt>
                <c:pt idx="239">
                  <c:v>711.04</c:v>
                </c:pt>
                <c:pt idx="240">
                  <c:v>975.1</c:v>
                </c:pt>
                <c:pt idx="241">
                  <c:v>696.59</c:v>
                </c:pt>
                <c:pt idx="242">
                  <c:v>208.79</c:v>
                </c:pt>
                <c:pt idx="243">
                  <c:v>35.01</c:v>
                </c:pt>
                <c:pt idx="244">
                  <c:v>32.380000000000003</c:v>
                </c:pt>
                <c:pt idx="245">
                  <c:v>628.42999999999995</c:v>
                </c:pt>
                <c:pt idx="246">
                  <c:v>66.599999999999994</c:v>
                </c:pt>
                <c:pt idx="247">
                  <c:v>12.36</c:v>
                </c:pt>
                <c:pt idx="248">
                  <c:v>874.32</c:v>
                </c:pt>
                <c:pt idx="249">
                  <c:v>82.77</c:v>
                </c:pt>
                <c:pt idx="250">
                  <c:v>897.57</c:v>
                </c:pt>
                <c:pt idx="251">
                  <c:v>68.31</c:v>
                </c:pt>
                <c:pt idx="252">
                  <c:v>555.41</c:v>
                </c:pt>
                <c:pt idx="253">
                  <c:v>53.26</c:v>
                </c:pt>
                <c:pt idx="254">
                  <c:v>67.52</c:v>
                </c:pt>
                <c:pt idx="255">
                  <c:v>910.52</c:v>
                </c:pt>
                <c:pt idx="256">
                  <c:v>459.87</c:v>
                </c:pt>
                <c:pt idx="257">
                  <c:v>985.94</c:v>
                </c:pt>
                <c:pt idx="258">
                  <c:v>233.08</c:v>
                </c:pt>
                <c:pt idx="259">
                  <c:v>710.84</c:v>
                </c:pt>
                <c:pt idx="260">
                  <c:v>394.49</c:v>
                </c:pt>
                <c:pt idx="261">
                  <c:v>15.04</c:v>
                </c:pt>
                <c:pt idx="262">
                  <c:v>468.37</c:v>
                </c:pt>
                <c:pt idx="263">
                  <c:v>937.86</c:v>
                </c:pt>
                <c:pt idx="264">
                  <c:v>846.85</c:v>
                </c:pt>
                <c:pt idx="265">
                  <c:v>158.15</c:v>
                </c:pt>
                <c:pt idx="266">
                  <c:v>135.19</c:v>
                </c:pt>
                <c:pt idx="267">
                  <c:v>317.98</c:v>
                </c:pt>
                <c:pt idx="268">
                  <c:v>179.82</c:v>
                </c:pt>
                <c:pt idx="269">
                  <c:v>728.58</c:v>
                </c:pt>
                <c:pt idx="270">
                  <c:v>600.48</c:v>
                </c:pt>
                <c:pt idx="271">
                  <c:v>143.75</c:v>
                </c:pt>
                <c:pt idx="272">
                  <c:v>361.81</c:v>
                </c:pt>
                <c:pt idx="273">
                  <c:v>943.37</c:v>
                </c:pt>
                <c:pt idx="274">
                  <c:v>116.8</c:v>
                </c:pt>
                <c:pt idx="275">
                  <c:v>971.93</c:v>
                </c:pt>
                <c:pt idx="276">
                  <c:v>178.21</c:v>
                </c:pt>
                <c:pt idx="277">
                  <c:v>795.49</c:v>
                </c:pt>
                <c:pt idx="278">
                  <c:v>753.49</c:v>
                </c:pt>
                <c:pt idx="279">
                  <c:v>912.58</c:v>
                </c:pt>
                <c:pt idx="280">
                  <c:v>658.54</c:v>
                </c:pt>
                <c:pt idx="281">
                  <c:v>307.42</c:v>
                </c:pt>
                <c:pt idx="282">
                  <c:v>90.96</c:v>
                </c:pt>
                <c:pt idx="283">
                  <c:v>622.86</c:v>
                </c:pt>
                <c:pt idx="284">
                  <c:v>709.33</c:v>
                </c:pt>
                <c:pt idx="285">
                  <c:v>992.17</c:v>
                </c:pt>
                <c:pt idx="286">
                  <c:v>192.17</c:v>
                </c:pt>
                <c:pt idx="287">
                  <c:v>522.78</c:v>
                </c:pt>
                <c:pt idx="288">
                  <c:v>785.52</c:v>
                </c:pt>
                <c:pt idx="289">
                  <c:v>116.19</c:v>
                </c:pt>
                <c:pt idx="290">
                  <c:v>292.92</c:v>
                </c:pt>
                <c:pt idx="291">
                  <c:v>304.08</c:v>
                </c:pt>
                <c:pt idx="292">
                  <c:v>940.14</c:v>
                </c:pt>
                <c:pt idx="293">
                  <c:v>437.1</c:v>
                </c:pt>
                <c:pt idx="294">
                  <c:v>844.88</c:v>
                </c:pt>
                <c:pt idx="295">
                  <c:v>240.93</c:v>
                </c:pt>
                <c:pt idx="296">
                  <c:v>129.08000000000001</c:v>
                </c:pt>
                <c:pt idx="297">
                  <c:v>406.6</c:v>
                </c:pt>
                <c:pt idx="298">
                  <c:v>725.67</c:v>
                </c:pt>
                <c:pt idx="299">
                  <c:v>833.69</c:v>
                </c:pt>
                <c:pt idx="300">
                  <c:v>692.74</c:v>
                </c:pt>
                <c:pt idx="301">
                  <c:v>99.19</c:v>
                </c:pt>
                <c:pt idx="302">
                  <c:v>225.4</c:v>
                </c:pt>
                <c:pt idx="303">
                  <c:v>378.47</c:v>
                </c:pt>
                <c:pt idx="304">
                  <c:v>192.66</c:v>
                </c:pt>
                <c:pt idx="305">
                  <c:v>392.36</c:v>
                </c:pt>
                <c:pt idx="306">
                  <c:v>377.31</c:v>
                </c:pt>
                <c:pt idx="307">
                  <c:v>674.7</c:v>
                </c:pt>
                <c:pt idx="308">
                  <c:v>532.51</c:v>
                </c:pt>
                <c:pt idx="309">
                  <c:v>930.73</c:v>
                </c:pt>
                <c:pt idx="310">
                  <c:v>335.15</c:v>
                </c:pt>
                <c:pt idx="311">
                  <c:v>931.51</c:v>
                </c:pt>
                <c:pt idx="312">
                  <c:v>563.64</c:v>
                </c:pt>
                <c:pt idx="313">
                  <c:v>155.13999999999999</c:v>
                </c:pt>
                <c:pt idx="314">
                  <c:v>785.29</c:v>
                </c:pt>
                <c:pt idx="315">
                  <c:v>764.05</c:v>
                </c:pt>
                <c:pt idx="316">
                  <c:v>835.06</c:v>
                </c:pt>
                <c:pt idx="317">
                  <c:v>184.8</c:v>
                </c:pt>
                <c:pt idx="318">
                  <c:v>486.21</c:v>
                </c:pt>
                <c:pt idx="319">
                  <c:v>117.01</c:v>
                </c:pt>
                <c:pt idx="320">
                  <c:v>801.59</c:v>
                </c:pt>
                <c:pt idx="321">
                  <c:v>535.28</c:v>
                </c:pt>
                <c:pt idx="322">
                  <c:v>441.11</c:v>
                </c:pt>
                <c:pt idx="323">
                  <c:v>392.35</c:v>
                </c:pt>
                <c:pt idx="324">
                  <c:v>634.91999999999996</c:v>
                </c:pt>
                <c:pt idx="325">
                  <c:v>554.58000000000004</c:v>
                </c:pt>
                <c:pt idx="326">
                  <c:v>638.96</c:v>
                </c:pt>
                <c:pt idx="327">
                  <c:v>942.97</c:v>
                </c:pt>
                <c:pt idx="328">
                  <c:v>534.25</c:v>
                </c:pt>
                <c:pt idx="329">
                  <c:v>889.83</c:v>
                </c:pt>
                <c:pt idx="330">
                  <c:v>452.32</c:v>
                </c:pt>
                <c:pt idx="331">
                  <c:v>962.9</c:v>
                </c:pt>
                <c:pt idx="332">
                  <c:v>766.26</c:v>
                </c:pt>
                <c:pt idx="333">
                  <c:v>74.08</c:v>
                </c:pt>
                <c:pt idx="334">
                  <c:v>762.06</c:v>
                </c:pt>
                <c:pt idx="335">
                  <c:v>95.17</c:v>
                </c:pt>
                <c:pt idx="336">
                  <c:v>880.45</c:v>
                </c:pt>
                <c:pt idx="337">
                  <c:v>621.73</c:v>
                </c:pt>
                <c:pt idx="338">
                  <c:v>400.23</c:v>
                </c:pt>
                <c:pt idx="339">
                  <c:v>170.56</c:v>
                </c:pt>
                <c:pt idx="340">
                  <c:v>233.64</c:v>
                </c:pt>
                <c:pt idx="341">
                  <c:v>297.17</c:v>
                </c:pt>
                <c:pt idx="342">
                  <c:v>744.56</c:v>
                </c:pt>
                <c:pt idx="343">
                  <c:v>648.79</c:v>
                </c:pt>
                <c:pt idx="344">
                  <c:v>445.3</c:v>
                </c:pt>
                <c:pt idx="345">
                  <c:v>738.01</c:v>
                </c:pt>
                <c:pt idx="346">
                  <c:v>583.95000000000005</c:v>
                </c:pt>
                <c:pt idx="347">
                  <c:v>151.74</c:v>
                </c:pt>
                <c:pt idx="348">
                  <c:v>129.9</c:v>
                </c:pt>
                <c:pt idx="349">
                  <c:v>678.13</c:v>
                </c:pt>
                <c:pt idx="350">
                  <c:v>932.68</c:v>
                </c:pt>
                <c:pt idx="351">
                  <c:v>344.39</c:v>
                </c:pt>
                <c:pt idx="352">
                  <c:v>557.04</c:v>
                </c:pt>
                <c:pt idx="353">
                  <c:v>371.93</c:v>
                </c:pt>
                <c:pt idx="354">
                  <c:v>594.91999999999996</c:v>
                </c:pt>
                <c:pt idx="355">
                  <c:v>942.03</c:v>
                </c:pt>
                <c:pt idx="356">
                  <c:v>986.97</c:v>
                </c:pt>
                <c:pt idx="357">
                  <c:v>313.64</c:v>
                </c:pt>
                <c:pt idx="358">
                  <c:v>991.93</c:v>
                </c:pt>
                <c:pt idx="359">
                  <c:v>86.85</c:v>
                </c:pt>
                <c:pt idx="360">
                  <c:v>191.72</c:v>
                </c:pt>
                <c:pt idx="361">
                  <c:v>434.97</c:v>
                </c:pt>
                <c:pt idx="362">
                  <c:v>889.94</c:v>
                </c:pt>
                <c:pt idx="363">
                  <c:v>482.2</c:v>
                </c:pt>
                <c:pt idx="364">
                  <c:v>83.27</c:v>
                </c:pt>
                <c:pt idx="365">
                  <c:v>970.06</c:v>
                </c:pt>
                <c:pt idx="366">
                  <c:v>76.95</c:v>
                </c:pt>
                <c:pt idx="367">
                  <c:v>956.73</c:v>
                </c:pt>
                <c:pt idx="368">
                  <c:v>214.93</c:v>
                </c:pt>
                <c:pt idx="369">
                  <c:v>893.44</c:v>
                </c:pt>
                <c:pt idx="370">
                  <c:v>174.41</c:v>
                </c:pt>
                <c:pt idx="371">
                  <c:v>880.23</c:v>
                </c:pt>
                <c:pt idx="372">
                  <c:v>57.57</c:v>
                </c:pt>
                <c:pt idx="373">
                  <c:v>41.55</c:v>
                </c:pt>
                <c:pt idx="374">
                  <c:v>476.25</c:v>
                </c:pt>
                <c:pt idx="375">
                  <c:v>120.8</c:v>
                </c:pt>
                <c:pt idx="376">
                  <c:v>746.18</c:v>
                </c:pt>
                <c:pt idx="377">
                  <c:v>754.24</c:v>
                </c:pt>
                <c:pt idx="378">
                  <c:v>209.86</c:v>
                </c:pt>
                <c:pt idx="379">
                  <c:v>930.36</c:v>
                </c:pt>
                <c:pt idx="380">
                  <c:v>190.55</c:v>
                </c:pt>
                <c:pt idx="381">
                  <c:v>597.15</c:v>
                </c:pt>
                <c:pt idx="382">
                  <c:v>960.08</c:v>
                </c:pt>
                <c:pt idx="383">
                  <c:v>764.28</c:v>
                </c:pt>
                <c:pt idx="384">
                  <c:v>624.80999999999995</c:v>
                </c:pt>
                <c:pt idx="385">
                  <c:v>273.33999999999997</c:v>
                </c:pt>
                <c:pt idx="386">
                  <c:v>393.6</c:v>
                </c:pt>
                <c:pt idx="387">
                  <c:v>722.18</c:v>
                </c:pt>
                <c:pt idx="388">
                  <c:v>367.97</c:v>
                </c:pt>
                <c:pt idx="389">
                  <c:v>184.45</c:v>
                </c:pt>
                <c:pt idx="390">
                  <c:v>18.600000000000001</c:v>
                </c:pt>
                <c:pt idx="391">
                  <c:v>14.52</c:v>
                </c:pt>
                <c:pt idx="392">
                  <c:v>861.66</c:v>
                </c:pt>
                <c:pt idx="393">
                  <c:v>426.62</c:v>
                </c:pt>
                <c:pt idx="394">
                  <c:v>354.46</c:v>
                </c:pt>
                <c:pt idx="395">
                  <c:v>215.95</c:v>
                </c:pt>
                <c:pt idx="396">
                  <c:v>868.18</c:v>
                </c:pt>
                <c:pt idx="397">
                  <c:v>515.99</c:v>
                </c:pt>
                <c:pt idx="398">
                  <c:v>949.32</c:v>
                </c:pt>
                <c:pt idx="399">
                  <c:v>922.01</c:v>
                </c:pt>
                <c:pt idx="400">
                  <c:v>556.23</c:v>
                </c:pt>
                <c:pt idx="401">
                  <c:v>271.52</c:v>
                </c:pt>
                <c:pt idx="402">
                  <c:v>827.44</c:v>
                </c:pt>
                <c:pt idx="403">
                  <c:v>150.58000000000001</c:v>
                </c:pt>
                <c:pt idx="404">
                  <c:v>486.25</c:v>
                </c:pt>
                <c:pt idx="405">
                  <c:v>543.30999999999995</c:v>
                </c:pt>
                <c:pt idx="406">
                  <c:v>484.85</c:v>
                </c:pt>
                <c:pt idx="407">
                  <c:v>886.08</c:v>
                </c:pt>
                <c:pt idx="408">
                  <c:v>730.8</c:v>
                </c:pt>
                <c:pt idx="409">
                  <c:v>609.57000000000005</c:v>
                </c:pt>
                <c:pt idx="410">
                  <c:v>997.24</c:v>
                </c:pt>
                <c:pt idx="411">
                  <c:v>802.44</c:v>
                </c:pt>
                <c:pt idx="412">
                  <c:v>723.93</c:v>
                </c:pt>
                <c:pt idx="413">
                  <c:v>547.85</c:v>
                </c:pt>
                <c:pt idx="414">
                  <c:v>652.26</c:v>
                </c:pt>
                <c:pt idx="415">
                  <c:v>69.81</c:v>
                </c:pt>
                <c:pt idx="416">
                  <c:v>126.35</c:v>
                </c:pt>
                <c:pt idx="417">
                  <c:v>714.29</c:v>
                </c:pt>
                <c:pt idx="418">
                  <c:v>85.56</c:v>
                </c:pt>
                <c:pt idx="419">
                  <c:v>727.51</c:v>
                </c:pt>
                <c:pt idx="420">
                  <c:v>456.67</c:v>
                </c:pt>
                <c:pt idx="421">
                  <c:v>588.17999999999995</c:v>
                </c:pt>
                <c:pt idx="422">
                  <c:v>122.02</c:v>
                </c:pt>
                <c:pt idx="423">
                  <c:v>249.39</c:v>
                </c:pt>
                <c:pt idx="424">
                  <c:v>843.6</c:v>
                </c:pt>
                <c:pt idx="425">
                  <c:v>592.52</c:v>
                </c:pt>
                <c:pt idx="426">
                  <c:v>463.78</c:v>
                </c:pt>
                <c:pt idx="427">
                  <c:v>85.44</c:v>
                </c:pt>
                <c:pt idx="428">
                  <c:v>475.52</c:v>
                </c:pt>
                <c:pt idx="429">
                  <c:v>703.94</c:v>
                </c:pt>
                <c:pt idx="430">
                  <c:v>253.63</c:v>
                </c:pt>
                <c:pt idx="431">
                  <c:v>685.36</c:v>
                </c:pt>
                <c:pt idx="432">
                  <c:v>278.14999999999998</c:v>
                </c:pt>
                <c:pt idx="433">
                  <c:v>735.3</c:v>
                </c:pt>
                <c:pt idx="434">
                  <c:v>846.76</c:v>
                </c:pt>
                <c:pt idx="435">
                  <c:v>144.78</c:v>
                </c:pt>
                <c:pt idx="436">
                  <c:v>862.54</c:v>
                </c:pt>
                <c:pt idx="437">
                  <c:v>572.30999999999995</c:v>
                </c:pt>
                <c:pt idx="438">
                  <c:v>831.6</c:v>
                </c:pt>
                <c:pt idx="439">
                  <c:v>937.86</c:v>
                </c:pt>
                <c:pt idx="440">
                  <c:v>714.72</c:v>
                </c:pt>
                <c:pt idx="441">
                  <c:v>487.73</c:v>
                </c:pt>
                <c:pt idx="442">
                  <c:v>22.15</c:v>
                </c:pt>
                <c:pt idx="443">
                  <c:v>824.65</c:v>
                </c:pt>
                <c:pt idx="444">
                  <c:v>275.39999999999998</c:v>
                </c:pt>
                <c:pt idx="445">
                  <c:v>552.48</c:v>
                </c:pt>
                <c:pt idx="446">
                  <c:v>121</c:v>
                </c:pt>
                <c:pt idx="447">
                  <c:v>782.58</c:v>
                </c:pt>
                <c:pt idx="448">
                  <c:v>434.84</c:v>
                </c:pt>
                <c:pt idx="449">
                  <c:v>604.29</c:v>
                </c:pt>
                <c:pt idx="450">
                  <c:v>705.64</c:v>
                </c:pt>
                <c:pt idx="451">
                  <c:v>387.39</c:v>
                </c:pt>
                <c:pt idx="452">
                  <c:v>863.93</c:v>
                </c:pt>
                <c:pt idx="453">
                  <c:v>172.99</c:v>
                </c:pt>
                <c:pt idx="454">
                  <c:v>590.32000000000005</c:v>
                </c:pt>
                <c:pt idx="455">
                  <c:v>594.94000000000005</c:v>
                </c:pt>
                <c:pt idx="456">
                  <c:v>70.22</c:v>
                </c:pt>
                <c:pt idx="457">
                  <c:v>10.4</c:v>
                </c:pt>
                <c:pt idx="458">
                  <c:v>885.33</c:v>
                </c:pt>
                <c:pt idx="459">
                  <c:v>588.37</c:v>
                </c:pt>
                <c:pt idx="460">
                  <c:v>75.03</c:v>
                </c:pt>
                <c:pt idx="461">
                  <c:v>812.25</c:v>
                </c:pt>
                <c:pt idx="462">
                  <c:v>769.16</c:v>
                </c:pt>
                <c:pt idx="463">
                  <c:v>482.77</c:v>
                </c:pt>
                <c:pt idx="464">
                  <c:v>760.34</c:v>
                </c:pt>
                <c:pt idx="465">
                  <c:v>480.55</c:v>
                </c:pt>
                <c:pt idx="466">
                  <c:v>48.5</c:v>
                </c:pt>
                <c:pt idx="467">
                  <c:v>772.89</c:v>
                </c:pt>
                <c:pt idx="468">
                  <c:v>865.65</c:v>
                </c:pt>
                <c:pt idx="469">
                  <c:v>728.67</c:v>
                </c:pt>
                <c:pt idx="470">
                  <c:v>936.04</c:v>
                </c:pt>
                <c:pt idx="471">
                  <c:v>460.25</c:v>
                </c:pt>
                <c:pt idx="472">
                  <c:v>642.29999999999995</c:v>
                </c:pt>
                <c:pt idx="473">
                  <c:v>906.75</c:v>
                </c:pt>
                <c:pt idx="474">
                  <c:v>803.87</c:v>
                </c:pt>
                <c:pt idx="475">
                  <c:v>483.66</c:v>
                </c:pt>
                <c:pt idx="476">
                  <c:v>704.32</c:v>
                </c:pt>
                <c:pt idx="477">
                  <c:v>646.16</c:v>
                </c:pt>
                <c:pt idx="478">
                  <c:v>686.5</c:v>
                </c:pt>
                <c:pt idx="479">
                  <c:v>218.77</c:v>
                </c:pt>
                <c:pt idx="480">
                  <c:v>132.6</c:v>
                </c:pt>
                <c:pt idx="481">
                  <c:v>79.27</c:v>
                </c:pt>
                <c:pt idx="482">
                  <c:v>566.59</c:v>
                </c:pt>
                <c:pt idx="483">
                  <c:v>725.26</c:v>
                </c:pt>
                <c:pt idx="484">
                  <c:v>900.16</c:v>
                </c:pt>
                <c:pt idx="485">
                  <c:v>943.5</c:v>
                </c:pt>
                <c:pt idx="486">
                  <c:v>55.21</c:v>
                </c:pt>
                <c:pt idx="487">
                  <c:v>830.03</c:v>
                </c:pt>
                <c:pt idx="488">
                  <c:v>109.54</c:v>
                </c:pt>
                <c:pt idx="489">
                  <c:v>932.41</c:v>
                </c:pt>
                <c:pt idx="490">
                  <c:v>347.21</c:v>
                </c:pt>
                <c:pt idx="491">
                  <c:v>348.51</c:v>
                </c:pt>
                <c:pt idx="492">
                  <c:v>591.64</c:v>
                </c:pt>
                <c:pt idx="493">
                  <c:v>632.99</c:v>
                </c:pt>
                <c:pt idx="494">
                  <c:v>144</c:v>
                </c:pt>
                <c:pt idx="495">
                  <c:v>835.67</c:v>
                </c:pt>
                <c:pt idx="496">
                  <c:v>60.51</c:v>
                </c:pt>
                <c:pt idx="497">
                  <c:v>298.11</c:v>
                </c:pt>
                <c:pt idx="498">
                  <c:v>367.85</c:v>
                </c:pt>
                <c:pt idx="499">
                  <c:v>777.97</c:v>
                </c:pt>
                <c:pt idx="500">
                  <c:v>196.61</c:v>
                </c:pt>
                <c:pt idx="501">
                  <c:v>438.95</c:v>
                </c:pt>
                <c:pt idx="502">
                  <c:v>686.83</c:v>
                </c:pt>
                <c:pt idx="503">
                  <c:v>701.61</c:v>
                </c:pt>
                <c:pt idx="504">
                  <c:v>849.56</c:v>
                </c:pt>
                <c:pt idx="505">
                  <c:v>372.69</c:v>
                </c:pt>
                <c:pt idx="506">
                  <c:v>230.66</c:v>
                </c:pt>
                <c:pt idx="507">
                  <c:v>897.46</c:v>
                </c:pt>
                <c:pt idx="508">
                  <c:v>839.2</c:v>
                </c:pt>
                <c:pt idx="509">
                  <c:v>536.52</c:v>
                </c:pt>
                <c:pt idx="510">
                  <c:v>839.34</c:v>
                </c:pt>
                <c:pt idx="511">
                  <c:v>122.12</c:v>
                </c:pt>
                <c:pt idx="512">
                  <c:v>847.03</c:v>
                </c:pt>
                <c:pt idx="513">
                  <c:v>456.11</c:v>
                </c:pt>
                <c:pt idx="514">
                  <c:v>524.16</c:v>
                </c:pt>
                <c:pt idx="515">
                  <c:v>676.93</c:v>
                </c:pt>
                <c:pt idx="516">
                  <c:v>787.66</c:v>
                </c:pt>
                <c:pt idx="517">
                  <c:v>610.98</c:v>
                </c:pt>
                <c:pt idx="518">
                  <c:v>30.88</c:v>
                </c:pt>
                <c:pt idx="519">
                  <c:v>312.64</c:v>
                </c:pt>
                <c:pt idx="520">
                  <c:v>329.18</c:v>
                </c:pt>
                <c:pt idx="521">
                  <c:v>439.63</c:v>
                </c:pt>
                <c:pt idx="522">
                  <c:v>581.15</c:v>
                </c:pt>
                <c:pt idx="523">
                  <c:v>97.97</c:v>
                </c:pt>
                <c:pt idx="524">
                  <c:v>427.68</c:v>
                </c:pt>
                <c:pt idx="525">
                  <c:v>628.34</c:v>
                </c:pt>
                <c:pt idx="526">
                  <c:v>271.17</c:v>
                </c:pt>
                <c:pt idx="527">
                  <c:v>536.05999999999995</c:v>
                </c:pt>
                <c:pt idx="528">
                  <c:v>869.05</c:v>
                </c:pt>
                <c:pt idx="529">
                  <c:v>316.5</c:v>
                </c:pt>
                <c:pt idx="530">
                  <c:v>748.46</c:v>
                </c:pt>
                <c:pt idx="531">
                  <c:v>351.94</c:v>
                </c:pt>
                <c:pt idx="532">
                  <c:v>190.34</c:v>
                </c:pt>
                <c:pt idx="533">
                  <c:v>663.25</c:v>
                </c:pt>
                <c:pt idx="534">
                  <c:v>296.76</c:v>
                </c:pt>
                <c:pt idx="535">
                  <c:v>628.29999999999995</c:v>
                </c:pt>
                <c:pt idx="536">
                  <c:v>491.55</c:v>
                </c:pt>
                <c:pt idx="537">
                  <c:v>579.27</c:v>
                </c:pt>
                <c:pt idx="538">
                  <c:v>632.83000000000004</c:v>
                </c:pt>
                <c:pt idx="539">
                  <c:v>221.35</c:v>
                </c:pt>
                <c:pt idx="540">
                  <c:v>806.55</c:v>
                </c:pt>
                <c:pt idx="541">
                  <c:v>639.22</c:v>
                </c:pt>
                <c:pt idx="542">
                  <c:v>28.55</c:v>
                </c:pt>
                <c:pt idx="543">
                  <c:v>903.07</c:v>
                </c:pt>
                <c:pt idx="544">
                  <c:v>494.55</c:v>
                </c:pt>
                <c:pt idx="545">
                  <c:v>495.62</c:v>
                </c:pt>
                <c:pt idx="546">
                  <c:v>670.87</c:v>
                </c:pt>
                <c:pt idx="547">
                  <c:v>795.84</c:v>
                </c:pt>
                <c:pt idx="548">
                  <c:v>873.8</c:v>
                </c:pt>
                <c:pt idx="549">
                  <c:v>50.57</c:v>
                </c:pt>
                <c:pt idx="550">
                  <c:v>957.06</c:v>
                </c:pt>
                <c:pt idx="551">
                  <c:v>771.33</c:v>
                </c:pt>
                <c:pt idx="552">
                  <c:v>520.37</c:v>
                </c:pt>
                <c:pt idx="553">
                  <c:v>537.66</c:v>
                </c:pt>
                <c:pt idx="554">
                  <c:v>244.79</c:v>
                </c:pt>
                <c:pt idx="555">
                  <c:v>17.97</c:v>
                </c:pt>
                <c:pt idx="556">
                  <c:v>25.44</c:v>
                </c:pt>
                <c:pt idx="557">
                  <c:v>553.44000000000005</c:v>
                </c:pt>
                <c:pt idx="558">
                  <c:v>98.85</c:v>
                </c:pt>
                <c:pt idx="559">
                  <c:v>816.09</c:v>
                </c:pt>
                <c:pt idx="560">
                  <c:v>505.98</c:v>
                </c:pt>
                <c:pt idx="561">
                  <c:v>857.68</c:v>
                </c:pt>
                <c:pt idx="562">
                  <c:v>349.35</c:v>
                </c:pt>
                <c:pt idx="563">
                  <c:v>971.02</c:v>
                </c:pt>
                <c:pt idx="564">
                  <c:v>648.38</c:v>
                </c:pt>
                <c:pt idx="565">
                  <c:v>212.08</c:v>
                </c:pt>
                <c:pt idx="566">
                  <c:v>383.64</c:v>
                </c:pt>
                <c:pt idx="567">
                  <c:v>122.21</c:v>
                </c:pt>
                <c:pt idx="568">
                  <c:v>645.42999999999995</c:v>
                </c:pt>
                <c:pt idx="569">
                  <c:v>322.29000000000002</c:v>
                </c:pt>
                <c:pt idx="570">
                  <c:v>486.58</c:v>
                </c:pt>
                <c:pt idx="571">
                  <c:v>462.62</c:v>
                </c:pt>
                <c:pt idx="572">
                  <c:v>606.17999999999995</c:v>
                </c:pt>
                <c:pt idx="573">
                  <c:v>377.75</c:v>
                </c:pt>
                <c:pt idx="574">
                  <c:v>213.68</c:v>
                </c:pt>
                <c:pt idx="575">
                  <c:v>221.75</c:v>
                </c:pt>
                <c:pt idx="576">
                  <c:v>324.11</c:v>
                </c:pt>
                <c:pt idx="577">
                  <c:v>66.599999999999994</c:v>
                </c:pt>
                <c:pt idx="578">
                  <c:v>814.52</c:v>
                </c:pt>
                <c:pt idx="579">
                  <c:v>356.67</c:v>
                </c:pt>
                <c:pt idx="580">
                  <c:v>411.86</c:v>
                </c:pt>
                <c:pt idx="581">
                  <c:v>204.25</c:v>
                </c:pt>
                <c:pt idx="582">
                  <c:v>914.63</c:v>
                </c:pt>
                <c:pt idx="583">
                  <c:v>117.85</c:v>
                </c:pt>
                <c:pt idx="584">
                  <c:v>397.54</c:v>
                </c:pt>
                <c:pt idx="585">
                  <c:v>412.99</c:v>
                </c:pt>
                <c:pt idx="586">
                  <c:v>491.8</c:v>
                </c:pt>
                <c:pt idx="587">
                  <c:v>442.42</c:v>
                </c:pt>
                <c:pt idx="588">
                  <c:v>743.73</c:v>
                </c:pt>
                <c:pt idx="589">
                  <c:v>333.55</c:v>
                </c:pt>
                <c:pt idx="590">
                  <c:v>165.39</c:v>
                </c:pt>
                <c:pt idx="591">
                  <c:v>321.92</c:v>
                </c:pt>
                <c:pt idx="592">
                  <c:v>921.21</c:v>
                </c:pt>
                <c:pt idx="593">
                  <c:v>983.84</c:v>
                </c:pt>
                <c:pt idx="594">
                  <c:v>600.21</c:v>
                </c:pt>
                <c:pt idx="595">
                  <c:v>679.69</c:v>
                </c:pt>
                <c:pt idx="596">
                  <c:v>486.86</c:v>
                </c:pt>
                <c:pt idx="597">
                  <c:v>20.52</c:v>
                </c:pt>
                <c:pt idx="598">
                  <c:v>546.05999999999995</c:v>
                </c:pt>
                <c:pt idx="599">
                  <c:v>758.1</c:v>
                </c:pt>
                <c:pt idx="600">
                  <c:v>609.79999999999995</c:v>
                </c:pt>
                <c:pt idx="601">
                  <c:v>95.96</c:v>
                </c:pt>
                <c:pt idx="602">
                  <c:v>236.83</c:v>
                </c:pt>
                <c:pt idx="603">
                  <c:v>562.47</c:v>
                </c:pt>
                <c:pt idx="604">
                  <c:v>256.98</c:v>
                </c:pt>
                <c:pt idx="605">
                  <c:v>150.62</c:v>
                </c:pt>
                <c:pt idx="606">
                  <c:v>660.05</c:v>
                </c:pt>
                <c:pt idx="607">
                  <c:v>724.23</c:v>
                </c:pt>
                <c:pt idx="608">
                  <c:v>683.93</c:v>
                </c:pt>
                <c:pt idx="609">
                  <c:v>458.93</c:v>
                </c:pt>
                <c:pt idx="610">
                  <c:v>917.08</c:v>
                </c:pt>
                <c:pt idx="611">
                  <c:v>967.99</c:v>
                </c:pt>
                <c:pt idx="612">
                  <c:v>195.34</c:v>
                </c:pt>
                <c:pt idx="613">
                  <c:v>738.6</c:v>
                </c:pt>
                <c:pt idx="614">
                  <c:v>812.36</c:v>
                </c:pt>
                <c:pt idx="615">
                  <c:v>582.57000000000005</c:v>
                </c:pt>
                <c:pt idx="616">
                  <c:v>370.75</c:v>
                </c:pt>
                <c:pt idx="617">
                  <c:v>673.02</c:v>
                </c:pt>
                <c:pt idx="618">
                  <c:v>898.68</c:v>
                </c:pt>
                <c:pt idx="619">
                  <c:v>855.21</c:v>
                </c:pt>
                <c:pt idx="620">
                  <c:v>368.75</c:v>
                </c:pt>
                <c:pt idx="621">
                  <c:v>933.73</c:v>
                </c:pt>
                <c:pt idx="622">
                  <c:v>880.78</c:v>
                </c:pt>
                <c:pt idx="623">
                  <c:v>218.74</c:v>
                </c:pt>
                <c:pt idx="624">
                  <c:v>504.16</c:v>
                </c:pt>
                <c:pt idx="625">
                  <c:v>26.85</c:v>
                </c:pt>
                <c:pt idx="626">
                  <c:v>261.07</c:v>
                </c:pt>
                <c:pt idx="627">
                  <c:v>406.56</c:v>
                </c:pt>
                <c:pt idx="628">
                  <c:v>339.9</c:v>
                </c:pt>
                <c:pt idx="629">
                  <c:v>761.08</c:v>
                </c:pt>
                <c:pt idx="630">
                  <c:v>821.42</c:v>
                </c:pt>
                <c:pt idx="631">
                  <c:v>923.64</c:v>
                </c:pt>
                <c:pt idx="632">
                  <c:v>624.29</c:v>
                </c:pt>
                <c:pt idx="633">
                  <c:v>599.66</c:v>
                </c:pt>
                <c:pt idx="634">
                  <c:v>934.88</c:v>
                </c:pt>
                <c:pt idx="635">
                  <c:v>634.19000000000005</c:v>
                </c:pt>
                <c:pt idx="636">
                  <c:v>871.12</c:v>
                </c:pt>
                <c:pt idx="637">
                  <c:v>315.49</c:v>
                </c:pt>
                <c:pt idx="638">
                  <c:v>539.74</c:v>
                </c:pt>
                <c:pt idx="639">
                  <c:v>592.72</c:v>
                </c:pt>
                <c:pt idx="640">
                  <c:v>637.02</c:v>
                </c:pt>
                <c:pt idx="641">
                  <c:v>930.97</c:v>
                </c:pt>
                <c:pt idx="642">
                  <c:v>19.14</c:v>
                </c:pt>
                <c:pt idx="643">
                  <c:v>481.24</c:v>
                </c:pt>
                <c:pt idx="644">
                  <c:v>643.36</c:v>
                </c:pt>
                <c:pt idx="645">
                  <c:v>866.52</c:v>
                </c:pt>
                <c:pt idx="646">
                  <c:v>171.38</c:v>
                </c:pt>
                <c:pt idx="647">
                  <c:v>26.12</c:v>
                </c:pt>
                <c:pt idx="648">
                  <c:v>443.12</c:v>
                </c:pt>
                <c:pt idx="649">
                  <c:v>781.31</c:v>
                </c:pt>
                <c:pt idx="650">
                  <c:v>240.64</c:v>
                </c:pt>
                <c:pt idx="651">
                  <c:v>31.72</c:v>
                </c:pt>
                <c:pt idx="652">
                  <c:v>48.65</c:v>
                </c:pt>
                <c:pt idx="653">
                  <c:v>506.98</c:v>
                </c:pt>
                <c:pt idx="654">
                  <c:v>515.16</c:v>
                </c:pt>
                <c:pt idx="655">
                  <c:v>854.95</c:v>
                </c:pt>
                <c:pt idx="656">
                  <c:v>120.76</c:v>
                </c:pt>
                <c:pt idx="657">
                  <c:v>203.15</c:v>
                </c:pt>
                <c:pt idx="658">
                  <c:v>435.76</c:v>
                </c:pt>
                <c:pt idx="659">
                  <c:v>744.11</c:v>
                </c:pt>
                <c:pt idx="660">
                  <c:v>916.04</c:v>
                </c:pt>
                <c:pt idx="661">
                  <c:v>838.19</c:v>
                </c:pt>
                <c:pt idx="662">
                  <c:v>65.150000000000006</c:v>
                </c:pt>
                <c:pt idx="663">
                  <c:v>981.04</c:v>
                </c:pt>
                <c:pt idx="664">
                  <c:v>143</c:v>
                </c:pt>
                <c:pt idx="665">
                  <c:v>612.54</c:v>
                </c:pt>
                <c:pt idx="666">
                  <c:v>698.03</c:v>
                </c:pt>
                <c:pt idx="667">
                  <c:v>103.11</c:v>
                </c:pt>
                <c:pt idx="668">
                  <c:v>743.3</c:v>
                </c:pt>
                <c:pt idx="669">
                  <c:v>322.64</c:v>
                </c:pt>
                <c:pt idx="670">
                  <c:v>123.96</c:v>
                </c:pt>
                <c:pt idx="671">
                  <c:v>559.61</c:v>
                </c:pt>
                <c:pt idx="672">
                  <c:v>892.28</c:v>
                </c:pt>
                <c:pt idx="673">
                  <c:v>830.79</c:v>
                </c:pt>
                <c:pt idx="674">
                  <c:v>537.23</c:v>
                </c:pt>
                <c:pt idx="675">
                  <c:v>793.84</c:v>
                </c:pt>
                <c:pt idx="676">
                  <c:v>374.59</c:v>
                </c:pt>
                <c:pt idx="677">
                  <c:v>564.48</c:v>
                </c:pt>
                <c:pt idx="678">
                  <c:v>678.42</c:v>
                </c:pt>
                <c:pt idx="679">
                  <c:v>880.18</c:v>
                </c:pt>
                <c:pt idx="680">
                  <c:v>556.1</c:v>
                </c:pt>
                <c:pt idx="681">
                  <c:v>287.36</c:v>
                </c:pt>
                <c:pt idx="682">
                  <c:v>711.37</c:v>
                </c:pt>
                <c:pt idx="683">
                  <c:v>990.87</c:v>
                </c:pt>
                <c:pt idx="684">
                  <c:v>864.67</c:v>
                </c:pt>
                <c:pt idx="685">
                  <c:v>101.07</c:v>
                </c:pt>
                <c:pt idx="686">
                  <c:v>742.39</c:v>
                </c:pt>
                <c:pt idx="687">
                  <c:v>191.9</c:v>
                </c:pt>
                <c:pt idx="688">
                  <c:v>332.34</c:v>
                </c:pt>
                <c:pt idx="689">
                  <c:v>92.69</c:v>
                </c:pt>
                <c:pt idx="690">
                  <c:v>522.95000000000005</c:v>
                </c:pt>
                <c:pt idx="691">
                  <c:v>627.65</c:v>
                </c:pt>
                <c:pt idx="692">
                  <c:v>11.29</c:v>
                </c:pt>
                <c:pt idx="693">
                  <c:v>421.24</c:v>
                </c:pt>
                <c:pt idx="694">
                  <c:v>979.41</c:v>
                </c:pt>
                <c:pt idx="695">
                  <c:v>215.41</c:v>
                </c:pt>
                <c:pt idx="696">
                  <c:v>663.21</c:v>
                </c:pt>
                <c:pt idx="697">
                  <c:v>631.05999999999995</c:v>
                </c:pt>
                <c:pt idx="698">
                  <c:v>223.39</c:v>
                </c:pt>
                <c:pt idx="699">
                  <c:v>401.63</c:v>
                </c:pt>
                <c:pt idx="700">
                  <c:v>610.66</c:v>
                </c:pt>
                <c:pt idx="701">
                  <c:v>544.04</c:v>
                </c:pt>
                <c:pt idx="702">
                  <c:v>278.20999999999998</c:v>
                </c:pt>
                <c:pt idx="703">
                  <c:v>911</c:v>
                </c:pt>
                <c:pt idx="704">
                  <c:v>999.74</c:v>
                </c:pt>
                <c:pt idx="705">
                  <c:v>211.56</c:v>
                </c:pt>
                <c:pt idx="706">
                  <c:v>217.92</c:v>
                </c:pt>
                <c:pt idx="707">
                  <c:v>388.15</c:v>
                </c:pt>
                <c:pt idx="708">
                  <c:v>866.72</c:v>
                </c:pt>
                <c:pt idx="709">
                  <c:v>954.05</c:v>
                </c:pt>
                <c:pt idx="710">
                  <c:v>902.24</c:v>
                </c:pt>
                <c:pt idx="711">
                  <c:v>421.08</c:v>
                </c:pt>
                <c:pt idx="712">
                  <c:v>803.28</c:v>
                </c:pt>
                <c:pt idx="713">
                  <c:v>795.81</c:v>
                </c:pt>
                <c:pt idx="714">
                  <c:v>151.47999999999999</c:v>
                </c:pt>
                <c:pt idx="715">
                  <c:v>154.88999999999999</c:v>
                </c:pt>
                <c:pt idx="716">
                  <c:v>626.35</c:v>
                </c:pt>
                <c:pt idx="717">
                  <c:v>668.21</c:v>
                </c:pt>
                <c:pt idx="718">
                  <c:v>192.46</c:v>
                </c:pt>
                <c:pt idx="719">
                  <c:v>73.13</c:v>
                </c:pt>
                <c:pt idx="720">
                  <c:v>886.44</c:v>
                </c:pt>
                <c:pt idx="721">
                  <c:v>870.38</c:v>
                </c:pt>
                <c:pt idx="722">
                  <c:v>98.32</c:v>
                </c:pt>
                <c:pt idx="723">
                  <c:v>166.45</c:v>
                </c:pt>
                <c:pt idx="724">
                  <c:v>49.06</c:v>
                </c:pt>
                <c:pt idx="725">
                  <c:v>304.86</c:v>
                </c:pt>
                <c:pt idx="726">
                  <c:v>126.15</c:v>
                </c:pt>
                <c:pt idx="727">
                  <c:v>750.51</c:v>
                </c:pt>
                <c:pt idx="728">
                  <c:v>358.22</c:v>
                </c:pt>
                <c:pt idx="729">
                  <c:v>623.78</c:v>
                </c:pt>
                <c:pt idx="730">
                  <c:v>679.67</c:v>
                </c:pt>
                <c:pt idx="731">
                  <c:v>318.74</c:v>
                </c:pt>
                <c:pt idx="732">
                  <c:v>386.51</c:v>
                </c:pt>
                <c:pt idx="733">
                  <c:v>117.03</c:v>
                </c:pt>
                <c:pt idx="734">
                  <c:v>409.35</c:v>
                </c:pt>
                <c:pt idx="735">
                  <c:v>301.58999999999997</c:v>
                </c:pt>
                <c:pt idx="736">
                  <c:v>836.5</c:v>
                </c:pt>
                <c:pt idx="737">
                  <c:v>866.23</c:v>
                </c:pt>
                <c:pt idx="738">
                  <c:v>241.25</c:v>
                </c:pt>
                <c:pt idx="739">
                  <c:v>727.15</c:v>
                </c:pt>
                <c:pt idx="740">
                  <c:v>472.4</c:v>
                </c:pt>
                <c:pt idx="741">
                  <c:v>412.76</c:v>
                </c:pt>
                <c:pt idx="742">
                  <c:v>246.41</c:v>
                </c:pt>
                <c:pt idx="743">
                  <c:v>320.7</c:v>
                </c:pt>
                <c:pt idx="744">
                  <c:v>720.52</c:v>
                </c:pt>
                <c:pt idx="745">
                  <c:v>442.46</c:v>
                </c:pt>
                <c:pt idx="746">
                  <c:v>207.44</c:v>
                </c:pt>
                <c:pt idx="747">
                  <c:v>106.48</c:v>
                </c:pt>
                <c:pt idx="748">
                  <c:v>666.01</c:v>
                </c:pt>
                <c:pt idx="749">
                  <c:v>231.03</c:v>
                </c:pt>
                <c:pt idx="750">
                  <c:v>733.63</c:v>
                </c:pt>
                <c:pt idx="751">
                  <c:v>935.73</c:v>
                </c:pt>
                <c:pt idx="752">
                  <c:v>139.75</c:v>
                </c:pt>
                <c:pt idx="753">
                  <c:v>113.53</c:v>
                </c:pt>
                <c:pt idx="754">
                  <c:v>673.79</c:v>
                </c:pt>
                <c:pt idx="755">
                  <c:v>552.21</c:v>
                </c:pt>
                <c:pt idx="756">
                  <c:v>15.66</c:v>
                </c:pt>
                <c:pt idx="757">
                  <c:v>241.91</c:v>
                </c:pt>
                <c:pt idx="758">
                  <c:v>884.19</c:v>
                </c:pt>
                <c:pt idx="759">
                  <c:v>316.27</c:v>
                </c:pt>
                <c:pt idx="760">
                  <c:v>566.65</c:v>
                </c:pt>
                <c:pt idx="761">
                  <c:v>263.93</c:v>
                </c:pt>
                <c:pt idx="762">
                  <c:v>377.66</c:v>
                </c:pt>
                <c:pt idx="763">
                  <c:v>81.91</c:v>
                </c:pt>
                <c:pt idx="764">
                  <c:v>139.07</c:v>
                </c:pt>
                <c:pt idx="765">
                  <c:v>212.53</c:v>
                </c:pt>
                <c:pt idx="766">
                  <c:v>132.88</c:v>
                </c:pt>
                <c:pt idx="767">
                  <c:v>924.18</c:v>
                </c:pt>
                <c:pt idx="768">
                  <c:v>640.96</c:v>
                </c:pt>
                <c:pt idx="769">
                  <c:v>261.36</c:v>
                </c:pt>
                <c:pt idx="770">
                  <c:v>412.65</c:v>
                </c:pt>
                <c:pt idx="771">
                  <c:v>509.31</c:v>
                </c:pt>
                <c:pt idx="772">
                  <c:v>488.07</c:v>
                </c:pt>
                <c:pt idx="773">
                  <c:v>826.87</c:v>
                </c:pt>
                <c:pt idx="774">
                  <c:v>596.63</c:v>
                </c:pt>
                <c:pt idx="775">
                  <c:v>877.51</c:v>
                </c:pt>
                <c:pt idx="776">
                  <c:v>180.09</c:v>
                </c:pt>
                <c:pt idx="777">
                  <c:v>216.09</c:v>
                </c:pt>
                <c:pt idx="778">
                  <c:v>501.34</c:v>
                </c:pt>
                <c:pt idx="779">
                  <c:v>325.45999999999998</c:v>
                </c:pt>
                <c:pt idx="780">
                  <c:v>944.07</c:v>
                </c:pt>
                <c:pt idx="781">
                  <c:v>954.91</c:v>
                </c:pt>
                <c:pt idx="782">
                  <c:v>73.34</c:v>
                </c:pt>
                <c:pt idx="783">
                  <c:v>105.48</c:v>
                </c:pt>
                <c:pt idx="784">
                  <c:v>491.07</c:v>
                </c:pt>
                <c:pt idx="785">
                  <c:v>409.85</c:v>
                </c:pt>
                <c:pt idx="786">
                  <c:v>215.92</c:v>
                </c:pt>
                <c:pt idx="787">
                  <c:v>523.27</c:v>
                </c:pt>
                <c:pt idx="788">
                  <c:v>640.54999999999995</c:v>
                </c:pt>
                <c:pt idx="789">
                  <c:v>420.03</c:v>
                </c:pt>
                <c:pt idx="790">
                  <c:v>760.27</c:v>
                </c:pt>
                <c:pt idx="791">
                  <c:v>451.86</c:v>
                </c:pt>
                <c:pt idx="792">
                  <c:v>808.89</c:v>
                </c:pt>
                <c:pt idx="793">
                  <c:v>471.87</c:v>
                </c:pt>
                <c:pt idx="794">
                  <c:v>444.09</c:v>
                </c:pt>
                <c:pt idx="795">
                  <c:v>825.85</c:v>
                </c:pt>
                <c:pt idx="796">
                  <c:v>570.87</c:v>
                </c:pt>
                <c:pt idx="797">
                  <c:v>481.56</c:v>
                </c:pt>
                <c:pt idx="798">
                  <c:v>355.67</c:v>
                </c:pt>
                <c:pt idx="799">
                  <c:v>246.07</c:v>
                </c:pt>
                <c:pt idx="800">
                  <c:v>646.4</c:v>
                </c:pt>
                <c:pt idx="801">
                  <c:v>667.8</c:v>
                </c:pt>
                <c:pt idx="802">
                  <c:v>553.35</c:v>
                </c:pt>
                <c:pt idx="803">
                  <c:v>443.22</c:v>
                </c:pt>
                <c:pt idx="804">
                  <c:v>723.66</c:v>
                </c:pt>
                <c:pt idx="805">
                  <c:v>330.95</c:v>
                </c:pt>
                <c:pt idx="806">
                  <c:v>268.76</c:v>
                </c:pt>
                <c:pt idx="807">
                  <c:v>11.01</c:v>
                </c:pt>
                <c:pt idx="808">
                  <c:v>344.59</c:v>
                </c:pt>
                <c:pt idx="809">
                  <c:v>831.05</c:v>
                </c:pt>
                <c:pt idx="810">
                  <c:v>135.22999999999999</c:v>
                </c:pt>
                <c:pt idx="811">
                  <c:v>12.45</c:v>
                </c:pt>
                <c:pt idx="812">
                  <c:v>915.62</c:v>
                </c:pt>
                <c:pt idx="813">
                  <c:v>894.95</c:v>
                </c:pt>
                <c:pt idx="814">
                  <c:v>174.22</c:v>
                </c:pt>
                <c:pt idx="815">
                  <c:v>654.48</c:v>
                </c:pt>
                <c:pt idx="816">
                  <c:v>626.04999999999995</c:v>
                </c:pt>
                <c:pt idx="817">
                  <c:v>40.89</c:v>
                </c:pt>
                <c:pt idx="818">
                  <c:v>669.26</c:v>
                </c:pt>
                <c:pt idx="819">
                  <c:v>347.08</c:v>
                </c:pt>
                <c:pt idx="820">
                  <c:v>821.18</c:v>
                </c:pt>
                <c:pt idx="821">
                  <c:v>197.29</c:v>
                </c:pt>
                <c:pt idx="822">
                  <c:v>806.26</c:v>
                </c:pt>
                <c:pt idx="823">
                  <c:v>319.05</c:v>
                </c:pt>
                <c:pt idx="824">
                  <c:v>335.98</c:v>
                </c:pt>
                <c:pt idx="825">
                  <c:v>77.73</c:v>
                </c:pt>
                <c:pt idx="826">
                  <c:v>941.67</c:v>
                </c:pt>
                <c:pt idx="827">
                  <c:v>179.8</c:v>
                </c:pt>
                <c:pt idx="828">
                  <c:v>389.37</c:v>
                </c:pt>
                <c:pt idx="829">
                  <c:v>94.32</c:v>
                </c:pt>
                <c:pt idx="830">
                  <c:v>169.79</c:v>
                </c:pt>
                <c:pt idx="831">
                  <c:v>238.87</c:v>
                </c:pt>
                <c:pt idx="832">
                  <c:v>204.27</c:v>
                </c:pt>
                <c:pt idx="833">
                  <c:v>947.76</c:v>
                </c:pt>
                <c:pt idx="834">
                  <c:v>611.79</c:v>
                </c:pt>
                <c:pt idx="835">
                  <c:v>109.03</c:v>
                </c:pt>
                <c:pt idx="836">
                  <c:v>492.87</c:v>
                </c:pt>
                <c:pt idx="837">
                  <c:v>559.16</c:v>
                </c:pt>
                <c:pt idx="838">
                  <c:v>685.09</c:v>
                </c:pt>
                <c:pt idx="839">
                  <c:v>85.45</c:v>
                </c:pt>
                <c:pt idx="840">
                  <c:v>506.7</c:v>
                </c:pt>
                <c:pt idx="841">
                  <c:v>26.72</c:v>
                </c:pt>
                <c:pt idx="842">
                  <c:v>326.5</c:v>
                </c:pt>
                <c:pt idx="843">
                  <c:v>138.30000000000001</c:v>
                </c:pt>
                <c:pt idx="844">
                  <c:v>612.09</c:v>
                </c:pt>
                <c:pt idx="845">
                  <c:v>696.9</c:v>
                </c:pt>
                <c:pt idx="846">
                  <c:v>389.97</c:v>
                </c:pt>
                <c:pt idx="847">
                  <c:v>785.55</c:v>
                </c:pt>
                <c:pt idx="848">
                  <c:v>832.57</c:v>
                </c:pt>
                <c:pt idx="849">
                  <c:v>159.13</c:v>
                </c:pt>
                <c:pt idx="850">
                  <c:v>769</c:v>
                </c:pt>
                <c:pt idx="851">
                  <c:v>273.38</c:v>
                </c:pt>
                <c:pt idx="852">
                  <c:v>800.46</c:v>
                </c:pt>
                <c:pt idx="853">
                  <c:v>172.39</c:v>
                </c:pt>
                <c:pt idx="854">
                  <c:v>667.92</c:v>
                </c:pt>
                <c:pt idx="855">
                  <c:v>177.64</c:v>
                </c:pt>
                <c:pt idx="856">
                  <c:v>923.37</c:v>
                </c:pt>
                <c:pt idx="857">
                  <c:v>998.51</c:v>
                </c:pt>
                <c:pt idx="858">
                  <c:v>371.77</c:v>
                </c:pt>
                <c:pt idx="859">
                  <c:v>266.83</c:v>
                </c:pt>
                <c:pt idx="860">
                  <c:v>101.48</c:v>
                </c:pt>
                <c:pt idx="861">
                  <c:v>141.72</c:v>
                </c:pt>
                <c:pt idx="862">
                  <c:v>99.52</c:v>
                </c:pt>
                <c:pt idx="863">
                  <c:v>551.42999999999995</c:v>
                </c:pt>
                <c:pt idx="864">
                  <c:v>886.61</c:v>
                </c:pt>
                <c:pt idx="865">
                  <c:v>248.68</c:v>
                </c:pt>
                <c:pt idx="866">
                  <c:v>647.35</c:v>
                </c:pt>
                <c:pt idx="867">
                  <c:v>499.07</c:v>
                </c:pt>
                <c:pt idx="868">
                  <c:v>37.57</c:v>
                </c:pt>
                <c:pt idx="869">
                  <c:v>179.71</c:v>
                </c:pt>
                <c:pt idx="870">
                  <c:v>385.1</c:v>
                </c:pt>
                <c:pt idx="871">
                  <c:v>891.19</c:v>
                </c:pt>
                <c:pt idx="872">
                  <c:v>317.77999999999997</c:v>
                </c:pt>
                <c:pt idx="873">
                  <c:v>121.22</c:v>
                </c:pt>
                <c:pt idx="874">
                  <c:v>213.88</c:v>
                </c:pt>
                <c:pt idx="875">
                  <c:v>253.64</c:v>
                </c:pt>
                <c:pt idx="876">
                  <c:v>990.34</c:v>
                </c:pt>
                <c:pt idx="877">
                  <c:v>122.7</c:v>
                </c:pt>
                <c:pt idx="878">
                  <c:v>998.09</c:v>
                </c:pt>
                <c:pt idx="879">
                  <c:v>684.88</c:v>
                </c:pt>
                <c:pt idx="880">
                  <c:v>30.51</c:v>
                </c:pt>
                <c:pt idx="881">
                  <c:v>363.94</c:v>
                </c:pt>
                <c:pt idx="882">
                  <c:v>967.26</c:v>
                </c:pt>
                <c:pt idx="883">
                  <c:v>505.16</c:v>
                </c:pt>
                <c:pt idx="884">
                  <c:v>41.93</c:v>
                </c:pt>
                <c:pt idx="885">
                  <c:v>424.36</c:v>
                </c:pt>
                <c:pt idx="886">
                  <c:v>508.86</c:v>
                </c:pt>
                <c:pt idx="887">
                  <c:v>515.88</c:v>
                </c:pt>
                <c:pt idx="888">
                  <c:v>532.51</c:v>
                </c:pt>
                <c:pt idx="889">
                  <c:v>88.44</c:v>
                </c:pt>
                <c:pt idx="890">
                  <c:v>110.32</c:v>
                </c:pt>
                <c:pt idx="891">
                  <c:v>589.35</c:v>
                </c:pt>
                <c:pt idx="892">
                  <c:v>774.5</c:v>
                </c:pt>
                <c:pt idx="893">
                  <c:v>843.87</c:v>
                </c:pt>
                <c:pt idx="894">
                  <c:v>399.58</c:v>
                </c:pt>
                <c:pt idx="895">
                  <c:v>636.65</c:v>
                </c:pt>
                <c:pt idx="896">
                  <c:v>95.08</c:v>
                </c:pt>
                <c:pt idx="897">
                  <c:v>265.04000000000002</c:v>
                </c:pt>
                <c:pt idx="898">
                  <c:v>23.33</c:v>
                </c:pt>
                <c:pt idx="899">
                  <c:v>29.58</c:v>
                </c:pt>
                <c:pt idx="900">
                  <c:v>848.14</c:v>
                </c:pt>
                <c:pt idx="901">
                  <c:v>714.15</c:v>
                </c:pt>
                <c:pt idx="902">
                  <c:v>480.87</c:v>
                </c:pt>
                <c:pt idx="903">
                  <c:v>798.2</c:v>
                </c:pt>
                <c:pt idx="904">
                  <c:v>453.34</c:v>
                </c:pt>
                <c:pt idx="905">
                  <c:v>762.41</c:v>
                </c:pt>
                <c:pt idx="906">
                  <c:v>762.55</c:v>
                </c:pt>
                <c:pt idx="907">
                  <c:v>115.09</c:v>
                </c:pt>
                <c:pt idx="908">
                  <c:v>160.11000000000001</c:v>
                </c:pt>
                <c:pt idx="909">
                  <c:v>279.95999999999998</c:v>
                </c:pt>
                <c:pt idx="910">
                  <c:v>49.53</c:v>
                </c:pt>
                <c:pt idx="911">
                  <c:v>356.35</c:v>
                </c:pt>
                <c:pt idx="912">
                  <c:v>706.37</c:v>
                </c:pt>
                <c:pt idx="913">
                  <c:v>635.92999999999995</c:v>
                </c:pt>
                <c:pt idx="914">
                  <c:v>915.02</c:v>
                </c:pt>
                <c:pt idx="915">
                  <c:v>479.36</c:v>
                </c:pt>
                <c:pt idx="916">
                  <c:v>35.159999999999997</c:v>
                </c:pt>
                <c:pt idx="917">
                  <c:v>894.21</c:v>
                </c:pt>
                <c:pt idx="918">
                  <c:v>759.6</c:v>
                </c:pt>
                <c:pt idx="919">
                  <c:v>21.9</c:v>
                </c:pt>
                <c:pt idx="920">
                  <c:v>192.31</c:v>
                </c:pt>
                <c:pt idx="921">
                  <c:v>577</c:v>
                </c:pt>
                <c:pt idx="922">
                  <c:v>169.58</c:v>
                </c:pt>
                <c:pt idx="923">
                  <c:v>934.34</c:v>
                </c:pt>
                <c:pt idx="924">
                  <c:v>261.19</c:v>
                </c:pt>
                <c:pt idx="925">
                  <c:v>205.58</c:v>
                </c:pt>
                <c:pt idx="926">
                  <c:v>532.23</c:v>
                </c:pt>
                <c:pt idx="927">
                  <c:v>279.77</c:v>
                </c:pt>
                <c:pt idx="928">
                  <c:v>782.55</c:v>
                </c:pt>
                <c:pt idx="929">
                  <c:v>372.03</c:v>
                </c:pt>
                <c:pt idx="930">
                  <c:v>78.819999999999993</c:v>
                </c:pt>
                <c:pt idx="931">
                  <c:v>998.98</c:v>
                </c:pt>
                <c:pt idx="932">
                  <c:v>670.51</c:v>
                </c:pt>
                <c:pt idx="933">
                  <c:v>632.6</c:v>
                </c:pt>
                <c:pt idx="934">
                  <c:v>341.63</c:v>
                </c:pt>
                <c:pt idx="935">
                  <c:v>688.61</c:v>
                </c:pt>
                <c:pt idx="936">
                  <c:v>114.47</c:v>
                </c:pt>
                <c:pt idx="937">
                  <c:v>656.9</c:v>
                </c:pt>
                <c:pt idx="938">
                  <c:v>592.97</c:v>
                </c:pt>
                <c:pt idx="939">
                  <c:v>877.17</c:v>
                </c:pt>
                <c:pt idx="940">
                  <c:v>916.28</c:v>
                </c:pt>
                <c:pt idx="941">
                  <c:v>828.04</c:v>
                </c:pt>
                <c:pt idx="942">
                  <c:v>799.33</c:v>
                </c:pt>
                <c:pt idx="943">
                  <c:v>219.67</c:v>
                </c:pt>
                <c:pt idx="944">
                  <c:v>59.82</c:v>
                </c:pt>
                <c:pt idx="945">
                  <c:v>391.45</c:v>
                </c:pt>
                <c:pt idx="946">
                  <c:v>737.91</c:v>
                </c:pt>
                <c:pt idx="947">
                  <c:v>461.61</c:v>
                </c:pt>
                <c:pt idx="948">
                  <c:v>34.880000000000003</c:v>
                </c:pt>
                <c:pt idx="949">
                  <c:v>177.69</c:v>
                </c:pt>
                <c:pt idx="950">
                  <c:v>633.5</c:v>
                </c:pt>
                <c:pt idx="951">
                  <c:v>542.03</c:v>
                </c:pt>
                <c:pt idx="952">
                  <c:v>302.05</c:v>
                </c:pt>
                <c:pt idx="953">
                  <c:v>926.69</c:v>
                </c:pt>
                <c:pt idx="954">
                  <c:v>255.08</c:v>
                </c:pt>
                <c:pt idx="955">
                  <c:v>112.11</c:v>
                </c:pt>
                <c:pt idx="956">
                  <c:v>826.02</c:v>
                </c:pt>
                <c:pt idx="957">
                  <c:v>933.65</c:v>
                </c:pt>
                <c:pt idx="958">
                  <c:v>199.17</c:v>
                </c:pt>
                <c:pt idx="959">
                  <c:v>860.95</c:v>
                </c:pt>
                <c:pt idx="960">
                  <c:v>706.18</c:v>
                </c:pt>
                <c:pt idx="961">
                  <c:v>980.47</c:v>
                </c:pt>
                <c:pt idx="962">
                  <c:v>251.23</c:v>
                </c:pt>
                <c:pt idx="963">
                  <c:v>25.86</c:v>
                </c:pt>
                <c:pt idx="964">
                  <c:v>320.95</c:v>
                </c:pt>
                <c:pt idx="965">
                  <c:v>507.62</c:v>
                </c:pt>
                <c:pt idx="966">
                  <c:v>636.29</c:v>
                </c:pt>
                <c:pt idx="967">
                  <c:v>84.98</c:v>
                </c:pt>
                <c:pt idx="968">
                  <c:v>138.81</c:v>
                </c:pt>
                <c:pt idx="969">
                  <c:v>758.44</c:v>
                </c:pt>
                <c:pt idx="970">
                  <c:v>30.13</c:v>
                </c:pt>
                <c:pt idx="971">
                  <c:v>976.83</c:v>
                </c:pt>
                <c:pt idx="972">
                  <c:v>913.84</c:v>
                </c:pt>
                <c:pt idx="973">
                  <c:v>559.73</c:v>
                </c:pt>
                <c:pt idx="974">
                  <c:v>659.67</c:v>
                </c:pt>
                <c:pt idx="975">
                  <c:v>217.78</c:v>
                </c:pt>
                <c:pt idx="976">
                  <c:v>104.35</c:v>
                </c:pt>
                <c:pt idx="977">
                  <c:v>258.08999999999997</c:v>
                </c:pt>
                <c:pt idx="978">
                  <c:v>219.02</c:v>
                </c:pt>
                <c:pt idx="979">
                  <c:v>140.52000000000001</c:v>
                </c:pt>
                <c:pt idx="980">
                  <c:v>626.27</c:v>
                </c:pt>
                <c:pt idx="981">
                  <c:v>772.63</c:v>
                </c:pt>
                <c:pt idx="982">
                  <c:v>15.72</c:v>
                </c:pt>
                <c:pt idx="983">
                  <c:v>979.39</c:v>
                </c:pt>
                <c:pt idx="984">
                  <c:v>844.95</c:v>
                </c:pt>
                <c:pt idx="985">
                  <c:v>557.41</c:v>
                </c:pt>
                <c:pt idx="986">
                  <c:v>270.14999999999998</c:v>
                </c:pt>
                <c:pt idx="987">
                  <c:v>112.22</c:v>
                </c:pt>
                <c:pt idx="988">
                  <c:v>145.66</c:v>
                </c:pt>
                <c:pt idx="989">
                  <c:v>625.26</c:v>
                </c:pt>
                <c:pt idx="990">
                  <c:v>373.49</c:v>
                </c:pt>
                <c:pt idx="991">
                  <c:v>291.95999999999998</c:v>
                </c:pt>
                <c:pt idx="992">
                  <c:v>311.08</c:v>
                </c:pt>
                <c:pt idx="993">
                  <c:v>484.72</c:v>
                </c:pt>
                <c:pt idx="994">
                  <c:v>241.99</c:v>
                </c:pt>
                <c:pt idx="995">
                  <c:v>100.64</c:v>
                </c:pt>
                <c:pt idx="996">
                  <c:v>957.5</c:v>
                </c:pt>
                <c:pt idx="997">
                  <c:v>350.08</c:v>
                </c:pt>
                <c:pt idx="998">
                  <c:v>253.13</c:v>
                </c:pt>
                <c:pt idx="999">
                  <c:v>318.7</c:v>
                </c:pt>
                <c:pt idx="1000">
                  <c:v>422.93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ABA-4B09-9E5E-44B1A2094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55344"/>
        <c:axId val="454552944"/>
      </c:scatterChart>
      <c:valAx>
        <c:axId val="454555344"/>
        <c:scaling>
          <c:orientation val="minMax"/>
          <c:min val="2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#,##0,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52944"/>
        <c:crosses val="autoZero"/>
        <c:crossBetween val="midCat"/>
      </c:valAx>
      <c:valAx>
        <c:axId val="454552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Last</a:t>
                </a:r>
                <a:r>
                  <a:rPr lang="en-US" sz="1050" baseline="0">
                    <a:solidFill>
                      <a:schemeClr val="tx1"/>
                    </a:solidFill>
                  </a:rPr>
                  <a:t> Purchase Amount</a:t>
                </a:r>
                <a:endParaRPr lang="en-US" sz="105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5534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EBD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Which</a:t>
            </a:r>
            <a:r>
              <a:rPr lang="en-US" baseline="0">
                <a:solidFill>
                  <a:schemeClr val="tx1"/>
                </a:solidFill>
              </a:rPr>
              <a:t> Customers had the Highest Purchase?</a:t>
            </a:r>
            <a:endParaRPr lang="en-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23E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'Top 10 Customers'!$A$2:$A$1001</c:f>
              <c:numCache>
                <c:formatCode>General</c:formatCode>
                <c:ptCount val="11"/>
                <c:pt idx="0">
                  <c:v>795</c:v>
                </c:pt>
                <c:pt idx="1">
                  <c:v>984</c:v>
                </c:pt>
                <c:pt idx="2">
                  <c:v>4</c:v>
                </c:pt>
                <c:pt idx="3">
                  <c:v>802</c:v>
                </c:pt>
                <c:pt idx="4">
                  <c:v>454</c:v>
                </c:pt>
                <c:pt idx="5">
                  <c:v>796</c:v>
                </c:pt>
                <c:pt idx="6">
                  <c:v>277</c:v>
                </c:pt>
                <c:pt idx="7">
                  <c:v>845</c:v>
                </c:pt>
                <c:pt idx="8">
                  <c:v>541</c:v>
                </c:pt>
                <c:pt idx="9">
                  <c:v>381</c:v>
                </c:pt>
                <c:pt idx="10">
                  <c:v>267</c:v>
                </c:pt>
              </c:numCache>
            </c:numRef>
          </c:cat>
          <c:val>
            <c:numRef>
              <c:f>'Top 10 Customers'!$I$2:$I$1001</c:f>
              <c:numCache>
                <c:formatCode>General</c:formatCode>
                <c:ptCount val="11"/>
                <c:pt idx="0">
                  <c:v>990.34</c:v>
                </c:pt>
                <c:pt idx="1">
                  <c:v>990.87</c:v>
                </c:pt>
                <c:pt idx="2">
                  <c:v>991.93</c:v>
                </c:pt>
                <c:pt idx="3">
                  <c:v>992.17</c:v>
                </c:pt>
                <c:pt idx="4">
                  <c:v>994.1</c:v>
                </c:pt>
                <c:pt idx="5">
                  <c:v>997.15</c:v>
                </c:pt>
                <c:pt idx="6">
                  <c:v>997.24</c:v>
                </c:pt>
                <c:pt idx="7">
                  <c:v>998.09</c:v>
                </c:pt>
                <c:pt idx="8">
                  <c:v>998.51</c:v>
                </c:pt>
                <c:pt idx="9">
                  <c:v>998.98</c:v>
                </c:pt>
                <c:pt idx="10">
                  <c:v>999.74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8-4512-9B67-60B606BFB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4558704"/>
        <c:axId val="454542384"/>
      </c:barChart>
      <c:catAx>
        <c:axId val="454558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4542384"/>
        <c:crosses val="autoZero"/>
        <c:auto val="1"/>
        <c:lblAlgn val="ctr"/>
        <c:lblOffset val="100"/>
        <c:noMultiLvlLbl val="0"/>
      </c:catAx>
      <c:valAx>
        <c:axId val="45454238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Last Purchase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crossAx val="45455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EBD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Which Age groups dominate?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Calibri" panose="020F0502020204030204"/>
            </a:rPr>
            <a:t>Which Age groups dominate?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clusteredColumn" uniqueId="{25E760E9-4DCE-4EF4-8573-29BDF6B1B331}">
          <cx:tx>
            <cx:txData>
              <cx:f>_xlchart.v1.0</cx:f>
              <cx:v>age</cx:v>
            </cx:txData>
          </cx:tx>
          <cx:spPr>
            <a:solidFill>
              <a:srgbClr val="423E37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1"/>
                    </a:solidFill>
                  </a:defRPr>
                </a:pPr>
                <a:endPara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AGE DISTRIBUTION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50">
                  <a:solidFill>
                    <a:schemeClr val="tx1"/>
                  </a:solidFill>
                </a:defRPr>
              </a:pPr>
              <a:r>
                <a:rPr lang="en-US" sz="105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AGE DISTRIBUTION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 hidden="1">
        <cx:valScaling/>
        <cx:title>
          <cx:tx>
            <cx:txData>
              <cx:v>Count of ID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>
                  <a:solidFill>
                    <a:schemeClr val="tx1"/>
                  </a:solidFill>
                </a:defRPr>
              </a:pPr>
              <a:r>
                <a:rPr lang="en-US" sz="11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Count of ID</a:t>
              </a:r>
            </a:p>
          </cx:txPr>
        </cx:title>
        <cx:tickLabels/>
      </cx:axis>
    </cx:plotArea>
  </cx:chart>
  <cx:spPr>
    <a:solidFill>
      <a:srgbClr val="EDEBD7"/>
    </a:solidFill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Purchase Frequecy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Calibri" panose="020F0502020204030204"/>
            </a:rPr>
            <a:t>Purchase Frequecy Distribution</a:t>
          </a:r>
        </a:p>
      </cx:txPr>
    </cx:title>
    <cx:plotArea>
      <cx:plotAreaRegion>
        <cx:plotSurface>
          <cx:spPr>
            <a:solidFill>
              <a:srgbClr val="EDEBD7"/>
            </a:solidFill>
          </cx:spPr>
        </cx:plotSurface>
        <cx:series layoutId="clusteredColumn" uniqueId="{0EF8CA9C-6EAB-4084-87DE-9807269126D2}">
          <cx:spPr>
            <a:solidFill>
              <a:srgbClr val="423E37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b="1">
                    <a:solidFill>
                      <a:schemeClr val="tx1"/>
                    </a:solidFill>
                  </a:defRPr>
                </a:pPr>
                <a:endParaRPr lang="en-US" sz="105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No. of goods bought by customers (last purchase)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>
                  <a:solidFill>
                    <a:schemeClr val="tx1"/>
                  </a:solidFill>
                </a:defRPr>
              </a:pPr>
              <a:r>
                <a:rPr lang="en-US" sz="11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No. of goods bought by customers (last purchase)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>
                <a:solidFill>
                  <a:schemeClr val="tx1"/>
                </a:solidFill>
              </a:defRPr>
            </a:pPr>
            <a:endParaRPr lang="en-US" sz="105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100" b="0" i="0" u="none" strike="noStrike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Count</a:t>
                </a:r>
                <a:r>
                  <a:rPr lang="en-US" sz="1100" b="0" i="0" u="none" strike="noStrike" baseline="0" dirty="0">
                    <a:solidFill>
                      <a:schemeClr val="tx1"/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 of ID</a:t>
                </a: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</cx:plotArea>
  </cx:chart>
  <cx:spPr>
    <a:solidFill>
      <a:srgbClr val="EDEBD7"/>
    </a:solidFill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Which Age groups dominate?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Calibri" panose="020F0502020204030204"/>
            </a:rPr>
            <a:t>Which Age groups dominate?</a:t>
          </a:r>
        </a:p>
      </cx:txPr>
    </cx:title>
    <cx:plotArea>
      <cx:plotAreaRegion>
        <cx:series layoutId="clusteredColumn" uniqueId="{25E760E9-4DCE-4EF4-8573-29BDF6B1B331}">
          <cx:tx>
            <cx:txData>
              <cx:f>_xlchart.v1.3</cx:f>
              <cx:v>age</cx:v>
            </cx:txData>
          </cx:tx>
          <cx:spPr>
            <a:solidFill>
              <a:srgbClr val="423E37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1"/>
                    </a:solidFill>
                  </a:defRPr>
                </a:pPr>
                <a:endPara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AGE DISTRIBUTION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50">
                  <a:solidFill>
                    <a:schemeClr val="tx1"/>
                  </a:solidFill>
                </a:defRPr>
              </a:pPr>
              <a:r>
                <a:rPr lang="en-US" sz="105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AGE DISTRIBUTION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 hidden="1">
        <cx:valScaling/>
        <cx:title>
          <cx:tx>
            <cx:txData>
              <cx:v>Count of ID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>
                  <a:solidFill>
                    <a:schemeClr val="tx1"/>
                  </a:solidFill>
                </a:defRPr>
              </a:pPr>
              <a:r>
                <a:rPr lang="en-US" sz="11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Count of ID</a:t>
              </a:r>
            </a:p>
          </cx:txPr>
        </cx:title>
        <cx:majorGridlines/>
        <cx:tickLabels/>
      </cx:axis>
    </cx:plotArea>
  </cx:chart>
  <cx:spPr>
    <a:solidFill>
      <a:srgbClr val="EDEBD7"/>
    </a:solidFill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Purchase Frequecy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Calibri" panose="020F0502020204030204"/>
            </a:rPr>
            <a:t>Purchase Frequecy Distribution</a:t>
          </a:r>
        </a:p>
      </cx:txPr>
    </cx:title>
    <cx:plotArea>
      <cx:plotAreaRegion>
        <cx:plotSurface>
          <cx:spPr>
            <a:solidFill>
              <a:srgbClr val="EDEBD7"/>
            </a:solidFill>
          </cx:spPr>
        </cx:plotSurface>
        <cx:series layoutId="clusteredColumn" uniqueId="{0EF8CA9C-6EAB-4084-87DE-9807269126D2}">
          <cx:spPr>
            <a:solidFill>
              <a:srgbClr val="423E37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>
                    <a:solidFill>
                      <a:schemeClr val="tx1"/>
                    </a:solidFill>
                  </a:defRPr>
                </a:pPr>
                <a:endParaRPr lang="en-US" sz="105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No. of goods bought by customers (last purchase)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>
                  <a:solidFill>
                    <a:schemeClr val="tx1"/>
                  </a:solidFill>
                </a:defRPr>
              </a:pPr>
              <a:r>
                <a:rPr lang="en-US" sz="1100" b="0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No. of goods bought by customers (last purchase)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>
                <a:solidFill>
                  <a:schemeClr val="tx1"/>
                </a:solidFill>
              </a:defRPr>
            </a:pPr>
            <a:endParaRPr lang="en-US" sz="105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 hidden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100" b="0" i="0" u="none" strike="noStrike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Count</a:t>
                </a:r>
                <a:r>
                  <a:rPr lang="en-US" sz="1100" b="0" i="0" u="none" strike="noStrike" baseline="0" dirty="0">
                    <a:solidFill>
                      <a:schemeClr val="tx1"/>
                    </a:solidFill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 of ID</a:t>
                </a:r>
              </a:p>
            </cx:rich>
          </cx:tx>
        </cx:title>
        <cx:tickLabels/>
      </cx:axis>
    </cx:plotArea>
  </cx:chart>
  <cx:spPr>
    <a:solidFill>
      <a:srgbClr val="EDEBD7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2.xml"/><Relationship Id="rId7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hyperlink" Target="#MOR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microsoft.com/office/2014/relationships/chartEx" Target="../charts/chartEx2.xml"/><Relationship Id="rId1" Type="http://schemas.openxmlformats.org/officeDocument/2006/relationships/chart" Target="../charts/chart5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47623</xdr:colOff>
      <xdr:row>2</xdr:row>
      <xdr:rowOff>57150</xdr:rowOff>
    </xdr:from>
    <xdr:to>
      <xdr:col>8</xdr:col>
      <xdr:colOff>46423</xdr:colOff>
      <xdr:row>7</xdr:row>
      <xdr:rowOff>19050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35B89DF-6570-C5D1-66A7-CBE80E404A8D}"/>
            </a:ext>
          </a:extLst>
        </xdr:cNvPr>
        <xdr:cNvSpPr/>
      </xdr:nvSpPr>
      <xdr:spPr>
        <a:xfrm>
          <a:off x="2486023" y="295275"/>
          <a:ext cx="2437200" cy="914400"/>
        </a:xfrm>
        <a:prstGeom prst="roundRect">
          <a:avLst>
            <a:gd name="adj" fmla="val 5389"/>
          </a:avLst>
        </a:prstGeom>
        <a:solidFill>
          <a:srgbClr val="EDEB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8</xdr:col>
      <xdr:colOff>104775</xdr:colOff>
      <xdr:row>2</xdr:row>
      <xdr:rowOff>57151</xdr:rowOff>
    </xdr:from>
    <xdr:to>
      <xdr:col>12</xdr:col>
      <xdr:colOff>161925</xdr:colOff>
      <xdr:row>7</xdr:row>
      <xdr:rowOff>9526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DBC1474-06AE-8869-CFB5-99CB52DD4CC8}"/>
            </a:ext>
          </a:extLst>
        </xdr:cNvPr>
        <xdr:cNvSpPr/>
      </xdr:nvSpPr>
      <xdr:spPr>
        <a:xfrm>
          <a:off x="4981575" y="466726"/>
          <a:ext cx="2495550" cy="914400"/>
        </a:xfrm>
        <a:prstGeom prst="roundRect">
          <a:avLst>
            <a:gd name="adj" fmla="val 5389"/>
          </a:avLst>
        </a:prstGeom>
        <a:solidFill>
          <a:srgbClr val="EDEB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12</xdr:col>
      <xdr:colOff>200024</xdr:colOff>
      <xdr:row>2</xdr:row>
      <xdr:rowOff>38100</xdr:rowOff>
    </xdr:from>
    <xdr:to>
      <xdr:col>16</xdr:col>
      <xdr:colOff>198824</xdr:colOff>
      <xdr:row>7</xdr:row>
      <xdr:rowOff>9524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4C74DC6-B060-74C0-58D8-135DFF0F6B6F}"/>
            </a:ext>
          </a:extLst>
        </xdr:cNvPr>
        <xdr:cNvSpPr/>
      </xdr:nvSpPr>
      <xdr:spPr>
        <a:xfrm>
          <a:off x="7515224" y="38100"/>
          <a:ext cx="2437200" cy="923924"/>
        </a:xfrm>
        <a:prstGeom prst="roundRect">
          <a:avLst>
            <a:gd name="adj" fmla="val 5389"/>
          </a:avLst>
        </a:prstGeom>
        <a:solidFill>
          <a:srgbClr val="EDEB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66675</xdr:colOff>
      <xdr:row>2</xdr:row>
      <xdr:rowOff>66675</xdr:rowOff>
    </xdr:from>
    <xdr:to>
      <xdr:col>3</xdr:col>
      <xdr:colOff>581025</xdr:colOff>
      <xdr:row>7</xdr:row>
      <xdr:rowOff>19050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CBB91C0-9E5D-2977-03D3-9EFDD7E487F3}"/>
            </a:ext>
          </a:extLst>
        </xdr:cNvPr>
        <xdr:cNvSpPr/>
      </xdr:nvSpPr>
      <xdr:spPr>
        <a:xfrm>
          <a:off x="66675" y="304800"/>
          <a:ext cx="2343150" cy="904875"/>
        </a:xfrm>
        <a:prstGeom prst="roundRect">
          <a:avLst>
            <a:gd name="adj" fmla="val 5389"/>
          </a:avLst>
        </a:prstGeom>
        <a:solidFill>
          <a:srgbClr val="EDEB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endParaRPr lang="en-NG" sz="1100"/>
        </a:p>
      </xdr:txBody>
    </xdr:sp>
    <xdr:clientData/>
  </xdr:twoCellAnchor>
  <xdr:twoCellAnchor>
    <xdr:from>
      <xdr:col>16</xdr:col>
      <xdr:colOff>276226</xdr:colOff>
      <xdr:row>2</xdr:row>
      <xdr:rowOff>28577</xdr:rowOff>
    </xdr:from>
    <xdr:to>
      <xdr:col>20</xdr:col>
      <xdr:colOff>438150</xdr:colOff>
      <xdr:row>7</xdr:row>
      <xdr:rowOff>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DE1147A-AE1E-D426-328A-92E1923A8F99}"/>
            </a:ext>
          </a:extLst>
        </xdr:cNvPr>
        <xdr:cNvSpPr/>
      </xdr:nvSpPr>
      <xdr:spPr>
        <a:xfrm>
          <a:off x="10029826" y="28577"/>
          <a:ext cx="2600324" cy="923924"/>
        </a:xfrm>
        <a:prstGeom prst="roundRect">
          <a:avLst>
            <a:gd name="adj" fmla="val 5389"/>
          </a:avLst>
        </a:prstGeom>
        <a:solidFill>
          <a:srgbClr val="EDEB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180974</xdr:colOff>
      <xdr:row>2</xdr:row>
      <xdr:rowOff>95251</xdr:rowOff>
    </xdr:from>
    <xdr:to>
      <xdr:col>3</xdr:col>
      <xdr:colOff>476249</xdr:colOff>
      <xdr:row>5</xdr:row>
      <xdr:rowOff>161926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FFB4B3A-7F81-B5B7-524A-7D4753F55E0E}"/>
            </a:ext>
          </a:extLst>
        </xdr:cNvPr>
        <xdr:cNvSpPr txBox="1"/>
      </xdr:nvSpPr>
      <xdr:spPr>
        <a:xfrm>
          <a:off x="180974" y="476251"/>
          <a:ext cx="2124075" cy="638175"/>
        </a:xfrm>
        <a:prstGeom prst="rect">
          <a:avLst/>
        </a:prstGeom>
        <a:solidFill>
          <a:srgbClr val="EDEB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 baseline="0">
              <a:latin typeface="Segoe UI" panose="020B0502040204020203" pitchFamily="34" charset="0"/>
              <a:cs typeface="Segoe UI" panose="020B0502040204020203" pitchFamily="34" charset="0"/>
            </a:rPr>
            <a:t>     </a:t>
          </a:r>
          <a:r>
            <a:rPr lang="en-US" sz="4000" b="1">
              <a:latin typeface="Segoe UI" panose="020B0502040204020203" pitchFamily="34" charset="0"/>
              <a:cs typeface="Segoe UI" panose="020B0502040204020203" pitchFamily="34" charset="0"/>
            </a:rPr>
            <a:t>1000</a:t>
          </a:r>
          <a:r>
            <a:rPr lang="en-US" sz="3600" b="1">
              <a:latin typeface="Segoe UI" panose="020B0502040204020203" pitchFamily="34" charset="0"/>
              <a:cs typeface="Segoe UI" panose="020B0502040204020203" pitchFamily="34" charset="0"/>
            </a:rPr>
            <a:t>	</a:t>
          </a:r>
          <a:endParaRPr lang="en-NG" sz="24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57150</xdr:colOff>
      <xdr:row>2</xdr:row>
      <xdr:rowOff>142876</xdr:rowOff>
    </xdr:from>
    <xdr:to>
      <xdr:col>7</xdr:col>
      <xdr:colOff>581025</xdr:colOff>
      <xdr:row>6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35A41F6-3F26-D5B4-50F5-4DB7762D4745}"/>
            </a:ext>
          </a:extLst>
        </xdr:cNvPr>
        <xdr:cNvSpPr txBox="1"/>
      </xdr:nvSpPr>
      <xdr:spPr>
        <a:xfrm>
          <a:off x="2495550" y="552451"/>
          <a:ext cx="2352675" cy="628649"/>
        </a:xfrm>
        <a:prstGeom prst="rect">
          <a:avLst/>
        </a:prstGeom>
        <a:solidFill>
          <a:srgbClr val="EDEB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200" b="1" baseline="0">
              <a:latin typeface="Segoe UI" panose="020B0502040204020203" pitchFamily="34" charset="0"/>
              <a:cs typeface="Segoe UI" panose="020B0502040204020203" pitchFamily="34" charset="0"/>
            </a:rPr>
            <a:t>  </a:t>
          </a:r>
          <a:r>
            <a:rPr lang="en-US" sz="2400" b="1" baseline="0">
              <a:latin typeface="Segoe UI" panose="020B0502040204020203" pitchFamily="34" charset="0"/>
              <a:cs typeface="Segoe UI" panose="020B0502040204020203" pitchFamily="34" charset="0"/>
            </a:rPr>
            <a:t>$88,500.80</a:t>
          </a:r>
          <a:r>
            <a:rPr lang="en-US" sz="2400" b="1">
              <a:latin typeface="Segoe UI" panose="020B0502040204020203" pitchFamily="34" charset="0"/>
              <a:cs typeface="Segoe UI" panose="020B0502040204020203" pitchFamily="34" charset="0"/>
            </a:rPr>
            <a:t>	</a:t>
          </a:r>
          <a:endParaRPr lang="en-NG" sz="23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161925</xdr:colOff>
      <xdr:row>2</xdr:row>
      <xdr:rowOff>85726</xdr:rowOff>
    </xdr:from>
    <xdr:to>
      <xdr:col>12</xdr:col>
      <xdr:colOff>76200</xdr:colOff>
      <xdr:row>5</xdr:row>
      <xdr:rowOff>133350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89A276E-C555-52F0-8149-1E8D80C408AE}"/>
            </a:ext>
          </a:extLst>
        </xdr:cNvPr>
        <xdr:cNvSpPr txBox="1"/>
      </xdr:nvSpPr>
      <xdr:spPr>
        <a:xfrm>
          <a:off x="5038725" y="495301"/>
          <a:ext cx="2352675" cy="628649"/>
        </a:xfrm>
        <a:prstGeom prst="rect">
          <a:avLst/>
        </a:prstGeom>
        <a:solidFill>
          <a:srgbClr val="EDEB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 b="1" baseline="0">
              <a:latin typeface="Segoe UI" panose="020B0502040204020203" pitchFamily="34" charset="0"/>
              <a:cs typeface="Segoe UI" panose="020B0502040204020203" pitchFamily="34" charset="0"/>
            </a:rPr>
            <a:t>51</a:t>
          </a:r>
          <a:endParaRPr lang="en-NG" sz="28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247650</xdr:colOff>
      <xdr:row>2</xdr:row>
      <xdr:rowOff>76201</xdr:rowOff>
    </xdr:from>
    <xdr:to>
      <xdr:col>16</xdr:col>
      <xdr:colOff>161925</xdr:colOff>
      <xdr:row>6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638A8AF-B73F-EAC2-0AAE-3C0F9728DB2B}"/>
            </a:ext>
          </a:extLst>
        </xdr:cNvPr>
        <xdr:cNvSpPr txBox="1"/>
      </xdr:nvSpPr>
      <xdr:spPr>
        <a:xfrm>
          <a:off x="7562850" y="485776"/>
          <a:ext cx="2352675" cy="695324"/>
        </a:xfrm>
        <a:prstGeom prst="rect">
          <a:avLst/>
        </a:prstGeom>
        <a:solidFill>
          <a:srgbClr val="EDEB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 b="1" baseline="0">
              <a:latin typeface="Segoe UI" panose="020B0502040204020203" pitchFamily="34" charset="0"/>
              <a:cs typeface="Segoe UI" panose="020B0502040204020203" pitchFamily="34" charset="0"/>
            </a:rPr>
            <a:t>   27</a:t>
          </a:r>
          <a:r>
            <a:rPr lang="en-US" sz="3200" b="1">
              <a:latin typeface="Segoe UI" panose="020B0502040204020203" pitchFamily="34" charset="0"/>
              <a:cs typeface="Segoe UI" panose="020B0502040204020203" pitchFamily="34" charset="0"/>
            </a:rPr>
            <a:t>	</a:t>
          </a:r>
          <a:endParaRPr lang="en-NG" sz="20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342900</xdr:colOff>
      <xdr:row>2</xdr:row>
      <xdr:rowOff>161926</xdr:rowOff>
    </xdr:from>
    <xdr:to>
      <xdr:col>20</xdr:col>
      <xdr:colOff>257175</xdr:colOff>
      <xdr:row>6</xdr:row>
      <xdr:rowOff>19050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DAEBF15-32BB-7D3C-F115-A6292C8133D0}"/>
            </a:ext>
          </a:extLst>
        </xdr:cNvPr>
        <xdr:cNvSpPr txBox="1"/>
      </xdr:nvSpPr>
      <xdr:spPr>
        <a:xfrm>
          <a:off x="10096500" y="571501"/>
          <a:ext cx="2352675" cy="628649"/>
        </a:xfrm>
        <a:prstGeom prst="rect">
          <a:avLst/>
        </a:prstGeom>
        <a:solidFill>
          <a:srgbClr val="EDEB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300" b="1">
              <a:latin typeface="Segoe UI" panose="020B0502040204020203" pitchFamily="34" charset="0"/>
              <a:cs typeface="Segoe UI" panose="020B0502040204020203" pitchFamily="34" charset="0"/>
            </a:rPr>
            <a:t>ELECTRONICS</a:t>
          </a:r>
          <a:endParaRPr lang="en-NG" sz="23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371474</xdr:colOff>
      <xdr:row>5</xdr:row>
      <xdr:rowOff>142876</xdr:rowOff>
    </xdr:from>
    <xdr:to>
      <xdr:col>3</xdr:col>
      <xdr:colOff>380999</xdr:colOff>
      <xdr:row>6</xdr:row>
      <xdr:rowOff>152400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C5D40C3-4FC6-14C2-F901-9348EC85B1B1}"/>
            </a:ext>
          </a:extLst>
        </xdr:cNvPr>
        <xdr:cNvSpPr txBox="1"/>
      </xdr:nvSpPr>
      <xdr:spPr>
        <a:xfrm>
          <a:off x="371474" y="952501"/>
          <a:ext cx="1838325" cy="200024"/>
        </a:xfrm>
        <a:prstGeom prst="rect">
          <a:avLst/>
        </a:prstGeom>
        <a:solidFill>
          <a:srgbClr val="EDEB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TOTAL NO OF CUSTOMERS</a:t>
          </a:r>
          <a:endParaRPr lang="en-NG" sz="1100"/>
        </a:p>
      </xdr:txBody>
    </xdr:sp>
    <xdr:clientData/>
  </xdr:twoCellAnchor>
  <xdr:twoCellAnchor>
    <xdr:from>
      <xdr:col>4</xdr:col>
      <xdr:colOff>142874</xdr:colOff>
      <xdr:row>5</xdr:row>
      <xdr:rowOff>114301</xdr:rowOff>
    </xdr:from>
    <xdr:to>
      <xdr:col>7</xdr:col>
      <xdr:colOff>552450</xdr:colOff>
      <xdr:row>6</xdr:row>
      <xdr:rowOff>161925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D4FA194-F864-8BE4-7914-B2DE73DBC61C}"/>
            </a:ext>
          </a:extLst>
        </xdr:cNvPr>
        <xdr:cNvSpPr txBox="1"/>
      </xdr:nvSpPr>
      <xdr:spPr>
        <a:xfrm>
          <a:off x="2581274" y="1104901"/>
          <a:ext cx="2238376" cy="238124"/>
        </a:xfrm>
        <a:prstGeom prst="rect">
          <a:avLst/>
        </a:prstGeom>
        <a:solidFill>
          <a:srgbClr val="EDEB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AVERAGE</a:t>
          </a:r>
          <a:r>
            <a:rPr lang="en-US" sz="1100" baseline="0"/>
            <a:t> INCOME OF CUSTOMERS</a:t>
          </a:r>
          <a:endParaRPr lang="en-NG" sz="1100"/>
        </a:p>
      </xdr:txBody>
    </xdr:sp>
    <xdr:clientData/>
  </xdr:twoCellAnchor>
  <xdr:twoCellAnchor>
    <xdr:from>
      <xdr:col>8</xdr:col>
      <xdr:colOff>457199</xdr:colOff>
      <xdr:row>5</xdr:row>
      <xdr:rowOff>123826</xdr:rowOff>
    </xdr:from>
    <xdr:to>
      <xdr:col>11</xdr:col>
      <xdr:colOff>581025</xdr:colOff>
      <xdr:row>6</xdr:row>
      <xdr:rowOff>171450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4EE5D5F-8BE8-2C89-27F5-76B8E4B9BD55}"/>
            </a:ext>
          </a:extLst>
        </xdr:cNvPr>
        <xdr:cNvSpPr txBox="1"/>
      </xdr:nvSpPr>
      <xdr:spPr>
        <a:xfrm>
          <a:off x="5333999" y="1114426"/>
          <a:ext cx="1952626" cy="238124"/>
        </a:xfrm>
        <a:prstGeom prst="rect">
          <a:avLst/>
        </a:prstGeom>
        <a:solidFill>
          <a:srgbClr val="EDEB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AVERAGE</a:t>
          </a:r>
          <a:r>
            <a:rPr lang="en-US" sz="1100" baseline="0"/>
            <a:t> SPENDING SCORE </a:t>
          </a:r>
          <a:endParaRPr lang="en-NG" sz="1100"/>
        </a:p>
      </xdr:txBody>
    </xdr:sp>
    <xdr:clientData/>
  </xdr:twoCellAnchor>
  <xdr:twoCellAnchor>
    <xdr:from>
      <xdr:col>12</xdr:col>
      <xdr:colOff>352423</xdr:colOff>
      <xdr:row>5</xdr:row>
      <xdr:rowOff>114301</xdr:rowOff>
    </xdr:from>
    <xdr:to>
      <xdr:col>16</xdr:col>
      <xdr:colOff>66674</xdr:colOff>
      <xdr:row>6</xdr:row>
      <xdr:rowOff>161925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F49E786-D69C-6C02-3A62-1BE9D4675F55}"/>
            </a:ext>
          </a:extLst>
        </xdr:cNvPr>
        <xdr:cNvSpPr txBox="1"/>
      </xdr:nvSpPr>
      <xdr:spPr>
        <a:xfrm>
          <a:off x="7667623" y="1104901"/>
          <a:ext cx="2152651" cy="238124"/>
        </a:xfrm>
        <a:prstGeom prst="rect">
          <a:avLst/>
        </a:prstGeom>
        <a:solidFill>
          <a:srgbClr val="EDEB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AVERAGE</a:t>
          </a:r>
          <a:r>
            <a:rPr lang="en-US" sz="1100" baseline="0"/>
            <a:t> PURCHASE FREQUENCY</a:t>
          </a:r>
          <a:endParaRPr lang="en-NG" sz="1100"/>
        </a:p>
      </xdr:txBody>
    </xdr:sp>
    <xdr:clientData/>
  </xdr:twoCellAnchor>
  <xdr:twoCellAnchor>
    <xdr:from>
      <xdr:col>17</xdr:col>
      <xdr:colOff>9523</xdr:colOff>
      <xdr:row>5</xdr:row>
      <xdr:rowOff>123826</xdr:rowOff>
    </xdr:from>
    <xdr:to>
      <xdr:col>20</xdr:col>
      <xdr:colOff>133350</xdr:colOff>
      <xdr:row>6</xdr:row>
      <xdr:rowOff>171450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F9D1727-4EA1-F5FE-9B0F-AF49D03BEA11}"/>
            </a:ext>
          </a:extLst>
        </xdr:cNvPr>
        <xdr:cNvSpPr txBox="1"/>
      </xdr:nvSpPr>
      <xdr:spPr>
        <a:xfrm>
          <a:off x="10372723" y="1114426"/>
          <a:ext cx="1952627" cy="238124"/>
        </a:xfrm>
        <a:prstGeom prst="rect">
          <a:avLst/>
        </a:prstGeom>
        <a:solidFill>
          <a:srgbClr val="EDEB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MOST</a:t>
          </a:r>
          <a:r>
            <a:rPr lang="en-US" sz="1100" baseline="0"/>
            <a:t> POPULAR CATEGORY</a:t>
          </a:r>
          <a:endParaRPr lang="en-NG" sz="1100"/>
        </a:p>
      </xdr:txBody>
    </xdr:sp>
    <xdr:clientData/>
  </xdr:twoCellAnchor>
  <xdr:twoCellAnchor>
    <xdr:from>
      <xdr:col>0</xdr:col>
      <xdr:colOff>84364</xdr:colOff>
      <xdr:row>7</xdr:row>
      <xdr:rowOff>75692</xdr:rowOff>
    </xdr:from>
    <xdr:to>
      <xdr:col>6</xdr:col>
      <xdr:colOff>381000</xdr:colOff>
      <xdr:row>20</xdr:row>
      <xdr:rowOff>114300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16A61E70-8C84-1AE7-98E2-80D4C6A2DD87}"/>
            </a:ext>
          </a:extLst>
        </xdr:cNvPr>
        <xdr:cNvGrpSpPr/>
      </xdr:nvGrpSpPr>
      <xdr:grpSpPr>
        <a:xfrm>
          <a:off x="84364" y="1447292"/>
          <a:ext cx="3954236" cy="2515108"/>
          <a:chOff x="223431" y="1645945"/>
          <a:chExt cx="4307544" cy="2559843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76BF1D38-3A00-06B3-6542-B3101B54303F}"/>
              </a:ext>
            </a:extLst>
          </xdr:cNvPr>
          <xdr:cNvSpPr/>
        </xdr:nvSpPr>
        <xdr:spPr>
          <a:xfrm>
            <a:off x="223431" y="1645945"/>
            <a:ext cx="4307544" cy="2559843"/>
          </a:xfrm>
          <a:prstGeom prst="roundRect">
            <a:avLst>
              <a:gd name="adj" fmla="val 3579"/>
            </a:avLst>
          </a:prstGeom>
          <a:solidFill>
            <a:srgbClr val="EDEBD7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>
              <a:solidFill>
                <a:schemeClr val="tx1"/>
              </a:solidFill>
            </a:endParaRPr>
          </a:p>
          <a:p>
            <a:pPr algn="l"/>
            <a:endParaRPr lang="en-NG" sz="1100"/>
          </a:p>
        </xdr:txBody>
      </xdr:sp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25" name="Chart 24">
                <a:extLst>
                  <a:ext uri="{FF2B5EF4-FFF2-40B4-BE49-F238E27FC236}">
                    <a16:creationId xmlns:a16="http://schemas.microsoft.com/office/drawing/2014/main" id="{592E7AAC-1544-44FF-ABFA-A53452329558}"/>
                  </a:ext>
                </a:extLst>
              </xdr:cNvPr>
              <xdr:cNvGraphicFramePr/>
            </xdr:nvGraphicFramePr>
            <xdr:xfrm>
              <a:off x="259316" y="1702247"/>
              <a:ext cx="4060031" cy="2464595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9316" y="1702247"/>
                <a:ext cx="4060031" cy="246459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NG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</xdr:grpSp>
    <xdr:clientData/>
  </xdr:twoCellAnchor>
  <xdr:twoCellAnchor>
    <xdr:from>
      <xdr:col>13</xdr:col>
      <xdr:colOff>323850</xdr:colOff>
      <xdr:row>7</xdr:row>
      <xdr:rowOff>76200</xdr:rowOff>
    </xdr:from>
    <xdr:to>
      <xdr:col>20</xdr:col>
      <xdr:colOff>438150</xdr:colOff>
      <xdr:row>20</xdr:row>
      <xdr:rowOff>104775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3A8981AD-46E2-B7DB-5044-251DA7A53E5E}"/>
            </a:ext>
          </a:extLst>
        </xdr:cNvPr>
        <xdr:cNvGrpSpPr/>
      </xdr:nvGrpSpPr>
      <xdr:grpSpPr>
        <a:xfrm>
          <a:off x="8248650" y="1447800"/>
          <a:ext cx="4381500" cy="2505075"/>
          <a:chOff x="8401051" y="1000125"/>
          <a:chExt cx="4267200" cy="2819400"/>
        </a:xfrm>
      </xdr:grpSpPr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630FEF55-1DCD-12B6-FAA9-75C355F256B5}"/>
              </a:ext>
            </a:extLst>
          </xdr:cNvPr>
          <xdr:cNvSpPr/>
        </xdr:nvSpPr>
        <xdr:spPr>
          <a:xfrm>
            <a:off x="8401051" y="1000125"/>
            <a:ext cx="4267200" cy="2819400"/>
          </a:xfrm>
          <a:prstGeom prst="roundRect">
            <a:avLst>
              <a:gd name="adj" fmla="val 3362"/>
            </a:avLst>
          </a:prstGeom>
          <a:solidFill>
            <a:srgbClr val="EDEBD7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>
              <a:solidFill>
                <a:schemeClr val="tx1"/>
              </a:solidFill>
            </a:endParaRPr>
          </a:p>
          <a:p>
            <a:pPr algn="l"/>
            <a:endParaRPr lang="en-NG" sz="1100"/>
          </a:p>
        </xdr:txBody>
      </xdr: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43CF8A3B-4F4D-44A5-8722-597E11194B39}"/>
              </a:ext>
            </a:extLst>
          </xdr:cNvPr>
          <xdr:cNvGraphicFramePr>
            <a:graphicFrameLocks/>
          </xdr:cNvGraphicFramePr>
        </xdr:nvGraphicFramePr>
        <xdr:xfrm>
          <a:off x="8496299" y="1032285"/>
          <a:ext cx="4144123" cy="27586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13</xdr:col>
      <xdr:colOff>276229</xdr:colOff>
      <xdr:row>9</xdr:row>
      <xdr:rowOff>152400</xdr:rowOff>
    </xdr:from>
    <xdr:to>
      <xdr:col>13</xdr:col>
      <xdr:colOff>500065</xdr:colOff>
      <xdr:row>16</xdr:row>
      <xdr:rowOff>33338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D8BCA5E-5556-58CD-013A-B7063E54BA3D}"/>
            </a:ext>
          </a:extLst>
        </xdr:cNvPr>
        <xdr:cNvSpPr txBox="1"/>
      </xdr:nvSpPr>
      <xdr:spPr>
        <a:xfrm rot="16200000">
          <a:off x="7705728" y="2400301"/>
          <a:ext cx="1214438" cy="223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Spending</a:t>
          </a:r>
          <a:r>
            <a:rPr lang="en-US" sz="1100" baseline="0"/>
            <a:t> score</a:t>
          </a:r>
          <a:endParaRPr lang="en-NG" sz="1100"/>
        </a:p>
      </xdr:txBody>
    </xdr:sp>
    <xdr:clientData/>
  </xdr:twoCellAnchor>
  <xdr:twoCellAnchor>
    <xdr:from>
      <xdr:col>6</xdr:col>
      <xdr:colOff>438150</xdr:colOff>
      <xdr:row>7</xdr:row>
      <xdr:rowOff>56810</xdr:rowOff>
    </xdr:from>
    <xdr:to>
      <xdr:col>13</xdr:col>
      <xdr:colOff>295275</xdr:colOff>
      <xdr:row>20</xdr:row>
      <xdr:rowOff>114300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1A730A87-A348-1500-3315-04C3C00344AE}"/>
            </a:ext>
          </a:extLst>
        </xdr:cNvPr>
        <xdr:cNvGrpSpPr/>
      </xdr:nvGrpSpPr>
      <xdr:grpSpPr>
        <a:xfrm>
          <a:off x="4095750" y="1428410"/>
          <a:ext cx="4124325" cy="2533990"/>
          <a:chOff x="3827727" y="1018425"/>
          <a:chExt cx="4067175" cy="2724150"/>
        </a:xfrm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33F618C0-1F60-F9E7-E554-727041316D88}"/>
              </a:ext>
            </a:extLst>
          </xdr:cNvPr>
          <xdr:cNvSpPr/>
        </xdr:nvSpPr>
        <xdr:spPr>
          <a:xfrm>
            <a:off x="3827727" y="1018425"/>
            <a:ext cx="4067175" cy="2724150"/>
          </a:xfrm>
          <a:prstGeom prst="roundRect">
            <a:avLst>
              <a:gd name="adj" fmla="val 5556"/>
            </a:avLst>
          </a:prstGeom>
          <a:solidFill>
            <a:srgbClr val="EDEBD7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graphicFrame macro="">
        <xdr:nvGraphicFramePr>
          <xdr:cNvPr id="31" name="Chart 30">
            <a:extLst>
              <a:ext uri="{FF2B5EF4-FFF2-40B4-BE49-F238E27FC236}">
                <a16:creationId xmlns:a16="http://schemas.microsoft.com/office/drawing/2014/main" id="{FF38C796-ED4D-4E00-BE26-92D70432141F}"/>
              </a:ext>
            </a:extLst>
          </xdr:cNvPr>
          <xdr:cNvGraphicFramePr>
            <a:graphicFrameLocks/>
          </xdr:cNvGraphicFramePr>
        </xdr:nvGraphicFramePr>
        <xdr:xfrm>
          <a:off x="3884986" y="1095104"/>
          <a:ext cx="3933825" cy="2619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13</xdr:col>
      <xdr:colOff>409575</xdr:colOff>
      <xdr:row>20</xdr:row>
      <xdr:rowOff>180975</xdr:rowOff>
    </xdr:from>
    <xdr:to>
      <xdr:col>20</xdr:col>
      <xdr:colOff>438150</xdr:colOff>
      <xdr:row>32</xdr:row>
      <xdr:rowOff>95250</xdr:rowOff>
    </xdr:to>
    <xdr:sp macro="" textlink="">
      <xdr:nvSpPr>
        <xdr:cNvPr id="43" name="Rectangle: Rounded Corners 4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54C1CA-301A-3481-0853-01E881500B2B}"/>
            </a:ext>
          </a:extLst>
        </xdr:cNvPr>
        <xdr:cNvSpPr/>
      </xdr:nvSpPr>
      <xdr:spPr>
        <a:xfrm>
          <a:off x="8334375" y="4029075"/>
          <a:ext cx="4295775" cy="2200275"/>
        </a:xfrm>
        <a:prstGeom prst="roundRect">
          <a:avLst>
            <a:gd name="adj" fmla="val 3362"/>
          </a:avLst>
        </a:prstGeom>
        <a:solidFill>
          <a:srgbClr val="EDEB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endParaRPr lang="en-NG" sz="1100"/>
        </a:p>
      </xdr:txBody>
    </xdr:sp>
    <xdr:clientData/>
  </xdr:twoCellAnchor>
  <xdr:twoCellAnchor>
    <xdr:from>
      <xdr:col>6</xdr:col>
      <xdr:colOff>476250</xdr:colOff>
      <xdr:row>20</xdr:row>
      <xdr:rowOff>180974</xdr:rowOff>
    </xdr:from>
    <xdr:to>
      <xdr:col>13</xdr:col>
      <xdr:colOff>352425</xdr:colOff>
      <xdr:row>32</xdr:row>
      <xdr:rowOff>114300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2D68EDE6-5EE2-3864-2BCF-19A4FE23673C}"/>
            </a:ext>
          </a:extLst>
        </xdr:cNvPr>
        <xdr:cNvGrpSpPr/>
      </xdr:nvGrpSpPr>
      <xdr:grpSpPr>
        <a:xfrm>
          <a:off x="4133850" y="4029074"/>
          <a:ext cx="4143375" cy="2219326"/>
          <a:chOff x="4133850" y="3886199"/>
          <a:chExt cx="4048125" cy="2111473"/>
        </a:xfrm>
      </xdr:grpSpPr>
      <xdr:sp macro="" textlink="">
        <xdr:nvSpPr>
          <xdr:cNvPr id="42" name="Rectangle: Rounded Corners 41">
            <a:extLst>
              <a:ext uri="{FF2B5EF4-FFF2-40B4-BE49-F238E27FC236}">
                <a16:creationId xmlns:a16="http://schemas.microsoft.com/office/drawing/2014/main" id="{8B854A83-E412-412C-83BD-B7CF9CB73489}"/>
              </a:ext>
            </a:extLst>
          </xdr:cNvPr>
          <xdr:cNvSpPr/>
        </xdr:nvSpPr>
        <xdr:spPr>
          <a:xfrm>
            <a:off x="4133850" y="3886199"/>
            <a:ext cx="4048125" cy="2111473"/>
          </a:xfrm>
          <a:prstGeom prst="roundRect">
            <a:avLst>
              <a:gd name="adj" fmla="val 3362"/>
            </a:avLst>
          </a:prstGeom>
          <a:solidFill>
            <a:srgbClr val="EDEBD7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>
              <a:solidFill>
                <a:schemeClr val="tx1"/>
              </a:solidFill>
            </a:endParaRPr>
          </a:p>
          <a:p>
            <a:pPr algn="l"/>
            <a:endParaRPr lang="en-NG" sz="1100"/>
          </a:p>
        </xdr:txBody>
      </xdr:sp>
      <xdr:graphicFrame macro="">
        <xdr:nvGraphicFramePr>
          <xdr:cNvPr id="44" name="Chart 43">
            <a:extLst>
              <a:ext uri="{FF2B5EF4-FFF2-40B4-BE49-F238E27FC236}">
                <a16:creationId xmlns:a16="http://schemas.microsoft.com/office/drawing/2014/main" id="{18D84C68-FF83-4B19-83CC-8DD5C5AF5993}"/>
              </a:ext>
            </a:extLst>
          </xdr:cNvPr>
          <xdr:cNvGraphicFramePr>
            <a:graphicFrameLocks/>
          </xdr:cNvGraphicFramePr>
        </xdr:nvGraphicFramePr>
        <xdr:xfrm>
          <a:off x="4179540" y="3922448"/>
          <a:ext cx="3975021" cy="204972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0</xdr:col>
      <xdr:colOff>95251</xdr:colOff>
      <xdr:row>20</xdr:row>
      <xdr:rowOff>171450</xdr:rowOff>
    </xdr:from>
    <xdr:to>
      <xdr:col>6</xdr:col>
      <xdr:colOff>428625</xdr:colOff>
      <xdr:row>32</xdr:row>
      <xdr:rowOff>95250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904F9932-C411-C58C-C05C-2FEE14ED96A9}"/>
            </a:ext>
          </a:extLst>
        </xdr:cNvPr>
        <xdr:cNvGrpSpPr/>
      </xdr:nvGrpSpPr>
      <xdr:grpSpPr>
        <a:xfrm>
          <a:off x="95251" y="4019550"/>
          <a:ext cx="3990974" cy="2209800"/>
          <a:chOff x="95251" y="3886200"/>
          <a:chExt cx="3981450" cy="2085975"/>
        </a:xfrm>
      </xdr:grpSpPr>
      <xdr:sp macro="" textlink="">
        <xdr:nvSpPr>
          <xdr:cNvPr id="39" name="Rectangle: Rounded Corners 38">
            <a:extLst>
              <a:ext uri="{FF2B5EF4-FFF2-40B4-BE49-F238E27FC236}">
                <a16:creationId xmlns:a16="http://schemas.microsoft.com/office/drawing/2014/main" id="{2686F6CF-ABE2-54D2-4C30-46E2738716D6}"/>
              </a:ext>
            </a:extLst>
          </xdr:cNvPr>
          <xdr:cNvSpPr/>
        </xdr:nvSpPr>
        <xdr:spPr>
          <a:xfrm>
            <a:off x="95251" y="3886200"/>
            <a:ext cx="3981450" cy="2085975"/>
          </a:xfrm>
          <a:prstGeom prst="roundRect">
            <a:avLst>
              <a:gd name="adj" fmla="val 3362"/>
            </a:avLst>
          </a:prstGeom>
          <a:solidFill>
            <a:srgbClr val="EDEBD7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>
              <a:solidFill>
                <a:schemeClr val="tx1"/>
              </a:solidFill>
            </a:endParaRPr>
          </a:p>
          <a:p>
            <a:pPr algn="l"/>
            <a:endParaRPr lang="en-NG" sz="1100"/>
          </a:p>
        </xdr:txBody>
      </xdr:sp>
      <xdr:graphicFrame macro="">
        <xdr:nvGraphicFramePr>
          <xdr:cNvPr id="69" name="Chart 68">
            <a:extLst>
              <a:ext uri="{FF2B5EF4-FFF2-40B4-BE49-F238E27FC236}">
                <a16:creationId xmlns:a16="http://schemas.microsoft.com/office/drawing/2014/main" id="{843EEBD0-85A8-4698-845E-E71D6ABA1F90}"/>
              </a:ext>
            </a:extLst>
          </xdr:cNvPr>
          <xdr:cNvGraphicFramePr>
            <a:graphicFrameLocks/>
          </xdr:cNvGraphicFramePr>
        </xdr:nvGraphicFramePr>
        <xdr:xfrm>
          <a:off x="152399" y="3913175"/>
          <a:ext cx="3895794" cy="20209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 editAs="oneCell">
    <xdr:from>
      <xdr:col>15</xdr:col>
      <xdr:colOff>200026</xdr:colOff>
      <xdr:row>23</xdr:row>
      <xdr:rowOff>133348</xdr:rowOff>
    </xdr:from>
    <xdr:to>
      <xdr:col>19</xdr:col>
      <xdr:colOff>66676</xdr:colOff>
      <xdr:row>32</xdr:row>
      <xdr:rowOff>62965</xdr:rowOff>
    </xdr:to>
    <xdr:pic>
      <xdr:nvPicPr>
        <xdr:cNvPr id="75" name="Graphic 74" descr="Chevron arrows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0FE9BB2-46C9-750F-58A2-B107E946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344026" y="4552948"/>
          <a:ext cx="2305050" cy="1644117"/>
        </a:xfrm>
        <a:prstGeom prst="rect">
          <a:avLst/>
        </a:prstGeom>
      </xdr:spPr>
    </xdr:pic>
    <xdr:clientData/>
  </xdr:twoCellAnchor>
  <xdr:twoCellAnchor>
    <xdr:from>
      <xdr:col>15</xdr:col>
      <xdr:colOff>19050</xdr:colOff>
      <xdr:row>21</xdr:row>
      <xdr:rowOff>76200</xdr:rowOff>
    </xdr:from>
    <xdr:to>
      <xdr:col>19</xdr:col>
      <xdr:colOff>9525</xdr:colOff>
      <xdr:row>23</xdr:row>
      <xdr:rowOff>180975</xdr:rowOff>
    </xdr:to>
    <xdr:sp macro="" textlink="">
      <xdr:nvSpPr>
        <xdr:cNvPr id="76" name="TextBox 7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7043C7-59FD-68A9-DE0C-F56EA244E330}"/>
            </a:ext>
          </a:extLst>
        </xdr:cNvPr>
        <xdr:cNvSpPr txBox="1"/>
      </xdr:nvSpPr>
      <xdr:spPr>
        <a:xfrm>
          <a:off x="9163050" y="4114800"/>
          <a:ext cx="2428875" cy="485775"/>
        </a:xfrm>
        <a:prstGeom prst="rect">
          <a:avLst/>
        </a:prstGeom>
        <a:solidFill>
          <a:srgbClr val="EDEB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latin typeface="Segoe UI" panose="020B0502040204020203" pitchFamily="34" charset="0"/>
              <a:cs typeface="Segoe UI" panose="020B0502040204020203" pitchFamily="34" charset="0"/>
            </a:rPr>
            <a:t>MORE</a:t>
          </a:r>
          <a:r>
            <a:rPr lang="en-US" sz="2400" b="1" baseline="0">
              <a:latin typeface="Segoe UI" panose="020B0502040204020203" pitchFamily="34" charset="0"/>
              <a:cs typeface="Segoe UI" panose="020B0502040204020203" pitchFamily="34" charset="0"/>
            </a:rPr>
            <a:t> CHARTS</a:t>
          </a:r>
          <a:endParaRPr lang="en-NG" sz="24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5</xdr:row>
      <xdr:rowOff>28574</xdr:rowOff>
    </xdr:from>
    <xdr:to>
      <xdr:col>6</xdr:col>
      <xdr:colOff>457200</xdr:colOff>
      <xdr:row>19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C0DAA09-1EE3-2455-BA96-43A58F28DB40}"/>
            </a:ext>
          </a:extLst>
        </xdr:cNvPr>
        <xdr:cNvSpPr/>
      </xdr:nvSpPr>
      <xdr:spPr>
        <a:xfrm>
          <a:off x="66674" y="981074"/>
          <a:ext cx="4048126" cy="2762251"/>
        </a:xfrm>
        <a:prstGeom prst="roundRect">
          <a:avLst>
            <a:gd name="adj" fmla="val 6792"/>
          </a:avLst>
        </a:prstGeom>
        <a:solidFill>
          <a:srgbClr val="EDEB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6</xdr:col>
      <xdr:colOff>561974</xdr:colOff>
      <xdr:row>5</xdr:row>
      <xdr:rowOff>28574</xdr:rowOff>
    </xdr:from>
    <xdr:to>
      <xdr:col>13</xdr:col>
      <xdr:colOff>381000</xdr:colOff>
      <xdr:row>19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D8C7E83-82DE-F303-47F8-0D89342D9CA8}"/>
            </a:ext>
          </a:extLst>
        </xdr:cNvPr>
        <xdr:cNvSpPr/>
      </xdr:nvSpPr>
      <xdr:spPr>
        <a:xfrm>
          <a:off x="4219574" y="981074"/>
          <a:ext cx="4086226" cy="2790826"/>
        </a:xfrm>
        <a:prstGeom prst="roundRect">
          <a:avLst>
            <a:gd name="adj" fmla="val 6792"/>
          </a:avLst>
        </a:prstGeom>
        <a:solidFill>
          <a:srgbClr val="EDEB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13</xdr:col>
      <xdr:colOff>485773</xdr:colOff>
      <xdr:row>5</xdr:row>
      <xdr:rowOff>28574</xdr:rowOff>
    </xdr:from>
    <xdr:to>
      <xdr:col>20</xdr:col>
      <xdr:colOff>419100</xdr:colOff>
      <xdr:row>19</xdr:row>
      <xdr:rowOff>161925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FF9639B-B9C3-EBAC-1D9F-10E83BBC4507}"/>
            </a:ext>
          </a:extLst>
        </xdr:cNvPr>
        <xdr:cNvSpPr/>
      </xdr:nvSpPr>
      <xdr:spPr>
        <a:xfrm>
          <a:off x="8410573" y="981074"/>
          <a:ext cx="4200527" cy="2800351"/>
        </a:xfrm>
        <a:prstGeom prst="roundRect">
          <a:avLst>
            <a:gd name="adj" fmla="val 6792"/>
          </a:avLst>
        </a:prstGeom>
        <a:solidFill>
          <a:srgbClr val="EDEB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0</xdr:col>
      <xdr:colOff>238125</xdr:colOff>
      <xdr:row>5</xdr:row>
      <xdr:rowOff>114300</xdr:rowOff>
    </xdr:from>
    <xdr:to>
      <xdr:col>6</xdr:col>
      <xdr:colOff>371475</xdr:colOff>
      <xdr:row>19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F1E071-42AF-4FDF-BF69-45570F92E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80962</xdr:colOff>
      <xdr:row>8</xdr:row>
      <xdr:rowOff>119062</xdr:rowOff>
    </xdr:from>
    <xdr:to>
      <xdr:col>0</xdr:col>
      <xdr:colOff>309563</xdr:colOff>
      <xdr:row>16</xdr:row>
      <xdr:rowOff>90487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34A7A-B117-C55C-1B59-5C9A95CF3C91}"/>
            </a:ext>
          </a:extLst>
        </xdr:cNvPr>
        <xdr:cNvSpPr txBox="1"/>
      </xdr:nvSpPr>
      <xdr:spPr>
        <a:xfrm rot="16200000">
          <a:off x="-552450" y="2276474"/>
          <a:ext cx="1495425" cy="228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Last</a:t>
          </a:r>
          <a:r>
            <a:rPr lang="en-US" sz="1100" baseline="0"/>
            <a:t> Purchase Amount</a:t>
          </a:r>
          <a:endParaRPr lang="en-NG" sz="1100"/>
        </a:p>
      </xdr:txBody>
    </xdr:sp>
    <xdr:clientData/>
  </xdr:twoCellAnchor>
  <xdr:twoCellAnchor>
    <xdr:from>
      <xdr:col>7</xdr:col>
      <xdr:colOff>9524</xdr:colOff>
      <xdr:row>5</xdr:row>
      <xdr:rowOff>142874</xdr:rowOff>
    </xdr:from>
    <xdr:to>
      <xdr:col>13</xdr:col>
      <xdr:colOff>282948</xdr:colOff>
      <xdr:row>19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94CFC9F-F73E-493C-9858-EE6488E23D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6724" y="1095374"/>
              <a:ext cx="3931024" cy="26098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571500</xdr:colOff>
      <xdr:row>5</xdr:row>
      <xdr:rowOff>66675</xdr:rowOff>
    </xdr:from>
    <xdr:to>
      <xdr:col>20</xdr:col>
      <xdr:colOff>314325</xdr:colOff>
      <xdr:row>19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D2428AD-FC13-4655-B316-392FDA19D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20</xdr:row>
      <xdr:rowOff>57150</xdr:rowOff>
    </xdr:from>
    <xdr:to>
      <xdr:col>6</xdr:col>
      <xdr:colOff>419101</xdr:colOff>
      <xdr:row>32</xdr:row>
      <xdr:rowOff>133350</xdr:rowOff>
    </xdr:to>
    <xdr:sp macro="" textlink="">
      <xdr:nvSpPr>
        <xdr:cNvPr id="10" name="Rectangle: Rounded Corner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425E83-CFDD-4578-A967-5774A9F2E50E}"/>
            </a:ext>
          </a:extLst>
        </xdr:cNvPr>
        <xdr:cNvSpPr/>
      </xdr:nvSpPr>
      <xdr:spPr>
        <a:xfrm>
          <a:off x="104775" y="3867150"/>
          <a:ext cx="3971926" cy="2362200"/>
        </a:xfrm>
        <a:prstGeom prst="roundRect">
          <a:avLst>
            <a:gd name="adj" fmla="val 3362"/>
          </a:avLst>
        </a:prstGeom>
        <a:solidFill>
          <a:srgbClr val="EDEBD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endParaRPr lang="en-NG" sz="1100"/>
        </a:p>
      </xdr:txBody>
    </xdr:sp>
    <xdr:clientData/>
  </xdr:twoCellAnchor>
  <xdr:twoCellAnchor>
    <xdr:from>
      <xdr:col>1</xdr:col>
      <xdr:colOff>238125</xdr:colOff>
      <xdr:row>20</xdr:row>
      <xdr:rowOff>123825</xdr:rowOff>
    </xdr:from>
    <xdr:to>
      <xdr:col>5</xdr:col>
      <xdr:colOff>228600</xdr:colOff>
      <xdr:row>23</xdr:row>
      <xdr:rowOff>73850</xdr:rowOff>
    </xdr:to>
    <xdr:sp macro="" textlink="">
      <xdr:nvSpPr>
        <xdr:cNvPr id="11" name="TextBox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0B9B534-2A40-42BE-A023-FAB7EB515B4C}"/>
            </a:ext>
          </a:extLst>
        </xdr:cNvPr>
        <xdr:cNvSpPr txBox="1"/>
      </xdr:nvSpPr>
      <xdr:spPr>
        <a:xfrm>
          <a:off x="847725" y="3933825"/>
          <a:ext cx="2428875" cy="521525"/>
        </a:xfrm>
        <a:prstGeom prst="rect">
          <a:avLst/>
        </a:prstGeom>
        <a:solidFill>
          <a:srgbClr val="EDEBD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latin typeface="Segoe UI" panose="020B0502040204020203" pitchFamily="34" charset="0"/>
              <a:cs typeface="Segoe UI" panose="020B0502040204020203" pitchFamily="34" charset="0"/>
            </a:rPr>
            <a:t>MAIN</a:t>
          </a:r>
          <a:r>
            <a:rPr lang="en-US" sz="2400" b="1" baseline="0">
              <a:latin typeface="Segoe UI" panose="020B0502040204020203" pitchFamily="34" charset="0"/>
              <a:cs typeface="Segoe UI" panose="020B0502040204020203" pitchFamily="34" charset="0"/>
            </a:rPr>
            <a:t> CHARTS</a:t>
          </a:r>
          <a:endParaRPr lang="en-NG" sz="24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238125</xdr:colOff>
      <xdr:row>23</xdr:row>
      <xdr:rowOff>47625</xdr:rowOff>
    </xdr:from>
    <xdr:to>
      <xdr:col>5</xdr:col>
      <xdr:colOff>104775</xdr:colOff>
      <xdr:row>31</xdr:row>
      <xdr:rowOff>167742</xdr:rowOff>
    </xdr:to>
    <xdr:pic>
      <xdr:nvPicPr>
        <xdr:cNvPr id="12" name="Graphic 11" descr="Chevron arrows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C67240-8A14-4097-8147-9691795FA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10800000">
          <a:off x="847725" y="4429125"/>
          <a:ext cx="2305050" cy="16441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4</xdr:row>
      <xdr:rowOff>90487</xdr:rowOff>
    </xdr:from>
    <xdr:to>
      <xdr:col>10</xdr:col>
      <xdr:colOff>600075</xdr:colOff>
      <xdr:row>18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E37E9-2EAD-269D-F166-16BA60B7D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1</xdr:row>
      <xdr:rowOff>180975</xdr:rowOff>
    </xdr:from>
    <xdr:to>
      <xdr:col>12</xdr:col>
      <xdr:colOff>209550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18896-69C6-EAE1-3111-11572C7F4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323850</xdr:colOff>
      <xdr:row>1</xdr:row>
      <xdr:rowOff>133349</xdr:rowOff>
    </xdr:from>
    <xdr:to>
      <xdr:col>17</xdr:col>
      <xdr:colOff>200024</xdr:colOff>
      <xdr:row>15</xdr:row>
      <xdr:rowOff>185736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AD640C8-351A-6914-4091-7C622A2DE5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2675" y="323849"/>
              <a:ext cx="4143374" cy="27193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200025</xdr:colOff>
      <xdr:row>3</xdr:row>
      <xdr:rowOff>152400</xdr:rowOff>
    </xdr:from>
    <xdr:to>
      <xdr:col>27</xdr:col>
      <xdr:colOff>114300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A6017-FC42-8EE5-51F2-6B15AF59D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609600</xdr:colOff>
      <xdr:row>6</xdr:row>
      <xdr:rowOff>0</xdr:rowOff>
    </xdr:from>
    <xdr:to>
      <xdr:col>21</xdr:col>
      <xdr:colOff>95250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19B576-7A20-9B6A-08A7-167EBCC38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447675</xdr:colOff>
      <xdr:row>2</xdr:row>
      <xdr:rowOff>76199</xdr:rowOff>
    </xdr:from>
    <xdr:to>
      <xdr:col>19</xdr:col>
      <xdr:colOff>361950</xdr:colOff>
      <xdr:row>17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01CC06-AC6A-4A86-BCC1-E5BFE2C7A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3</xdr:row>
      <xdr:rowOff>95250</xdr:rowOff>
    </xdr:from>
    <xdr:to>
      <xdr:col>16</xdr:col>
      <xdr:colOff>190500</xdr:colOff>
      <xdr:row>17</xdr:row>
      <xdr:rowOff>38101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287739B-13DE-45B0-A2DD-E6797CE0AA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34525" y="666750"/>
              <a:ext cx="3962400" cy="26098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942975</xdr:colOff>
      <xdr:row>1002</xdr:row>
      <xdr:rowOff>142875</xdr:rowOff>
    </xdr:from>
    <xdr:to>
      <xdr:col>8</xdr:col>
      <xdr:colOff>895350</xdr:colOff>
      <xdr:row>1017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ADCA9E-05CE-7E81-8E3A-5D962E0B2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end " refreshedDate="45999.61836886574" backgroundQuery="1" createdVersion="8" refreshedVersion="8" minRefreshableVersion="3" recordCount="0" supportSubquery="1" supportAdvancedDrill="1" xr:uid="{F84A0795-14C4-4207-B72B-57A49B1FBEC4}">
  <cacheSource type="external" connectionId="9"/>
  <cacheFields count="2">
    <cacheField name="[customer_segmentation_data].[preferred_category].[preferred_category]" caption="preferred_category" numFmtId="0" hierarchy="7" level="1">
      <sharedItems count="5">
        <s v="Clothing"/>
        <s v="Electronics"/>
        <s v="Groceries"/>
        <s v="Home &amp; Garden"/>
        <s v="Sports"/>
      </sharedItems>
    </cacheField>
    <cacheField name="[Measures].[Count of id]" caption="Count of id" numFmtId="0" hierarchy="19" level="32767"/>
  </cacheFields>
  <cacheHierarchies count="20">
    <cacheHierarchy uniqueName="[customer_segmentation_data].[id]" caption="id" attribute="1" defaultMemberUniqueName="[customer_segmentation_data].[id].[All]" allUniqueName="[customer_segmentation_data].[id].[All]" dimensionUniqueName="[customer_segmentation_data]" displayFolder="" count="0" memberValueDatatype="20" unbalanced="0"/>
    <cacheHierarchy uniqueName="[customer_segmentation_data].[age]" caption="age" attribute="1" defaultMemberUniqueName="[customer_segmentation_data].[age].[All]" allUniqueName="[customer_segmentation_data].[age].[All]" dimensionUniqueName="[customer_segmentation_data]" displayFolder="" count="0" memberValueDatatype="20" unbalanced="0"/>
    <cacheHierarchy uniqueName="[customer_segmentation_data].[gender]" caption="gender" attribute="1" defaultMemberUniqueName="[customer_segmentation_data].[gender].[All]" allUniqueName="[customer_segmentation_data].[gender].[All]" dimensionUniqueName="[customer_segmentation_data]" displayFolder="" count="0" memberValueDatatype="130" unbalanced="0"/>
    <cacheHierarchy uniqueName="[customer_segmentation_data].[income]" caption="income" attribute="1" defaultMemberUniqueName="[customer_segmentation_data].[income].[All]" allUniqueName="[customer_segmentation_data].[income].[All]" dimensionUniqueName="[customer_segmentation_data]" displayFolder="" count="0" memberValueDatatype="20" unbalanced="0"/>
    <cacheHierarchy uniqueName="[customer_segmentation_data].[spending_score]" caption="spending_score" attribute="1" defaultMemberUniqueName="[customer_segmentation_data].[spending_score].[All]" allUniqueName="[customer_segmentation_data].[spending_score].[All]" dimensionUniqueName="[customer_segmentation_data]" displayFolder="" count="0" memberValueDatatype="20" unbalanced="0"/>
    <cacheHierarchy uniqueName="[customer_segmentation_data].[membership_years]" caption="membership_years" attribute="1" defaultMemberUniqueName="[customer_segmentation_data].[membership_years].[All]" allUniqueName="[customer_segmentation_data].[membership_years].[All]" dimensionUniqueName="[customer_segmentation_data]" displayFolder="" count="0" memberValueDatatype="20" unbalanced="0"/>
    <cacheHierarchy uniqueName="[customer_segmentation_data].[purchase_frequency]" caption="purchase_frequency" attribute="1" defaultMemberUniqueName="[customer_segmentation_data].[purchase_frequency].[All]" allUniqueName="[customer_segmentation_data].[purchase_frequency].[All]" dimensionUniqueName="[customer_segmentation_data]" displayFolder="" count="0" memberValueDatatype="20" unbalanced="0"/>
    <cacheHierarchy uniqueName="[customer_segmentation_data].[preferred_category]" caption="preferred_category" attribute="1" defaultMemberUniqueName="[customer_segmentation_data].[preferred_category].[All]" allUniqueName="[customer_segmentation_data].[preferred_category].[All]" dimensionUniqueName="[customer_segmentation_data]" displayFolder="" count="2" memberValueDatatype="130" unbalanced="0">
      <fieldsUsage count="2">
        <fieldUsage x="-1"/>
        <fieldUsage x="0"/>
      </fieldsUsage>
    </cacheHierarchy>
    <cacheHierarchy uniqueName="[customer_segmentation_data].[last_purchase_amount]" caption="last_purchase_amount" attribute="1" defaultMemberUniqueName="[customer_segmentation_data].[last_purchase_amount].[All]" allUniqueName="[customer_segmentation_data].[last_purchase_amount].[All]" dimensionUniqueName="[customer_segmentation_data]" displayFolder="" count="0" memberValueDatatype="5" unbalanced="0"/>
    <cacheHierarchy uniqueName="[Measures].[__XL_Count customer_segmentation_data]" caption="__XL_Count customer_segmentation_data" measure="1" displayFolder="" measureGroup="customer_segmentation_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d]" caption="Sum of id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gender]" caption="Count of gender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pending_score]" caption="Sum of spending_score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ncome]" caption="Sum of income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eferred_category]" caption="Count of preferred_category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ast_purchase_amount]" caption="Sum of last_purchase_amount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id]" caption="Count of id" measure="1" displayFolder="" measureGroup="customer_segmentatio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customer_segmentation_data" uniqueName="[customer_segmentation_data]" caption="customer_segmentation_data"/>
    <dimension measure="1" name="Measures" uniqueName="[Measures]" caption="Measures"/>
  </dimensions>
  <measureGroups count="1">
    <measureGroup name="customer_segmentation_data" caption="customer_segmentatio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end " refreshedDate="45999.618370833334" backgroundQuery="1" createdVersion="8" refreshedVersion="8" minRefreshableVersion="3" recordCount="0" supportSubquery="1" supportAdvancedDrill="1" xr:uid="{E84DED86-12BB-4EEB-A86B-50860D26F8DE}">
  <cacheSource type="external" connectionId="9"/>
  <cacheFields count="2">
    <cacheField name="[customer_segmentation_data].[gender].[gender]" caption="gender" numFmtId="0" hierarchy="2" level="1">
      <sharedItems count="3">
        <s v="Female"/>
        <s v="Male"/>
        <s v="Unknown"/>
      </sharedItems>
    </cacheField>
    <cacheField name="[Measures].[Distinct Count of id]" caption="Distinct Count of id" numFmtId="0" hierarchy="13" level="32767"/>
  </cacheFields>
  <cacheHierarchies count="20">
    <cacheHierarchy uniqueName="[customer_segmentation_data].[id]" caption="id" attribute="1" defaultMemberUniqueName="[customer_segmentation_data].[id].[All]" allUniqueName="[customer_segmentation_data].[id].[All]" dimensionUniqueName="[customer_segmentation_data]" displayFolder="" count="0" memberValueDatatype="20" unbalanced="0"/>
    <cacheHierarchy uniqueName="[customer_segmentation_data].[age]" caption="age" attribute="1" defaultMemberUniqueName="[customer_segmentation_data].[age].[All]" allUniqueName="[customer_segmentation_data].[age].[All]" dimensionUniqueName="[customer_segmentation_data]" displayFolder="" count="0" memberValueDatatype="20" unbalanced="0"/>
    <cacheHierarchy uniqueName="[customer_segmentation_data].[gender]" caption="gender" attribute="1" defaultMemberUniqueName="[customer_segmentation_data].[gender].[All]" allUniqueName="[customer_segmentation_data].[gender].[All]" dimensionUniqueName="[customer_segmentation_data]" displayFolder="" count="2" memberValueDatatype="130" unbalanced="0">
      <fieldsUsage count="2">
        <fieldUsage x="-1"/>
        <fieldUsage x="0"/>
      </fieldsUsage>
    </cacheHierarchy>
    <cacheHierarchy uniqueName="[customer_segmentation_data].[income]" caption="income" attribute="1" defaultMemberUniqueName="[customer_segmentation_data].[income].[All]" allUniqueName="[customer_segmentation_data].[income].[All]" dimensionUniqueName="[customer_segmentation_data]" displayFolder="" count="0" memberValueDatatype="20" unbalanced="0"/>
    <cacheHierarchy uniqueName="[customer_segmentation_data].[spending_score]" caption="spending_score" attribute="1" defaultMemberUniqueName="[customer_segmentation_data].[spending_score].[All]" allUniqueName="[customer_segmentation_data].[spending_score].[All]" dimensionUniqueName="[customer_segmentation_data]" displayFolder="" count="0" memberValueDatatype="20" unbalanced="0"/>
    <cacheHierarchy uniqueName="[customer_segmentation_data].[membership_years]" caption="membership_years" attribute="1" defaultMemberUniqueName="[customer_segmentation_data].[membership_years].[All]" allUniqueName="[customer_segmentation_data].[membership_years].[All]" dimensionUniqueName="[customer_segmentation_data]" displayFolder="" count="0" memberValueDatatype="20" unbalanced="0"/>
    <cacheHierarchy uniqueName="[customer_segmentation_data].[purchase_frequency]" caption="purchase_frequency" attribute="1" defaultMemberUniqueName="[customer_segmentation_data].[purchase_frequency].[All]" allUniqueName="[customer_segmentation_data].[purchase_frequency].[All]" dimensionUniqueName="[customer_segmentation_data]" displayFolder="" count="0" memberValueDatatype="20" unbalanced="0"/>
    <cacheHierarchy uniqueName="[customer_segmentation_data].[preferred_category]" caption="preferred_category" attribute="1" defaultMemberUniqueName="[customer_segmentation_data].[preferred_category].[All]" allUniqueName="[customer_segmentation_data].[preferred_category].[All]" dimensionUniqueName="[customer_segmentation_data]" displayFolder="" count="0" memberValueDatatype="130" unbalanced="0"/>
    <cacheHierarchy uniqueName="[customer_segmentation_data].[last_purchase_amount]" caption="last_purchase_amount" attribute="1" defaultMemberUniqueName="[customer_segmentation_data].[last_purchase_amount].[All]" allUniqueName="[customer_segmentation_data].[last_purchase_amount].[All]" dimensionUniqueName="[customer_segmentation_data]" displayFolder="" count="0" memberValueDatatype="5" unbalanced="0"/>
    <cacheHierarchy uniqueName="[Measures].[__XL_Count customer_segmentation_data]" caption="__XL_Count customer_segmentation_data" measure="1" displayFolder="" measureGroup="customer_segmentation_data" count="0" hidden="1"/>
    <cacheHierarchy uniqueName="[Measures].[__No measures defined]" caption="__No measures defined" measure="1" displayFolder="" count="0" hidden="1"/>
    <cacheHierarchy uniqueName="[Measures].[Sum of age]" caption="Sum of age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id]" caption="Sum of id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customer_segmentatio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gender]" caption="Count of gender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pending_score]" caption="Sum of spending_score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ncome]" caption="Sum of income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eferred_category]" caption="Count of preferred_category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ast_purchase_amount]" caption="Sum of last_purchase_amount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id]" caption="Count of id" measure="1" displayFolder="" measureGroup="customer_segmentatio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customer_segmentation_data" uniqueName="[customer_segmentation_data]" caption="customer_segmentation_data"/>
    <dimension measure="1" name="Measures" uniqueName="[Measures]" caption="Measures"/>
  </dimensions>
  <measureGroups count="1">
    <measureGroup name="customer_segmentation_data" caption="customer_segmentatio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3567A-5DA3-4DC4-9B12-A01500001CFC}" name="PivotTable1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3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istinct Count of 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customer_segmentation_data">
        <x15:activeTabTopLevelEntity name="[customer_segmentatio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AFEAA-73FF-4DFF-ACEE-5345890D326E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>
  <location ref="A1:B7" firstHeaderRow="1" firstDataRow="1" firstDataCol="1"/>
  <pivotFields count="2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2"/>
    </i>
    <i>
      <x v="3"/>
    </i>
    <i>
      <x v="4"/>
    </i>
    <i>
      <x v="1"/>
    </i>
    <i t="grand">
      <x/>
    </i>
  </rowItems>
  <colItems count="1">
    <i/>
  </colItems>
  <dataFields count="1">
    <dataField name="Count of id" fld="1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id"/>
    <pivotHierarchy dragToData="1"/>
    <pivotHierarchy dragToData="1"/>
    <pivotHierarchy dragToData="1"/>
    <pivotHierarchy dragToData="1"/>
    <pivotHierarchy dragToData="1"/>
    <pivotHierarchy dragToData="1" caption="Count of id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customer_segmentation_data">
        <x15:activeTabTopLevelEntity name="[customer_segmentatio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7" xr16:uid="{92951388-9C8B-4EC6-A385-3BF15AD35E3B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age" tableColumnId="2"/>
      <queryTableField id="3" name="gender" tableColumnId="3"/>
      <queryTableField id="4" name="income" tableColumnId="4"/>
      <queryTableField id="5" name="spending_score" tableColumnId="5"/>
      <queryTableField id="6" name="membership_years" tableColumnId="6"/>
      <queryTableField id="7" name="purchase_frequency" tableColumnId="7"/>
      <queryTableField id="8" name="preferred_category" tableColumnId="8"/>
      <queryTableField id="9" name="last_purchase_amount" tableColumnId="9"/>
    </queryTableFields>
  </queryTableRefresh>
  <extLst>
    <ext xmlns:x15="http://schemas.microsoft.com/office/spreadsheetml/2010/11/main" uri="{883FBD77-0823-4a55-B5E3-86C4891E6966}">
      <x15:queryTable sourceDataName="Query - customer_segmentation_dat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5BBB062-0F6F-40D4-8B31-B47DDAC6B7A3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age" tableColumnId="2"/>
      <queryTableField id="3" name="gender" tableColumnId="3"/>
      <queryTableField id="4" name="income" tableColumnId="4"/>
      <queryTableField id="5" name="spending_score" tableColumnId="5"/>
      <queryTableField id="6" name="membership_years" tableColumnId="6"/>
      <queryTableField id="7" name="purchase_frequency" tableColumnId="7"/>
      <queryTableField id="8" name="preferred_category" tableColumnId="8"/>
      <queryTableField id="9" name="last_purchase_amount" tableColumnId="9"/>
    </queryTableFields>
  </queryTableRefresh>
  <extLst>
    <ext xmlns:x15="http://schemas.microsoft.com/office/spreadsheetml/2010/11/main" uri="{883FBD77-0823-4a55-B5E3-86C4891E6966}">
      <x15:queryTable sourceDataName="Query - customer_segmentation_data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825671B9-F937-4A47-9212-50F51D9FE9A2}" autoFormatId="16" applyNumberFormats="0" applyBorderFormats="0" applyFontFormats="0" applyPatternFormats="0" applyAlignmentFormats="0" applyWidthHeightFormats="0">
  <queryTableRefresh nextId="22" unboundColumnsRight="7">
    <queryTableFields count="16">
      <queryTableField id="1" name="id" tableColumnId="1"/>
      <queryTableField id="2" name="age" tableColumnId="2"/>
      <queryTableField id="3" name="gender" tableColumnId="3"/>
      <queryTableField id="4" name="income" tableColumnId="4"/>
      <queryTableField id="5" name="spending_score" tableColumnId="5"/>
      <queryTableField id="18" name="membership_years" tableColumnId="6"/>
      <queryTableField id="19" name="purchase_frequency" tableColumnId="12"/>
      <queryTableField id="20" name="preferred_category" tableColumnId="15"/>
      <queryTableField id="21" name="last_purchase_amount" tableColumnId="16"/>
      <queryTableField id="11" dataBound="0" tableColumnId="7"/>
      <queryTableField id="16" dataBound="0" tableColumnId="13"/>
      <queryTableField id="14" dataBound="0" tableColumnId="10"/>
      <queryTableField id="13" dataBound="0" tableColumnId="9"/>
      <queryTableField id="12" dataBound="0" tableColumnId="8"/>
      <queryTableField id="17" dataBound="0" tableColumnId="14"/>
      <queryTableField id="10" dataBound="0" tableColumnId="11"/>
    </queryTableFields>
    <queryTableDeletedFields count="4">
      <deletedField name="last_purchase_amount"/>
      <deletedField name="preferred_category"/>
      <deletedField name="purchase_frequency"/>
      <deletedField name="membership_years"/>
    </queryTableDeletedFields>
  </queryTableRefresh>
  <extLst>
    <ext xmlns:x15="http://schemas.microsoft.com/office/spreadsheetml/2010/11/main" uri="{883FBD77-0823-4a55-B5E3-86C4891E6966}">
      <x15:queryTable sourceDataName="Query - customer_segmentation_data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A58A4AEF-8240-4BEE-AB83-9F912A2DBED4}" autoFormatId="16" applyNumberFormats="0" applyBorderFormats="0" applyFontFormats="0" applyPatternFormats="0" applyAlignmentFormats="0" applyWidthHeightFormats="0">
  <queryTableRefresh nextId="23" unboundColumnsRight="1">
    <queryTableFields count="10">
      <queryTableField id="1" name="id" tableColumnId="1"/>
      <queryTableField id="2" name="age" tableColumnId="2"/>
      <queryTableField id="3" name="gender" tableColumnId="3"/>
      <queryTableField id="4" name="income" tableColumnId="4"/>
      <queryTableField id="5" name="spending_score" tableColumnId="5"/>
      <queryTableField id="19" name="membership_years" tableColumnId="6"/>
      <queryTableField id="20" name="purchase_frequency" tableColumnId="7"/>
      <queryTableField id="21" name="preferred_category" tableColumnId="8"/>
      <queryTableField id="22" name="last_purchase_amount" tableColumnId="9"/>
      <queryTableField id="18" dataBound="0" tableColumnId="15"/>
    </queryTableFields>
    <queryTableDeletedFields count="4">
      <deletedField name="last_purchase_amount"/>
      <deletedField name="preferred_category"/>
      <deletedField name="purchase_frequency"/>
      <deletedField name="membership_years"/>
    </queryTableDeletedFields>
  </queryTableRefresh>
  <extLst>
    <ext xmlns:x15="http://schemas.microsoft.com/office/spreadsheetml/2010/11/main" uri="{883FBD77-0823-4a55-B5E3-86C4891E6966}">
      <x15:queryTable sourceDataName="Query - customer_segmentation_data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D523FEEA-9EAF-4E2F-9E65-EAE53773D60B}" autoFormatId="16" applyNumberFormats="0" applyBorderFormats="0" applyFontFormats="0" applyPatternFormats="0" applyAlignmentFormats="0" applyWidthHeightFormats="0">
  <queryTableRefresh nextId="22">
    <queryTableFields count="9">
      <queryTableField id="1" name="id" tableColumnId="1"/>
      <queryTableField id="2" name="age" tableColumnId="2"/>
      <queryTableField id="3" name="gender" tableColumnId="3"/>
      <queryTableField id="4" name="income" tableColumnId="4"/>
      <queryTableField id="5" name="spending_score" tableColumnId="5"/>
      <queryTableField id="18" name="membership_years" tableColumnId="6"/>
      <queryTableField id="19" name="purchase_frequency" tableColumnId="7"/>
      <queryTableField id="20" name="preferred_category" tableColumnId="8"/>
      <queryTableField id="21" name="last_purchase_amount" tableColumnId="9"/>
    </queryTableFields>
    <queryTableDeletedFields count="4">
      <deletedField name="last_purchase_amount"/>
      <deletedField name="preferred_category"/>
      <deletedField name="purchase_frequency"/>
      <deletedField name="membership_years"/>
    </queryTableDeletedFields>
  </queryTableRefresh>
  <extLst>
    <ext xmlns:x15="http://schemas.microsoft.com/office/spreadsheetml/2010/11/main" uri="{883FBD77-0823-4a55-B5E3-86C4891E6966}">
      <x15:queryTable sourceDataName="Query - customer_segmentation_data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BD67F98D-266D-47C6-A605-A7436FE52CA5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age" tableColumnId="2"/>
      <queryTableField id="3" name="gender" tableColumnId="3"/>
      <queryTableField id="4" name="income" tableColumnId="4"/>
      <queryTableField id="5" name="spending_score" tableColumnId="5"/>
      <queryTableField id="6" name="membership_years" tableColumnId="6"/>
      <queryTableField id="7" name="purchase_frequency" tableColumnId="7"/>
      <queryTableField id="8" name="preferred_category" tableColumnId="8"/>
      <queryTableField id="9" name="last_purchase_amount" tableColumnId="9"/>
    </queryTableFields>
  </queryTableRefresh>
  <extLst>
    <ext xmlns:x15="http://schemas.microsoft.com/office/spreadsheetml/2010/11/main" uri="{883FBD77-0823-4a55-B5E3-86C4891E6966}">
      <x15:queryTable sourceDataName="Query - customer_segmentation_data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8B69F200-5B4A-4521-846C-736F8793462B}" autoFormatId="16" applyNumberFormats="0" applyBorderFormats="0" applyFontFormats="0" applyPatternFormats="0" applyAlignmentFormats="0" applyWidthHeightFormats="0">
  <queryTableRefresh nextId="18">
    <queryTableFields count="9">
      <queryTableField id="1" name="id" tableColumnId="1"/>
      <queryTableField id="2" name="age" tableColumnId="2"/>
      <queryTableField id="3" name="gender" tableColumnId="3"/>
      <queryTableField id="4" name="income" tableColumnId="4"/>
      <queryTableField id="5" name="spending_score" tableColumnId="5"/>
      <queryTableField id="6" name="membership_years" tableColumnId="6"/>
      <queryTableField id="7" name="purchase_frequency" tableColumnId="7"/>
      <queryTableField id="8" name="preferred_category" tableColumnId="8"/>
      <queryTableField id="9" name="last_purchase_amount" tableColumnId="10"/>
    </queryTableFields>
  </queryTableRefresh>
  <extLst>
    <ext xmlns:x15="http://schemas.microsoft.com/office/spreadsheetml/2010/11/main" uri="{883FBD77-0823-4a55-B5E3-86C4891E6966}">
      <x15:queryTable sourceDataName="Query - customer_segmentation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02F58AD-40DC-43C9-B03C-448C97776407}" name="customer_segmentation_data10" displayName="customer_segmentation_data10" ref="A1:I1001" tableType="queryTable" totalsRowShown="0">
  <autoFilter ref="A1:I1001" xr:uid="{E02F58AD-40DC-43C9-B03C-448C97776407}"/>
  <sortState xmlns:xlrd2="http://schemas.microsoft.com/office/spreadsheetml/2017/richdata2" ref="A2:I1001">
    <sortCondition ref="A2:A1001"/>
  </sortState>
  <tableColumns count="9">
    <tableColumn id="1" xr3:uid="{9D8AAF7C-6271-431B-A5FC-E941763B0C9F}" uniqueName="1" name="id" queryTableFieldId="1"/>
    <tableColumn id="2" xr3:uid="{CEAB6218-CE9B-46B5-901F-0921048854BF}" uniqueName="2" name="age" queryTableFieldId="2"/>
    <tableColumn id="3" xr3:uid="{D206C9CB-78AC-47CA-B613-5C36C001267A}" uniqueName="3" name="gender" queryTableFieldId="3" dataDxfId="24"/>
    <tableColumn id="4" xr3:uid="{D372444A-3690-4C0B-8560-287B2F3274DC}" uniqueName="4" name="income" queryTableFieldId="4"/>
    <tableColumn id="5" xr3:uid="{553AEF2F-A898-4B8B-A25C-C4120CE95BC9}" uniqueName="5" name="spending_score" queryTableFieldId="5"/>
    <tableColumn id="6" xr3:uid="{464454DD-292E-4DA0-AC15-D6E8FDF1535E}" uniqueName="6" name="membership_years" queryTableFieldId="6"/>
    <tableColumn id="7" xr3:uid="{CF9DC1E8-B275-4D51-B849-C04933D1610E}" uniqueName="7" name="purchase_frequency" queryTableFieldId="7"/>
    <tableColumn id="8" xr3:uid="{4D9EBD2D-40BB-4071-8BE5-B5F49DD5CC1C}" uniqueName="8" name="preferred_category" queryTableFieldId="8" dataDxfId="23"/>
    <tableColumn id="9" xr3:uid="{CD1E4C66-2FAE-4A61-B8D2-B315B8AAED57}" uniqueName="9" name="last_purchase_amoun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CCD66-31E2-4858-BBE2-8F2A85FF450A}" name="customer_segmentation_data" displayName="customer_segmentation_data" ref="A1:I1001" tableType="queryTable" totalsRowShown="0">
  <autoFilter ref="A1:I1001" xr:uid="{63CCCD66-31E2-4858-BBE2-8F2A85FF450A}"/>
  <tableColumns count="9">
    <tableColumn id="1" xr3:uid="{0E08054F-60D8-4286-B335-231603786B15}" uniqueName="1" name="id" queryTableFieldId="1"/>
    <tableColumn id="2" xr3:uid="{16984753-933A-47D0-801B-80DD2EE17764}" uniqueName="2" name="age" queryTableFieldId="2"/>
    <tableColumn id="3" xr3:uid="{F30BF2CF-D5AF-421C-B78A-5719D09B3D8B}" uniqueName="3" name="gender" queryTableFieldId="3" dataDxfId="22"/>
    <tableColumn id="4" xr3:uid="{71681813-4A0B-4FDA-979C-FB0E608DD751}" uniqueName="4" name="income" queryTableFieldId="4"/>
    <tableColumn id="5" xr3:uid="{AFDAEBB8-58F8-4F51-B7DF-E9B7D16B233E}" uniqueName="5" name="spending_score" queryTableFieldId="5"/>
    <tableColumn id="6" xr3:uid="{3DDB6FE8-D7CC-4A08-93FF-D51B07B2A1C1}" uniqueName="6" name="membership_years" queryTableFieldId="6"/>
    <tableColumn id="7" xr3:uid="{BA1AA46E-EB1B-4E4B-B9EE-C804088907F8}" uniqueName="7" name="purchase_frequency" queryTableFieldId="7"/>
    <tableColumn id="8" xr3:uid="{AD468328-ED5C-40F0-A4FA-24428D0A7845}" uniqueName="8" name="preferred_category" queryTableFieldId="8" dataDxfId="21"/>
    <tableColumn id="9" xr3:uid="{A434C39B-D9C1-47F0-A036-6E514FE31AD3}" uniqueName="9" name="last_purchase_amount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39D7AA-C907-49C2-981A-799B4A83F4F7}" name="customer_segmentation_data4" displayName="customer_segmentation_data4" ref="A1:P1001" tableType="queryTable" totalsRowShown="0">
  <autoFilter ref="A1:P1001" xr:uid="{63CCCD66-31E2-4858-BBE2-8F2A85FF450A}"/>
  <tableColumns count="16">
    <tableColumn id="1" xr3:uid="{DC44131D-AE5D-4A4C-B187-BCB882F52804}" uniqueName="1" name="id" queryTableFieldId="1"/>
    <tableColumn id="2" xr3:uid="{4BA5D7DF-EF1B-45F3-9FFA-C9A90C2A69D6}" uniqueName="2" name="age" queryTableFieldId="2"/>
    <tableColumn id="3" xr3:uid="{69FBA193-2AF7-49ED-89A0-7C7698A6B88A}" uniqueName="3" name="gender" queryTableFieldId="3" dataDxfId="20"/>
    <tableColumn id="4" xr3:uid="{C9C8FC81-46A2-4024-AB26-EA710E3A1DD1}" uniqueName="4" name="income" queryTableFieldId="4" dataDxfId="19"/>
    <tableColumn id="5" xr3:uid="{748DA241-91A9-45AF-B75C-114D684639F7}" uniqueName="5" name="spending_score" queryTableFieldId="5"/>
    <tableColumn id="6" xr3:uid="{2D4CA9FA-48F1-4192-AF5C-61669A0E9294}" uniqueName="6" name="membership_years" queryTableFieldId="18"/>
    <tableColumn id="12" xr3:uid="{23FC3ABA-71EC-45C8-B51F-E1C2C95D3FEC}" uniqueName="12" name="purchase_frequency" queryTableFieldId="19"/>
    <tableColumn id="15" xr3:uid="{BBFF2A43-A1BA-48CC-9F24-B87E8F6C8919}" uniqueName="15" name="preferred_category" queryTableFieldId="20" dataDxfId="18"/>
    <tableColumn id="16" xr3:uid="{DAA05356-66A6-4544-9B1E-3CCECCC8B331}" uniqueName="16" name="last_purchase_amount" queryTableFieldId="21"/>
    <tableColumn id="7" xr3:uid="{8B0D8F6D-108A-47F5-991A-57EF796B3DED}" uniqueName="7" name="Income class" queryTableFieldId="11" dataDxfId="17">
      <calculatedColumnFormula>IF(D2&lt;50000,"Low",IF(D2&lt;100000,"Medium","High"))</calculatedColumnFormula>
    </tableColumn>
    <tableColumn id="13" xr3:uid="{257CCD77-2753-4F29-8D0C-D335843C2C5D}" uniqueName="13" name="income low" queryTableFieldId="16" dataDxfId="16" dataCellStyle="Currency">
      <calculatedColumnFormula>IF($J2="Low",$D2,NA())</calculatedColumnFormula>
    </tableColumn>
    <tableColumn id="10" xr3:uid="{33CD60B3-19EB-4F12-BB80-BA56AD4F7417}" uniqueName="10" name="spend low" queryTableFieldId="14" dataDxfId="15">
      <calculatedColumnFormula>IF($J2="Low",$E2,NA())</calculatedColumnFormula>
    </tableColumn>
    <tableColumn id="9" xr3:uid="{3673F11E-8D77-4B33-912B-B0D5908CDF38}" uniqueName="9" name="Income Medium" queryTableFieldId="13" dataDxfId="14">
      <calculatedColumnFormula>IF($J2="Medium",$D2,NA())</calculatedColumnFormula>
    </tableColumn>
    <tableColumn id="8" xr3:uid="{9D4F9D1F-CCFB-4A06-81FA-C369FAEC19DB}" uniqueName="8" name="Spend Medium" queryTableFieldId="12" dataDxfId="13">
      <calculatedColumnFormula>IF($J2="Medium",$E2,NA())</calculatedColumnFormula>
    </tableColumn>
    <tableColumn id="14" xr3:uid="{AE9A43A7-2BCD-412F-9CDF-4CC8A0F05E2A}" uniqueName="14" name="Income High" queryTableFieldId="17" dataDxfId="12">
      <calculatedColumnFormula>IF($J2="High",$D2,NA())</calculatedColumnFormula>
    </tableColumn>
    <tableColumn id="11" xr3:uid="{DCECC7DC-F4D9-48FD-BFB3-37480CBD7959}" uniqueName="11" name="Spend High" queryTableFieldId="10" dataDxfId="11">
      <calculatedColumnFormula>IF($J2="High",$E2,NA())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3FEF49-EEE1-4ACD-8C95-D1FA298E7D79}" name="customer_segmentation_data43" displayName="customer_segmentation_data43" ref="A1:J1001" tableType="queryTable" totalsRowShown="0">
  <autoFilter ref="A1:J1001" xr:uid="{63CCCD66-31E2-4858-BBE2-8F2A85FF450A}"/>
  <tableColumns count="10">
    <tableColumn id="1" xr3:uid="{494C550F-CB81-42AB-B84F-02213D868328}" uniqueName="1" name="id" queryTableFieldId="1"/>
    <tableColumn id="2" xr3:uid="{24467C63-051D-445E-9AB2-0C0AE9D45DD6}" uniqueName="2" name="age" queryTableFieldId="2"/>
    <tableColumn id="3" xr3:uid="{93B09C40-DC29-44EA-A93A-8720FAF1EB4C}" uniqueName="3" name="gender" queryTableFieldId="3" dataDxfId="10"/>
    <tableColumn id="4" xr3:uid="{DAE95D15-CD75-43D3-8C97-74D855B391C8}" uniqueName="4" name="income" queryTableFieldId="4" dataDxfId="9"/>
    <tableColumn id="5" xr3:uid="{96FE554C-3EAA-490A-A56E-01E592D07E4E}" uniqueName="5" name="spending_score" queryTableFieldId="5"/>
    <tableColumn id="6" xr3:uid="{DD6118DE-9514-4674-95E1-69B6DA0B7805}" uniqueName="6" name="membership_years" queryTableFieldId="19"/>
    <tableColumn id="7" xr3:uid="{F7D5E560-CB7B-4B6A-84EB-080C8EC5B4D0}" uniqueName="7" name="purchase_frequency" queryTableFieldId="20"/>
    <tableColumn id="8" xr3:uid="{99072DC2-A063-4060-AA1B-7A56AD34842C}" uniqueName="8" name="preferred_category" queryTableFieldId="21" dataDxfId="8"/>
    <tableColumn id="9" xr3:uid="{3DF75EBA-CD8C-4FC9-85E1-8256C24F386A}" uniqueName="9" name="last_purchase_amount" queryTableFieldId="22"/>
    <tableColumn id="15" xr3:uid="{88BED8C3-5F4C-4644-AD72-C183D57EAD8E}" uniqueName="15" name="Spending class" queryTableFieldId="18" dataDxfId="7">
      <calculatedColumnFormula>IF(E2&lt;33,"Low",IF(E2&lt;66,"Medium","High"))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31E370-97BA-4013-A401-414728336950}" name="customer_segmentation_data49" displayName="customer_segmentation_data49" ref="A1:I1001" tableType="queryTable" totalsRowShown="0">
  <autoFilter ref="A1:I1001" xr:uid="{63CCCD66-31E2-4858-BBE2-8F2A85FF450A}"/>
  <tableColumns count="9">
    <tableColumn id="1" xr3:uid="{7A869523-D357-4963-B952-93E5610186BA}" uniqueName="1" name="id" queryTableFieldId="1"/>
    <tableColumn id="2" xr3:uid="{70700051-BBE4-4847-9CB5-D38E27A3C9E8}" uniqueName="2" name="age" queryTableFieldId="2"/>
    <tableColumn id="3" xr3:uid="{A2710DCE-B82D-478F-A461-C94CAC05F1DC}" uniqueName="3" name="gender" queryTableFieldId="3" dataDxfId="6"/>
    <tableColumn id="4" xr3:uid="{0D91BCD5-77F8-4A99-9E10-869F9F326BCD}" uniqueName="4" name="income" queryTableFieldId="4" dataDxfId="5"/>
    <tableColumn id="5" xr3:uid="{357962A5-D671-4AB4-AD6F-C121436FDBE2}" uniqueName="5" name="spending_score" queryTableFieldId="5"/>
    <tableColumn id="6" xr3:uid="{52C0EF2E-D2D8-41AD-8655-BF2181368A1B}" uniqueName="6" name="membership_years" queryTableFieldId="18"/>
    <tableColumn id="7" xr3:uid="{EB4AF3FD-8F55-489C-B91F-3B06D4702248}" uniqueName="7" name="purchase_frequency" queryTableFieldId="19"/>
    <tableColumn id="8" xr3:uid="{A5225730-B167-466E-97FA-6F93D96FEE22}" uniqueName="8" name="preferred_category" queryTableFieldId="20" dataDxfId="4"/>
    <tableColumn id="9" xr3:uid="{FD218394-C645-4761-BE16-8252057AE6D6}" uniqueName="9" name="last_purchase_amount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DA81FF-3E40-425C-9BF4-350735E59C90}" name="customer_segmentation_data5" displayName="customer_segmentation_data5" ref="A1:I1001" tableType="queryTable" totalsRowShown="0">
  <autoFilter ref="A1:I1001" xr:uid="{63CCCD66-31E2-4858-BBE2-8F2A85FF450A}"/>
  <tableColumns count="9">
    <tableColumn id="1" xr3:uid="{4280E232-8ABD-45DD-B5D2-BEBABC661B9D}" uniqueName="1" name="id" queryTableFieldId="1"/>
    <tableColumn id="2" xr3:uid="{BEB6623C-9425-41DF-BA8A-4F48C10BF662}" uniqueName="2" name="age" queryTableFieldId="2"/>
    <tableColumn id="3" xr3:uid="{41E358F9-3FC3-49B2-9825-26A7F8D9B5F3}" uniqueName="3" name="gender" queryTableFieldId="3" dataDxfId="3"/>
    <tableColumn id="4" xr3:uid="{88019450-56D5-487A-9B94-0A4CBAC8E8AD}" uniqueName="4" name="income" queryTableFieldId="4"/>
    <tableColumn id="5" xr3:uid="{4037A80C-50F3-40CA-9486-E34181605F92}" uniqueName="5" name="spending_score" queryTableFieldId="5"/>
    <tableColumn id="6" xr3:uid="{9CA6655F-84D4-4BCF-A472-BC90A777CE06}" uniqueName="6" name="membership_years" queryTableFieldId="6"/>
    <tableColumn id="7" xr3:uid="{AB622793-58B6-4C31-867F-116AC9245528}" uniqueName="7" name="purchase_frequency" queryTableFieldId="7"/>
    <tableColumn id="8" xr3:uid="{52DAF795-2860-4C3F-90C8-D53F13B823D6}" uniqueName="8" name="preferred_category" queryTableFieldId="8" dataDxfId="2"/>
    <tableColumn id="9" xr3:uid="{6F0CBB6C-17DE-4B34-8390-4808C5D2E02D}" uniqueName="9" name="last_purchase_amount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008016-D258-4992-8078-4497719D9AB9}" name="customer_segmentation_data58" displayName="customer_segmentation_data58" ref="A1:I1001" tableType="queryTable" totalsRowShown="0">
  <autoFilter ref="A1:I1001" xr:uid="{63CCCD66-31E2-4858-BBE2-8F2A85FF450A}">
    <filterColumn colId="8">
      <top10 val="10" filterVal="990.87"/>
    </filterColumn>
  </autoFilter>
  <sortState xmlns:xlrd2="http://schemas.microsoft.com/office/spreadsheetml/2017/richdata2" ref="A2:I1001">
    <sortCondition ref="I2:I1001"/>
  </sortState>
  <tableColumns count="9">
    <tableColumn id="1" xr3:uid="{FAE90448-56E2-486A-B6D6-6C35C2F3EA1C}" uniqueName="1" name="id" queryTableFieldId="1"/>
    <tableColumn id="2" xr3:uid="{F6FB44D3-8125-4CF1-B97A-1084486C6B2F}" uniqueName="2" name="age" queryTableFieldId="2"/>
    <tableColumn id="3" xr3:uid="{5D238B2B-9FF7-4B21-AFEA-9EBBFAAB455E}" uniqueName="3" name="gender" queryTableFieldId="3" dataDxfId="1"/>
    <tableColumn id="4" xr3:uid="{DE3B7AC6-C289-4063-98F0-41D844B7361E}" uniqueName="4" name="income" queryTableFieldId="4"/>
    <tableColumn id="5" xr3:uid="{E17572B9-3070-4CEE-BBDF-553CC81025D0}" uniqueName="5" name="spending_score" queryTableFieldId="5"/>
    <tableColumn id="6" xr3:uid="{1DA67360-29F4-42BF-957A-56742E551540}" uniqueName="6" name="membership_years" queryTableFieldId="6"/>
    <tableColumn id="7" xr3:uid="{00A73FA7-0ABC-4947-B65F-41FB96BEDED9}" uniqueName="7" name="purchase_frequency" queryTableFieldId="7"/>
    <tableColumn id="8" xr3:uid="{31ECCEF8-0D44-4838-9FEE-FB0C64EB6F8D}" uniqueName="8" name="preferred_category" queryTableFieldId="8" dataDxfId="0"/>
    <tableColumn id="10" xr3:uid="{12567E6E-D6DB-4D81-A9DF-F80513045E38}" uniqueName="10" name="last_purchase_am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C4EA-90D2-449B-8083-103AD7F320BD}">
  <dimension ref="A1:H3"/>
  <sheetViews>
    <sheetView showGridLines="0" tabSelected="1" zoomScaleNormal="100" workbookViewId="0">
      <selection sqref="A1:H2"/>
    </sheetView>
  </sheetViews>
  <sheetFormatPr defaultRowHeight="15" x14ac:dyDescent="0.25"/>
  <sheetData>
    <row r="1" spans="1:8" ht="15.75" thickBot="1" x14ac:dyDescent="0.3">
      <c r="A1" s="15" t="s">
        <v>44</v>
      </c>
      <c r="B1" s="15"/>
      <c r="C1" s="15"/>
      <c r="D1" s="15"/>
      <c r="E1" s="15"/>
      <c r="F1" s="15"/>
      <c r="G1" s="15"/>
      <c r="H1" s="15"/>
    </row>
    <row r="2" spans="1:8" ht="16.5" thickTop="1" thickBot="1" x14ac:dyDescent="0.3">
      <c r="A2" s="15"/>
      <c r="B2" s="15"/>
      <c r="C2" s="15"/>
      <c r="D2" s="15"/>
      <c r="E2" s="15"/>
      <c r="F2" s="15"/>
      <c r="G2" s="15"/>
      <c r="H2" s="15"/>
    </row>
    <row r="3" spans="1:8" ht="15.75" thickTop="1" x14ac:dyDescent="0.25"/>
  </sheetData>
  <mergeCells count="1">
    <mergeCell ref="A1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8A9B-7E13-4D93-A81A-EE2A0D2CEF41}">
  <dimension ref="A1:U5"/>
  <sheetViews>
    <sheetView showGridLines="0" showRowColHeaders="0" zoomScaleNormal="100" workbookViewId="0"/>
  </sheetViews>
  <sheetFormatPr defaultRowHeight="15" x14ac:dyDescent="0.25"/>
  <sheetData>
    <row r="1" spans="1:2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BD7B-B252-4EBC-85FB-1CF06FC55554}">
  <dimension ref="A1:D53"/>
  <sheetViews>
    <sheetView zoomScaleNormal="100" workbookViewId="0">
      <selection activeCell="D1006" sqref="D1006"/>
    </sheetView>
  </sheetViews>
  <sheetFormatPr defaultRowHeight="15" x14ac:dyDescent="0.25"/>
  <cols>
    <col min="1" max="1" width="13.140625" bestFit="1" customWidth="1"/>
    <col min="2" max="2" width="18.140625" bestFit="1" customWidth="1"/>
  </cols>
  <sheetData>
    <row r="1" spans="1:4" x14ac:dyDescent="0.25">
      <c r="A1" s="1" t="s">
        <v>0</v>
      </c>
      <c r="B1" t="s">
        <v>2</v>
      </c>
    </row>
    <row r="2" spans="1:4" x14ac:dyDescent="0.25">
      <c r="A2" s="2" t="s">
        <v>18</v>
      </c>
      <c r="B2">
        <v>316</v>
      </c>
      <c r="D2" s="2"/>
    </row>
    <row r="3" spans="1:4" x14ac:dyDescent="0.25">
      <c r="A3" s="2" t="s">
        <v>12</v>
      </c>
      <c r="B3">
        <v>357</v>
      </c>
      <c r="D3" s="2"/>
    </row>
    <row r="4" spans="1:4" x14ac:dyDescent="0.25">
      <c r="A4" s="2" t="s">
        <v>45</v>
      </c>
      <c r="B4">
        <v>327</v>
      </c>
      <c r="D4" s="2"/>
    </row>
    <row r="5" spans="1:4" x14ac:dyDescent="0.25">
      <c r="A5" s="2" t="s">
        <v>1</v>
      </c>
      <c r="B5">
        <v>1000</v>
      </c>
      <c r="D5" s="2"/>
    </row>
    <row r="6" spans="1:4" x14ac:dyDescent="0.25">
      <c r="D6" s="2"/>
    </row>
    <row r="7" spans="1:4" x14ac:dyDescent="0.25">
      <c r="D7" s="2"/>
    </row>
    <row r="8" spans="1:4" x14ac:dyDescent="0.25">
      <c r="D8" s="2"/>
    </row>
    <row r="9" spans="1:4" x14ac:dyDescent="0.25">
      <c r="D9" s="2"/>
    </row>
    <row r="10" spans="1:4" x14ac:dyDescent="0.25">
      <c r="D10" s="2"/>
    </row>
    <row r="11" spans="1:4" x14ac:dyDescent="0.25">
      <c r="D11" s="2"/>
    </row>
    <row r="12" spans="1:4" x14ac:dyDescent="0.25">
      <c r="D12" s="2"/>
    </row>
    <row r="13" spans="1:4" x14ac:dyDescent="0.25">
      <c r="D13" s="2"/>
    </row>
    <row r="14" spans="1:4" x14ac:dyDescent="0.25">
      <c r="D14" s="2"/>
    </row>
    <row r="15" spans="1:4" x14ac:dyDescent="0.25">
      <c r="D15" s="2"/>
    </row>
    <row r="16" spans="1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4F56-58D2-4F57-86D4-B2FF1A213A07}">
  <dimension ref="A1:B7"/>
  <sheetViews>
    <sheetView zoomScaleNormal="100" workbookViewId="0">
      <selection activeCell="D1006" sqref="D1006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21.85546875" bestFit="1" customWidth="1"/>
    <col min="4" max="598" width="6" bestFit="1" customWidth="1"/>
    <col min="599" max="997" width="7" bestFit="1" customWidth="1"/>
    <col min="998" max="998" width="11.28515625" bestFit="1" customWidth="1"/>
  </cols>
  <sheetData>
    <row r="1" spans="1:2" x14ac:dyDescent="0.25">
      <c r="A1" s="1" t="s">
        <v>0</v>
      </c>
      <c r="B1" t="s">
        <v>30</v>
      </c>
    </row>
    <row r="2" spans="1:2" x14ac:dyDescent="0.25">
      <c r="A2" s="2" t="s">
        <v>17</v>
      </c>
      <c r="B2">
        <v>170</v>
      </c>
    </row>
    <row r="3" spans="1:2" x14ac:dyDescent="0.25">
      <c r="A3" s="2" t="s">
        <v>16</v>
      </c>
      <c r="B3">
        <v>199</v>
      </c>
    </row>
    <row r="4" spans="1:2" x14ac:dyDescent="0.25">
      <c r="A4" s="2" t="s">
        <v>13</v>
      </c>
      <c r="B4">
        <v>206</v>
      </c>
    </row>
    <row r="5" spans="1:2" x14ac:dyDescent="0.25">
      <c r="A5" s="2" t="s">
        <v>15</v>
      </c>
      <c r="B5">
        <v>210</v>
      </c>
    </row>
    <row r="6" spans="1:2" x14ac:dyDescent="0.25">
      <c r="A6" s="2" t="s">
        <v>14</v>
      </c>
      <c r="B6">
        <v>215</v>
      </c>
    </row>
    <row r="7" spans="1:2" x14ac:dyDescent="0.25">
      <c r="A7" s="2" t="s">
        <v>1</v>
      </c>
      <c r="B7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637B-D9DD-4918-9E71-072A24841865}">
  <dimension ref="A1:L1001"/>
  <sheetViews>
    <sheetView workbookViewId="0">
      <selection activeCell="D1006" sqref="D1006"/>
    </sheetView>
  </sheetViews>
  <sheetFormatPr defaultRowHeight="15" x14ac:dyDescent="0.25"/>
  <cols>
    <col min="1" max="1" width="5" bestFit="1" customWidth="1"/>
    <col min="2" max="2" width="6.42578125" bestFit="1" customWidth="1"/>
    <col min="3" max="3" width="9.5703125" bestFit="1" customWidth="1"/>
    <col min="4" max="4" width="9.85546875" bestFit="1" customWidth="1"/>
    <col min="5" max="5" width="17.28515625" bestFit="1" customWidth="1"/>
    <col min="6" max="6" width="20.5703125" bestFit="1" customWidth="1"/>
    <col min="7" max="7" width="21.5703125" bestFit="1" customWidth="1"/>
    <col min="8" max="8" width="20.7109375" bestFit="1" customWidth="1"/>
    <col min="9" max="9" width="23.7109375" bestFit="1" customWidth="1"/>
    <col min="11" max="11" width="27.5703125" bestFit="1" customWidth="1"/>
    <col min="12" max="12" width="11.5703125" bestFit="1" customWidth="1"/>
  </cols>
  <sheetData>
    <row r="1" spans="1:12" ht="15.75" thickBot="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K1" s="12" t="s">
        <v>36</v>
      </c>
      <c r="L1" s="11" t="s">
        <v>28</v>
      </c>
    </row>
    <row r="2" spans="1:12" x14ac:dyDescent="0.25">
      <c r="A2">
        <v>1</v>
      </c>
      <c r="B2">
        <v>38</v>
      </c>
      <c r="C2" t="s">
        <v>18</v>
      </c>
      <c r="D2">
        <v>99342</v>
      </c>
      <c r="E2">
        <v>90</v>
      </c>
      <c r="F2">
        <v>3</v>
      </c>
      <c r="G2">
        <v>24</v>
      </c>
      <c r="H2" t="s">
        <v>16</v>
      </c>
      <c r="I2">
        <v>113.53</v>
      </c>
      <c r="K2" s="7" t="s">
        <v>31</v>
      </c>
      <c r="L2" s="5">
        <f>COUNTA(customer_segmentation_data10[id])</f>
        <v>1000</v>
      </c>
    </row>
    <row r="3" spans="1:12" x14ac:dyDescent="0.25">
      <c r="A3">
        <v>2</v>
      </c>
      <c r="B3">
        <v>21</v>
      </c>
      <c r="C3" t="s">
        <v>18</v>
      </c>
      <c r="D3">
        <v>78852</v>
      </c>
      <c r="E3">
        <v>60</v>
      </c>
      <c r="F3">
        <v>2</v>
      </c>
      <c r="G3">
        <v>42</v>
      </c>
      <c r="H3" t="s">
        <v>15</v>
      </c>
      <c r="I3">
        <v>41.93</v>
      </c>
      <c r="K3" s="7" t="s">
        <v>32</v>
      </c>
      <c r="L3" s="9">
        <f>AVERAGE(customer_segmentation_data10[income])</f>
        <v>88500.800000000003</v>
      </c>
    </row>
    <row r="4" spans="1:12" x14ac:dyDescent="0.25">
      <c r="A4">
        <v>3</v>
      </c>
      <c r="B4">
        <v>60</v>
      </c>
      <c r="C4" t="s">
        <v>18</v>
      </c>
      <c r="D4">
        <v>126573</v>
      </c>
      <c r="E4">
        <v>30</v>
      </c>
      <c r="F4">
        <v>2</v>
      </c>
      <c r="G4">
        <v>28</v>
      </c>
      <c r="H4" t="s">
        <v>17</v>
      </c>
      <c r="I4">
        <v>424.36</v>
      </c>
      <c r="K4" s="7" t="s">
        <v>33</v>
      </c>
      <c r="L4" s="10">
        <f>AVERAGE(customer_segmentation_data10[spending_score])</f>
        <v>50.685000000000002</v>
      </c>
    </row>
    <row r="5" spans="1:12" x14ac:dyDescent="0.25">
      <c r="A5">
        <v>4</v>
      </c>
      <c r="B5">
        <v>40</v>
      </c>
      <c r="C5" t="s">
        <v>45</v>
      </c>
      <c r="D5">
        <v>47099</v>
      </c>
      <c r="E5">
        <v>74</v>
      </c>
      <c r="F5">
        <v>9</v>
      </c>
      <c r="G5">
        <v>5</v>
      </c>
      <c r="H5" t="s">
        <v>13</v>
      </c>
      <c r="I5">
        <v>991.93</v>
      </c>
      <c r="K5" s="7" t="s">
        <v>34</v>
      </c>
      <c r="L5" s="10">
        <f>AVERAGE(customer_segmentation_data[purchase_frequency])</f>
        <v>26.596</v>
      </c>
    </row>
    <row r="6" spans="1:12" ht="15.75" thickBot="1" x14ac:dyDescent="0.3">
      <c r="A6">
        <v>5</v>
      </c>
      <c r="B6">
        <v>65</v>
      </c>
      <c r="C6" t="s">
        <v>18</v>
      </c>
      <c r="D6">
        <v>140621</v>
      </c>
      <c r="E6">
        <v>21</v>
      </c>
      <c r="F6">
        <v>3</v>
      </c>
      <c r="G6">
        <v>25</v>
      </c>
      <c r="H6" t="s">
        <v>14</v>
      </c>
      <c r="I6">
        <v>347.08</v>
      </c>
      <c r="K6" s="8" t="s">
        <v>35</v>
      </c>
      <c r="L6" s="6" t="str" cm="1">
        <f t="array" ref="L6">INDEX(H2:H1001, MODE(MATCH(H2:H1001,H2:H1001,0)))</f>
        <v>Electronics</v>
      </c>
    </row>
    <row r="7" spans="1:12" x14ac:dyDescent="0.25">
      <c r="A7">
        <v>6</v>
      </c>
      <c r="B7">
        <v>31</v>
      </c>
      <c r="C7" t="s">
        <v>45</v>
      </c>
      <c r="D7">
        <v>57305</v>
      </c>
      <c r="E7">
        <v>24</v>
      </c>
      <c r="F7">
        <v>3</v>
      </c>
      <c r="G7">
        <v>30</v>
      </c>
      <c r="H7" t="s">
        <v>13</v>
      </c>
      <c r="I7">
        <v>86.85</v>
      </c>
    </row>
    <row r="8" spans="1:12" x14ac:dyDescent="0.25">
      <c r="A8">
        <v>7</v>
      </c>
      <c r="B8">
        <v>19</v>
      </c>
      <c r="C8" t="s">
        <v>45</v>
      </c>
      <c r="D8">
        <v>54319</v>
      </c>
      <c r="E8">
        <v>68</v>
      </c>
      <c r="F8">
        <v>5</v>
      </c>
      <c r="G8">
        <v>43</v>
      </c>
      <c r="H8" t="s">
        <v>17</v>
      </c>
      <c r="I8">
        <v>191.72</v>
      </c>
    </row>
    <row r="9" spans="1:12" x14ac:dyDescent="0.25">
      <c r="A9">
        <v>8</v>
      </c>
      <c r="B9">
        <v>43</v>
      </c>
      <c r="C9" t="s">
        <v>12</v>
      </c>
      <c r="D9">
        <v>108115</v>
      </c>
      <c r="E9">
        <v>94</v>
      </c>
      <c r="F9">
        <v>9</v>
      </c>
      <c r="G9">
        <v>27</v>
      </c>
      <c r="H9" t="s">
        <v>16</v>
      </c>
      <c r="I9">
        <v>734.56</v>
      </c>
    </row>
    <row r="10" spans="1:12" x14ac:dyDescent="0.25">
      <c r="A10">
        <v>9</v>
      </c>
      <c r="B10">
        <v>53</v>
      </c>
      <c r="C10" t="s">
        <v>12</v>
      </c>
      <c r="D10">
        <v>34424</v>
      </c>
      <c r="E10">
        <v>29</v>
      </c>
      <c r="F10">
        <v>6</v>
      </c>
      <c r="G10">
        <v>7</v>
      </c>
      <c r="H10" t="s">
        <v>15</v>
      </c>
      <c r="I10">
        <v>951.71</v>
      </c>
    </row>
    <row r="11" spans="1:12" x14ac:dyDescent="0.25">
      <c r="A11">
        <v>10</v>
      </c>
      <c r="B11">
        <v>55</v>
      </c>
      <c r="C11" t="s">
        <v>18</v>
      </c>
      <c r="D11">
        <v>45839</v>
      </c>
      <c r="E11">
        <v>55</v>
      </c>
      <c r="F11">
        <v>7</v>
      </c>
      <c r="G11">
        <v>2</v>
      </c>
      <c r="H11" t="s">
        <v>14</v>
      </c>
      <c r="I11">
        <v>821.18</v>
      </c>
    </row>
    <row r="12" spans="1:12" x14ac:dyDescent="0.25">
      <c r="A12">
        <v>11</v>
      </c>
      <c r="B12">
        <v>23</v>
      </c>
      <c r="C12" t="s">
        <v>45</v>
      </c>
      <c r="D12">
        <v>69659</v>
      </c>
      <c r="E12">
        <v>16</v>
      </c>
      <c r="F12">
        <v>7</v>
      </c>
      <c r="G12">
        <v>24</v>
      </c>
      <c r="H12" t="s">
        <v>17</v>
      </c>
      <c r="I12">
        <v>434.97</v>
      </c>
    </row>
    <row r="13" spans="1:12" x14ac:dyDescent="0.25">
      <c r="A13">
        <v>12</v>
      </c>
      <c r="B13">
        <v>68</v>
      </c>
      <c r="C13" t="s">
        <v>45</v>
      </c>
      <c r="D13">
        <v>30058</v>
      </c>
      <c r="E13">
        <v>91</v>
      </c>
      <c r="F13">
        <v>1</v>
      </c>
      <c r="G13">
        <v>49</v>
      </c>
      <c r="H13" t="s">
        <v>16</v>
      </c>
      <c r="I13">
        <v>889.94</v>
      </c>
    </row>
    <row r="14" spans="1:12" x14ac:dyDescent="0.25">
      <c r="A14">
        <v>13</v>
      </c>
      <c r="B14">
        <v>29</v>
      </c>
      <c r="C14" t="s">
        <v>18</v>
      </c>
      <c r="D14">
        <v>87461</v>
      </c>
      <c r="E14">
        <v>81</v>
      </c>
      <c r="F14">
        <v>3</v>
      </c>
      <c r="G14">
        <v>27</v>
      </c>
      <c r="H14" t="s">
        <v>13</v>
      </c>
      <c r="I14">
        <v>101.07</v>
      </c>
    </row>
    <row r="15" spans="1:12" x14ac:dyDescent="0.25">
      <c r="A15">
        <v>14</v>
      </c>
      <c r="B15">
        <v>64</v>
      </c>
      <c r="C15" t="s">
        <v>45</v>
      </c>
      <c r="D15">
        <v>33018</v>
      </c>
      <c r="E15">
        <v>46</v>
      </c>
      <c r="F15">
        <v>4</v>
      </c>
      <c r="G15">
        <v>3</v>
      </c>
      <c r="H15" t="s">
        <v>15</v>
      </c>
      <c r="I15">
        <v>221.35</v>
      </c>
    </row>
    <row r="16" spans="1:12" x14ac:dyDescent="0.25">
      <c r="A16">
        <v>15</v>
      </c>
      <c r="B16">
        <v>33</v>
      </c>
      <c r="C16" t="s">
        <v>12</v>
      </c>
      <c r="D16">
        <v>112260</v>
      </c>
      <c r="E16">
        <v>17</v>
      </c>
      <c r="F16">
        <v>5</v>
      </c>
      <c r="G16">
        <v>8</v>
      </c>
      <c r="H16" t="s">
        <v>13</v>
      </c>
      <c r="I16">
        <v>915.89</v>
      </c>
    </row>
    <row r="17" spans="1:9" x14ac:dyDescent="0.25">
      <c r="A17">
        <v>16</v>
      </c>
      <c r="B17">
        <v>53</v>
      </c>
      <c r="C17" t="s">
        <v>12</v>
      </c>
      <c r="D17">
        <v>129284</v>
      </c>
      <c r="E17">
        <v>17</v>
      </c>
      <c r="F17">
        <v>6</v>
      </c>
      <c r="G17">
        <v>26</v>
      </c>
      <c r="H17" t="s">
        <v>17</v>
      </c>
      <c r="I17">
        <v>225.4</v>
      </c>
    </row>
    <row r="18" spans="1:9" x14ac:dyDescent="0.25">
      <c r="A18">
        <v>17</v>
      </c>
      <c r="B18">
        <v>57</v>
      </c>
      <c r="C18" t="s">
        <v>12</v>
      </c>
      <c r="D18">
        <v>102535</v>
      </c>
      <c r="E18">
        <v>29</v>
      </c>
      <c r="F18">
        <v>5</v>
      </c>
      <c r="G18">
        <v>13</v>
      </c>
      <c r="H18" t="s">
        <v>17</v>
      </c>
      <c r="I18">
        <v>378.47</v>
      </c>
    </row>
    <row r="19" spans="1:9" x14ac:dyDescent="0.25">
      <c r="A19">
        <v>18</v>
      </c>
      <c r="B19">
        <v>22</v>
      </c>
      <c r="C19" t="s">
        <v>12</v>
      </c>
      <c r="D19">
        <v>41849</v>
      </c>
      <c r="E19">
        <v>22</v>
      </c>
      <c r="F19">
        <v>1</v>
      </c>
      <c r="G19">
        <v>31</v>
      </c>
      <c r="H19" t="s">
        <v>15</v>
      </c>
      <c r="I19">
        <v>844.08</v>
      </c>
    </row>
    <row r="20" spans="1:9" x14ac:dyDescent="0.25">
      <c r="A20">
        <v>19</v>
      </c>
      <c r="B20">
        <v>37</v>
      </c>
      <c r="C20" t="s">
        <v>12</v>
      </c>
      <c r="D20">
        <v>95491</v>
      </c>
      <c r="E20">
        <v>90</v>
      </c>
      <c r="F20">
        <v>6</v>
      </c>
      <c r="G20">
        <v>21</v>
      </c>
      <c r="H20" t="s">
        <v>13</v>
      </c>
      <c r="I20">
        <v>454.83</v>
      </c>
    </row>
    <row r="21" spans="1:9" x14ac:dyDescent="0.25">
      <c r="A21">
        <v>20</v>
      </c>
      <c r="B21">
        <v>31</v>
      </c>
      <c r="C21" t="s">
        <v>12</v>
      </c>
      <c r="D21">
        <v>97103</v>
      </c>
      <c r="E21">
        <v>70</v>
      </c>
      <c r="F21">
        <v>3</v>
      </c>
      <c r="G21">
        <v>17</v>
      </c>
      <c r="H21" t="s">
        <v>16</v>
      </c>
      <c r="I21">
        <v>61.3</v>
      </c>
    </row>
    <row r="22" spans="1:9" x14ac:dyDescent="0.25">
      <c r="A22">
        <v>21</v>
      </c>
      <c r="B22">
        <v>19</v>
      </c>
      <c r="C22" t="s">
        <v>18</v>
      </c>
      <c r="D22">
        <v>82519</v>
      </c>
      <c r="E22">
        <v>13</v>
      </c>
      <c r="F22">
        <v>4</v>
      </c>
      <c r="G22">
        <v>4</v>
      </c>
      <c r="H22" t="s">
        <v>13</v>
      </c>
      <c r="I22">
        <v>742.39</v>
      </c>
    </row>
    <row r="23" spans="1:9" x14ac:dyDescent="0.25">
      <c r="A23">
        <v>22</v>
      </c>
      <c r="B23">
        <v>22</v>
      </c>
      <c r="C23" t="s">
        <v>12</v>
      </c>
      <c r="D23">
        <v>49077</v>
      </c>
      <c r="E23">
        <v>74</v>
      </c>
      <c r="F23">
        <v>10</v>
      </c>
      <c r="G23">
        <v>47</v>
      </c>
      <c r="H23" t="s">
        <v>13</v>
      </c>
      <c r="I23">
        <v>799.31</v>
      </c>
    </row>
    <row r="24" spans="1:9" x14ac:dyDescent="0.25">
      <c r="A24">
        <v>23</v>
      </c>
      <c r="B24">
        <v>36</v>
      </c>
      <c r="C24" t="s">
        <v>45</v>
      </c>
      <c r="D24">
        <v>85473</v>
      </c>
      <c r="E24">
        <v>68</v>
      </c>
      <c r="F24">
        <v>1</v>
      </c>
      <c r="G24">
        <v>16</v>
      </c>
      <c r="H24" t="s">
        <v>15</v>
      </c>
      <c r="I24">
        <v>806.55</v>
      </c>
    </row>
    <row r="25" spans="1:9" x14ac:dyDescent="0.25">
      <c r="A25">
        <v>24</v>
      </c>
      <c r="B25">
        <v>41</v>
      </c>
      <c r="C25" t="s">
        <v>45</v>
      </c>
      <c r="D25">
        <v>81758</v>
      </c>
      <c r="E25">
        <v>87</v>
      </c>
      <c r="F25">
        <v>7</v>
      </c>
      <c r="G25">
        <v>9</v>
      </c>
      <c r="H25" t="s">
        <v>17</v>
      </c>
      <c r="I25">
        <v>482.2</v>
      </c>
    </row>
    <row r="26" spans="1:9" x14ac:dyDescent="0.25">
      <c r="A26">
        <v>25</v>
      </c>
      <c r="B26">
        <v>69</v>
      </c>
      <c r="C26" t="s">
        <v>18</v>
      </c>
      <c r="D26">
        <v>36140</v>
      </c>
      <c r="E26">
        <v>78</v>
      </c>
      <c r="F26">
        <v>5</v>
      </c>
      <c r="G26">
        <v>39</v>
      </c>
      <c r="H26" t="s">
        <v>15</v>
      </c>
      <c r="I26">
        <v>508.86</v>
      </c>
    </row>
    <row r="27" spans="1:9" x14ac:dyDescent="0.25">
      <c r="A27">
        <v>26</v>
      </c>
      <c r="B27">
        <v>33</v>
      </c>
      <c r="C27" t="s">
        <v>45</v>
      </c>
      <c r="D27">
        <v>141757</v>
      </c>
      <c r="E27">
        <v>60</v>
      </c>
      <c r="F27">
        <v>10</v>
      </c>
      <c r="G27">
        <v>39</v>
      </c>
      <c r="H27" t="s">
        <v>16</v>
      </c>
      <c r="I27">
        <v>83.27</v>
      </c>
    </row>
    <row r="28" spans="1:9" x14ac:dyDescent="0.25">
      <c r="A28">
        <v>27</v>
      </c>
      <c r="B28">
        <v>54</v>
      </c>
      <c r="C28" t="s">
        <v>12</v>
      </c>
      <c r="D28">
        <v>35394</v>
      </c>
      <c r="E28">
        <v>10</v>
      </c>
      <c r="F28">
        <v>9</v>
      </c>
      <c r="G28">
        <v>4</v>
      </c>
      <c r="H28" t="s">
        <v>16</v>
      </c>
      <c r="I28">
        <v>124.29</v>
      </c>
    </row>
    <row r="29" spans="1:9" x14ac:dyDescent="0.25">
      <c r="A29">
        <v>28</v>
      </c>
      <c r="B29">
        <v>30</v>
      </c>
      <c r="C29" t="s">
        <v>18</v>
      </c>
      <c r="D29">
        <v>50680</v>
      </c>
      <c r="E29">
        <v>19</v>
      </c>
      <c r="F29">
        <v>7</v>
      </c>
      <c r="G29">
        <v>27</v>
      </c>
      <c r="H29" t="s">
        <v>15</v>
      </c>
      <c r="I29">
        <v>515.88</v>
      </c>
    </row>
    <row r="30" spans="1:9" x14ac:dyDescent="0.25">
      <c r="A30">
        <v>29</v>
      </c>
      <c r="B30">
        <v>18</v>
      </c>
      <c r="C30" t="s">
        <v>18</v>
      </c>
      <c r="D30">
        <v>70721</v>
      </c>
      <c r="E30">
        <v>78</v>
      </c>
      <c r="F30">
        <v>7</v>
      </c>
      <c r="G30">
        <v>1</v>
      </c>
      <c r="H30" t="s">
        <v>13</v>
      </c>
      <c r="I30">
        <v>191.9</v>
      </c>
    </row>
    <row r="31" spans="1:9" x14ac:dyDescent="0.25">
      <c r="A31">
        <v>30</v>
      </c>
      <c r="B31">
        <v>23</v>
      </c>
      <c r="C31" t="s">
        <v>12</v>
      </c>
      <c r="D31">
        <v>104106</v>
      </c>
      <c r="E31">
        <v>30</v>
      </c>
      <c r="F31">
        <v>4</v>
      </c>
      <c r="G31">
        <v>20</v>
      </c>
      <c r="H31" t="s">
        <v>14</v>
      </c>
      <c r="I31">
        <v>950.56</v>
      </c>
    </row>
    <row r="32" spans="1:9" x14ac:dyDescent="0.25">
      <c r="A32">
        <v>31</v>
      </c>
      <c r="B32">
        <v>36</v>
      </c>
      <c r="C32" t="s">
        <v>45</v>
      </c>
      <c r="D32">
        <v>76756</v>
      </c>
      <c r="E32">
        <v>16</v>
      </c>
      <c r="F32">
        <v>8</v>
      </c>
      <c r="G32">
        <v>27</v>
      </c>
      <c r="H32" t="s">
        <v>17</v>
      </c>
      <c r="I32">
        <v>970.06</v>
      </c>
    </row>
    <row r="33" spans="1:9" x14ac:dyDescent="0.25">
      <c r="A33">
        <v>32</v>
      </c>
      <c r="B33">
        <v>60</v>
      </c>
      <c r="C33" t="s">
        <v>18</v>
      </c>
      <c r="D33">
        <v>45733</v>
      </c>
      <c r="E33">
        <v>69</v>
      </c>
      <c r="F33">
        <v>2</v>
      </c>
      <c r="G33">
        <v>18</v>
      </c>
      <c r="H33" t="s">
        <v>14</v>
      </c>
      <c r="I33">
        <v>197.29</v>
      </c>
    </row>
    <row r="34" spans="1:9" x14ac:dyDescent="0.25">
      <c r="A34">
        <v>33</v>
      </c>
      <c r="B34">
        <v>29</v>
      </c>
      <c r="C34" t="s">
        <v>12</v>
      </c>
      <c r="D34">
        <v>71951</v>
      </c>
      <c r="E34">
        <v>2</v>
      </c>
      <c r="F34">
        <v>6</v>
      </c>
      <c r="G34">
        <v>47</v>
      </c>
      <c r="H34" t="s">
        <v>14</v>
      </c>
      <c r="I34">
        <v>91.94</v>
      </c>
    </row>
    <row r="35" spans="1:9" x14ac:dyDescent="0.25">
      <c r="A35">
        <v>34</v>
      </c>
      <c r="B35">
        <v>44</v>
      </c>
      <c r="C35" t="s">
        <v>45</v>
      </c>
      <c r="D35">
        <v>86593</v>
      </c>
      <c r="E35">
        <v>89</v>
      </c>
      <c r="F35">
        <v>4</v>
      </c>
      <c r="G35">
        <v>37</v>
      </c>
      <c r="H35" t="s">
        <v>16</v>
      </c>
      <c r="I35">
        <v>76.95</v>
      </c>
    </row>
    <row r="36" spans="1:9" x14ac:dyDescent="0.25">
      <c r="A36">
        <v>35</v>
      </c>
      <c r="B36">
        <v>45</v>
      </c>
      <c r="C36" t="s">
        <v>45</v>
      </c>
      <c r="D36">
        <v>43138</v>
      </c>
      <c r="E36">
        <v>54</v>
      </c>
      <c r="F36">
        <v>10</v>
      </c>
      <c r="G36">
        <v>48</v>
      </c>
      <c r="H36" t="s">
        <v>15</v>
      </c>
      <c r="I36">
        <v>639.22</v>
      </c>
    </row>
    <row r="37" spans="1:9" x14ac:dyDescent="0.25">
      <c r="A37">
        <v>36</v>
      </c>
      <c r="B37">
        <v>30</v>
      </c>
      <c r="C37" t="s">
        <v>18</v>
      </c>
      <c r="D37">
        <v>73464</v>
      </c>
      <c r="E37">
        <v>37</v>
      </c>
      <c r="F37">
        <v>1</v>
      </c>
      <c r="G37">
        <v>6</v>
      </c>
      <c r="H37" t="s">
        <v>17</v>
      </c>
      <c r="I37">
        <v>532.51</v>
      </c>
    </row>
    <row r="38" spans="1:9" x14ac:dyDescent="0.25">
      <c r="A38">
        <v>37</v>
      </c>
      <c r="B38">
        <v>47</v>
      </c>
      <c r="C38" t="s">
        <v>12</v>
      </c>
      <c r="D38">
        <v>108074</v>
      </c>
      <c r="E38">
        <v>78</v>
      </c>
      <c r="F38">
        <v>4</v>
      </c>
      <c r="G38">
        <v>38</v>
      </c>
      <c r="H38" t="s">
        <v>14</v>
      </c>
      <c r="I38">
        <v>128.19999999999999</v>
      </c>
    </row>
    <row r="39" spans="1:9" x14ac:dyDescent="0.25">
      <c r="A39">
        <v>38</v>
      </c>
      <c r="B39">
        <v>48</v>
      </c>
      <c r="C39" t="s">
        <v>45</v>
      </c>
      <c r="D39">
        <v>81794</v>
      </c>
      <c r="E39">
        <v>89</v>
      </c>
      <c r="F39">
        <v>7</v>
      </c>
      <c r="G39">
        <v>50</v>
      </c>
      <c r="H39" t="s">
        <v>14</v>
      </c>
      <c r="I39">
        <v>967.99</v>
      </c>
    </row>
    <row r="40" spans="1:9" x14ac:dyDescent="0.25">
      <c r="A40">
        <v>39</v>
      </c>
      <c r="B40">
        <v>31</v>
      </c>
      <c r="C40" t="s">
        <v>18</v>
      </c>
      <c r="D40">
        <v>75392</v>
      </c>
      <c r="E40">
        <v>43</v>
      </c>
      <c r="F40">
        <v>4</v>
      </c>
      <c r="G40">
        <v>29</v>
      </c>
      <c r="H40" t="s">
        <v>15</v>
      </c>
      <c r="I40">
        <v>88.44</v>
      </c>
    </row>
    <row r="41" spans="1:9" x14ac:dyDescent="0.25">
      <c r="A41">
        <v>40</v>
      </c>
      <c r="B41">
        <v>22</v>
      </c>
      <c r="C41" t="s">
        <v>12</v>
      </c>
      <c r="D41">
        <v>107057</v>
      </c>
      <c r="E41">
        <v>14</v>
      </c>
      <c r="F41">
        <v>5</v>
      </c>
      <c r="G41">
        <v>41</v>
      </c>
      <c r="H41" t="s">
        <v>13</v>
      </c>
      <c r="I41">
        <v>98.86</v>
      </c>
    </row>
    <row r="42" spans="1:9" x14ac:dyDescent="0.25">
      <c r="A42">
        <v>41</v>
      </c>
      <c r="B42">
        <v>23</v>
      </c>
      <c r="C42" t="s">
        <v>12</v>
      </c>
      <c r="D42">
        <v>70723</v>
      </c>
      <c r="E42">
        <v>31</v>
      </c>
      <c r="F42">
        <v>1</v>
      </c>
      <c r="G42">
        <v>48</v>
      </c>
      <c r="H42" t="s">
        <v>13</v>
      </c>
      <c r="I42">
        <v>713.33</v>
      </c>
    </row>
    <row r="43" spans="1:9" x14ac:dyDescent="0.25">
      <c r="A43">
        <v>42</v>
      </c>
      <c r="B43">
        <v>52</v>
      </c>
      <c r="C43" t="s">
        <v>12</v>
      </c>
      <c r="D43">
        <v>115529</v>
      </c>
      <c r="E43">
        <v>70</v>
      </c>
      <c r="F43">
        <v>2</v>
      </c>
      <c r="G43">
        <v>34</v>
      </c>
      <c r="H43" t="s">
        <v>17</v>
      </c>
      <c r="I43">
        <v>192.66</v>
      </c>
    </row>
    <row r="44" spans="1:9" x14ac:dyDescent="0.25">
      <c r="A44">
        <v>43</v>
      </c>
      <c r="B44">
        <v>35</v>
      </c>
      <c r="C44" t="s">
        <v>12</v>
      </c>
      <c r="D44">
        <v>72179</v>
      </c>
      <c r="E44">
        <v>6</v>
      </c>
      <c r="F44">
        <v>6</v>
      </c>
      <c r="G44">
        <v>45</v>
      </c>
      <c r="H44" t="s">
        <v>13</v>
      </c>
      <c r="I44">
        <v>165.18</v>
      </c>
    </row>
    <row r="45" spans="1:9" x14ac:dyDescent="0.25">
      <c r="A45">
        <v>44</v>
      </c>
      <c r="B45">
        <v>28</v>
      </c>
      <c r="C45" t="s">
        <v>45</v>
      </c>
      <c r="D45">
        <v>62405</v>
      </c>
      <c r="E45">
        <v>79</v>
      </c>
      <c r="F45">
        <v>5</v>
      </c>
      <c r="G45">
        <v>50</v>
      </c>
      <c r="H45" t="s">
        <v>13</v>
      </c>
      <c r="I45">
        <v>956.73</v>
      </c>
    </row>
    <row r="46" spans="1:9" x14ac:dyDescent="0.25">
      <c r="A46">
        <v>45</v>
      </c>
      <c r="B46">
        <v>50</v>
      </c>
      <c r="C46" t="s">
        <v>12</v>
      </c>
      <c r="D46">
        <v>42404</v>
      </c>
      <c r="E46">
        <v>45</v>
      </c>
      <c r="F46">
        <v>4</v>
      </c>
      <c r="G46">
        <v>31</v>
      </c>
      <c r="H46" t="s">
        <v>13</v>
      </c>
      <c r="I46">
        <v>753.6</v>
      </c>
    </row>
    <row r="47" spans="1:9" x14ac:dyDescent="0.25">
      <c r="A47">
        <v>46</v>
      </c>
      <c r="B47">
        <v>49</v>
      </c>
      <c r="C47" t="s">
        <v>45</v>
      </c>
      <c r="D47">
        <v>94531</v>
      </c>
      <c r="E47">
        <v>28</v>
      </c>
      <c r="F47">
        <v>5</v>
      </c>
      <c r="G47">
        <v>42</v>
      </c>
      <c r="H47" t="s">
        <v>17</v>
      </c>
      <c r="I47">
        <v>214.93</v>
      </c>
    </row>
    <row r="48" spans="1:9" x14ac:dyDescent="0.25">
      <c r="A48">
        <v>47</v>
      </c>
      <c r="B48">
        <v>56</v>
      </c>
      <c r="C48" t="s">
        <v>12</v>
      </c>
      <c r="D48">
        <v>129005</v>
      </c>
      <c r="E48">
        <v>40</v>
      </c>
      <c r="F48">
        <v>6</v>
      </c>
      <c r="G48">
        <v>8</v>
      </c>
      <c r="H48" t="s">
        <v>14</v>
      </c>
      <c r="I48">
        <v>355.34</v>
      </c>
    </row>
    <row r="49" spans="1:9" x14ac:dyDescent="0.25">
      <c r="A49">
        <v>48</v>
      </c>
      <c r="B49">
        <v>48</v>
      </c>
      <c r="C49" t="s">
        <v>12</v>
      </c>
      <c r="D49">
        <v>76317</v>
      </c>
      <c r="E49">
        <v>94</v>
      </c>
      <c r="F49">
        <v>9</v>
      </c>
      <c r="G49">
        <v>3</v>
      </c>
      <c r="H49" t="s">
        <v>14</v>
      </c>
      <c r="I49">
        <v>189.28</v>
      </c>
    </row>
    <row r="50" spans="1:9" x14ac:dyDescent="0.25">
      <c r="A50">
        <v>49</v>
      </c>
      <c r="B50">
        <v>19</v>
      </c>
      <c r="C50" t="s">
        <v>45</v>
      </c>
      <c r="D50">
        <v>85309</v>
      </c>
      <c r="E50">
        <v>65</v>
      </c>
      <c r="F50">
        <v>5</v>
      </c>
      <c r="G50">
        <v>10</v>
      </c>
      <c r="H50" t="s">
        <v>15</v>
      </c>
      <c r="I50">
        <v>28.55</v>
      </c>
    </row>
    <row r="51" spans="1:9" x14ac:dyDescent="0.25">
      <c r="A51">
        <v>50</v>
      </c>
      <c r="B51">
        <v>68</v>
      </c>
      <c r="C51" t="s">
        <v>18</v>
      </c>
      <c r="D51">
        <v>146519</v>
      </c>
      <c r="E51">
        <v>96</v>
      </c>
      <c r="F51">
        <v>2</v>
      </c>
      <c r="G51">
        <v>18</v>
      </c>
      <c r="H51" t="s">
        <v>16</v>
      </c>
      <c r="I51">
        <v>673.79</v>
      </c>
    </row>
    <row r="52" spans="1:9" x14ac:dyDescent="0.25">
      <c r="A52">
        <v>51</v>
      </c>
      <c r="B52">
        <v>61</v>
      </c>
      <c r="C52" t="s">
        <v>18</v>
      </c>
      <c r="D52">
        <v>61290</v>
      </c>
      <c r="E52">
        <v>83</v>
      </c>
      <c r="F52">
        <v>9</v>
      </c>
      <c r="G52">
        <v>35</v>
      </c>
      <c r="H52" t="s">
        <v>17</v>
      </c>
      <c r="I52">
        <v>110.32</v>
      </c>
    </row>
    <row r="53" spans="1:9" x14ac:dyDescent="0.25">
      <c r="A53">
        <v>52</v>
      </c>
      <c r="B53">
        <v>24</v>
      </c>
      <c r="C53" t="s">
        <v>18</v>
      </c>
      <c r="D53">
        <v>96082</v>
      </c>
      <c r="E53">
        <v>83</v>
      </c>
      <c r="F53">
        <v>4</v>
      </c>
      <c r="G53">
        <v>36</v>
      </c>
      <c r="H53" t="s">
        <v>15</v>
      </c>
      <c r="I53">
        <v>589.35</v>
      </c>
    </row>
    <row r="54" spans="1:9" x14ac:dyDescent="0.25">
      <c r="A54">
        <v>53</v>
      </c>
      <c r="B54">
        <v>45</v>
      </c>
      <c r="C54" t="s">
        <v>45</v>
      </c>
      <c r="D54">
        <v>134241</v>
      </c>
      <c r="E54">
        <v>73</v>
      </c>
      <c r="F54">
        <v>9</v>
      </c>
      <c r="G54">
        <v>16</v>
      </c>
      <c r="H54" t="s">
        <v>16</v>
      </c>
      <c r="I54">
        <v>893.44</v>
      </c>
    </row>
    <row r="55" spans="1:9" x14ac:dyDescent="0.25">
      <c r="A55">
        <v>54</v>
      </c>
      <c r="B55">
        <v>33</v>
      </c>
      <c r="C55" t="s">
        <v>18</v>
      </c>
      <c r="D55">
        <v>45136</v>
      </c>
      <c r="E55">
        <v>84</v>
      </c>
      <c r="F55">
        <v>9</v>
      </c>
      <c r="G55">
        <v>38</v>
      </c>
      <c r="H55" t="s">
        <v>13</v>
      </c>
      <c r="I55">
        <v>332.34</v>
      </c>
    </row>
    <row r="56" spans="1:9" x14ac:dyDescent="0.25">
      <c r="A56">
        <v>55</v>
      </c>
      <c r="B56">
        <v>56</v>
      </c>
      <c r="C56" t="s">
        <v>18</v>
      </c>
      <c r="D56">
        <v>85476</v>
      </c>
      <c r="E56">
        <v>55</v>
      </c>
      <c r="F56">
        <v>2</v>
      </c>
      <c r="G56">
        <v>41</v>
      </c>
      <c r="H56" t="s">
        <v>15</v>
      </c>
      <c r="I56">
        <v>774.5</v>
      </c>
    </row>
    <row r="57" spans="1:9" x14ac:dyDescent="0.25">
      <c r="A57">
        <v>56</v>
      </c>
      <c r="B57">
        <v>42</v>
      </c>
      <c r="C57" t="s">
        <v>45</v>
      </c>
      <c r="D57">
        <v>73466</v>
      </c>
      <c r="E57">
        <v>50</v>
      </c>
      <c r="F57">
        <v>4</v>
      </c>
      <c r="G57">
        <v>13</v>
      </c>
      <c r="H57" t="s">
        <v>15</v>
      </c>
      <c r="I57">
        <v>903.07</v>
      </c>
    </row>
    <row r="58" spans="1:9" x14ac:dyDescent="0.25">
      <c r="A58">
        <v>57</v>
      </c>
      <c r="B58">
        <v>63</v>
      </c>
      <c r="C58" t="s">
        <v>45</v>
      </c>
      <c r="D58">
        <v>49607</v>
      </c>
      <c r="E58">
        <v>7</v>
      </c>
      <c r="F58">
        <v>9</v>
      </c>
      <c r="G58">
        <v>20</v>
      </c>
      <c r="H58" t="s">
        <v>14</v>
      </c>
      <c r="I58">
        <v>195.34</v>
      </c>
    </row>
    <row r="59" spans="1:9" x14ac:dyDescent="0.25">
      <c r="A59">
        <v>58</v>
      </c>
      <c r="B59">
        <v>49</v>
      </c>
      <c r="C59" t="s">
        <v>18</v>
      </c>
      <c r="D59">
        <v>112198</v>
      </c>
      <c r="E59">
        <v>48</v>
      </c>
      <c r="F59">
        <v>5</v>
      </c>
      <c r="G59">
        <v>24</v>
      </c>
      <c r="H59" t="s">
        <v>15</v>
      </c>
      <c r="I59">
        <v>843.87</v>
      </c>
    </row>
    <row r="60" spans="1:9" x14ac:dyDescent="0.25">
      <c r="A60">
        <v>59</v>
      </c>
      <c r="B60">
        <v>43</v>
      </c>
      <c r="C60" t="s">
        <v>18</v>
      </c>
      <c r="D60">
        <v>81595</v>
      </c>
      <c r="E60">
        <v>12</v>
      </c>
      <c r="F60">
        <v>7</v>
      </c>
      <c r="G60">
        <v>1</v>
      </c>
      <c r="H60" t="s">
        <v>14</v>
      </c>
      <c r="I60">
        <v>806.26</v>
      </c>
    </row>
    <row r="61" spans="1:9" x14ac:dyDescent="0.25">
      <c r="A61">
        <v>60</v>
      </c>
      <c r="B61">
        <v>21</v>
      </c>
      <c r="C61" t="s">
        <v>18</v>
      </c>
      <c r="D61">
        <v>139387</v>
      </c>
      <c r="E61">
        <v>1</v>
      </c>
      <c r="F61">
        <v>5</v>
      </c>
      <c r="G61">
        <v>7</v>
      </c>
      <c r="H61" t="s">
        <v>17</v>
      </c>
      <c r="I61">
        <v>399.58</v>
      </c>
    </row>
    <row r="62" spans="1:9" x14ac:dyDescent="0.25">
      <c r="A62">
        <v>61</v>
      </c>
      <c r="B62">
        <v>23</v>
      </c>
      <c r="C62" t="s">
        <v>12</v>
      </c>
      <c r="D62">
        <v>69133</v>
      </c>
      <c r="E62">
        <v>14</v>
      </c>
      <c r="F62">
        <v>6</v>
      </c>
      <c r="G62">
        <v>7</v>
      </c>
      <c r="H62" t="s">
        <v>16</v>
      </c>
      <c r="I62">
        <v>224.86</v>
      </c>
    </row>
    <row r="63" spans="1:9" x14ac:dyDescent="0.25">
      <c r="A63">
        <v>62</v>
      </c>
      <c r="B63">
        <v>30</v>
      </c>
      <c r="C63" t="s">
        <v>45</v>
      </c>
      <c r="D63">
        <v>89149</v>
      </c>
      <c r="E63">
        <v>87</v>
      </c>
      <c r="F63">
        <v>10</v>
      </c>
      <c r="G63">
        <v>36</v>
      </c>
      <c r="H63" t="s">
        <v>17</v>
      </c>
      <c r="I63">
        <v>174.41</v>
      </c>
    </row>
    <row r="64" spans="1:9" x14ac:dyDescent="0.25">
      <c r="A64">
        <v>63</v>
      </c>
      <c r="B64">
        <v>49</v>
      </c>
      <c r="C64" t="s">
        <v>18</v>
      </c>
      <c r="D64">
        <v>79992</v>
      </c>
      <c r="E64">
        <v>49</v>
      </c>
      <c r="F64">
        <v>8</v>
      </c>
      <c r="G64">
        <v>6</v>
      </c>
      <c r="H64" t="s">
        <v>15</v>
      </c>
      <c r="I64">
        <v>636.65</v>
      </c>
    </row>
    <row r="65" spans="1:9" x14ac:dyDescent="0.25">
      <c r="A65">
        <v>64</v>
      </c>
      <c r="B65">
        <v>50</v>
      </c>
      <c r="C65" t="s">
        <v>18</v>
      </c>
      <c r="D65">
        <v>85111</v>
      </c>
      <c r="E65">
        <v>31</v>
      </c>
      <c r="F65">
        <v>1</v>
      </c>
      <c r="G65">
        <v>19</v>
      </c>
      <c r="H65" t="s">
        <v>14</v>
      </c>
      <c r="I65">
        <v>319.05</v>
      </c>
    </row>
    <row r="66" spans="1:9" x14ac:dyDescent="0.25">
      <c r="A66">
        <v>65</v>
      </c>
      <c r="B66">
        <v>27</v>
      </c>
      <c r="C66" t="s">
        <v>45</v>
      </c>
      <c r="D66">
        <v>90557</v>
      </c>
      <c r="E66">
        <v>36</v>
      </c>
      <c r="F66">
        <v>2</v>
      </c>
      <c r="G66">
        <v>2</v>
      </c>
      <c r="H66" t="s">
        <v>15</v>
      </c>
      <c r="I66">
        <v>494.55</v>
      </c>
    </row>
    <row r="67" spans="1:9" x14ac:dyDescent="0.25">
      <c r="A67">
        <v>66</v>
      </c>
      <c r="B67">
        <v>32</v>
      </c>
      <c r="C67" t="s">
        <v>12</v>
      </c>
      <c r="D67">
        <v>100270</v>
      </c>
      <c r="E67">
        <v>69</v>
      </c>
      <c r="F67">
        <v>3</v>
      </c>
      <c r="G67">
        <v>29</v>
      </c>
      <c r="H67" t="s">
        <v>13</v>
      </c>
      <c r="I67">
        <v>686.05</v>
      </c>
    </row>
    <row r="68" spans="1:9" x14ac:dyDescent="0.25">
      <c r="A68">
        <v>67</v>
      </c>
      <c r="B68">
        <v>36</v>
      </c>
      <c r="C68" t="s">
        <v>18</v>
      </c>
      <c r="D68">
        <v>127346</v>
      </c>
      <c r="E68">
        <v>75</v>
      </c>
      <c r="F68">
        <v>5</v>
      </c>
      <c r="G68">
        <v>7</v>
      </c>
      <c r="H68" t="s">
        <v>14</v>
      </c>
      <c r="I68">
        <v>335.98</v>
      </c>
    </row>
    <row r="69" spans="1:9" x14ac:dyDescent="0.25">
      <c r="A69">
        <v>68</v>
      </c>
      <c r="B69">
        <v>43</v>
      </c>
      <c r="C69" t="s">
        <v>18</v>
      </c>
      <c r="D69">
        <v>87807</v>
      </c>
      <c r="E69">
        <v>52</v>
      </c>
      <c r="F69">
        <v>9</v>
      </c>
      <c r="G69">
        <v>41</v>
      </c>
      <c r="H69" t="s">
        <v>17</v>
      </c>
      <c r="I69">
        <v>95.08</v>
      </c>
    </row>
    <row r="70" spans="1:9" x14ac:dyDescent="0.25">
      <c r="A70">
        <v>69</v>
      </c>
      <c r="B70">
        <v>32</v>
      </c>
      <c r="C70" t="s">
        <v>12</v>
      </c>
      <c r="D70">
        <v>135861</v>
      </c>
      <c r="E70">
        <v>88</v>
      </c>
      <c r="F70">
        <v>5</v>
      </c>
      <c r="G70">
        <v>16</v>
      </c>
      <c r="H70" t="s">
        <v>14</v>
      </c>
      <c r="I70">
        <v>103.33</v>
      </c>
    </row>
    <row r="71" spans="1:9" x14ac:dyDescent="0.25">
      <c r="A71">
        <v>70</v>
      </c>
      <c r="B71">
        <v>49</v>
      </c>
      <c r="C71" t="s">
        <v>45</v>
      </c>
      <c r="D71">
        <v>40936</v>
      </c>
      <c r="E71">
        <v>32</v>
      </c>
      <c r="F71">
        <v>9</v>
      </c>
      <c r="G71">
        <v>49</v>
      </c>
      <c r="H71" t="s">
        <v>15</v>
      </c>
      <c r="I71">
        <v>495.62</v>
      </c>
    </row>
    <row r="72" spans="1:9" x14ac:dyDescent="0.25">
      <c r="A72">
        <v>71</v>
      </c>
      <c r="B72">
        <v>23</v>
      </c>
      <c r="C72" t="s">
        <v>18</v>
      </c>
      <c r="D72">
        <v>66376</v>
      </c>
      <c r="E72">
        <v>60</v>
      </c>
      <c r="F72">
        <v>1</v>
      </c>
      <c r="G72">
        <v>18</v>
      </c>
      <c r="H72" t="s">
        <v>14</v>
      </c>
      <c r="I72">
        <v>77.73</v>
      </c>
    </row>
    <row r="73" spans="1:9" x14ac:dyDescent="0.25">
      <c r="A73">
        <v>72</v>
      </c>
      <c r="B73">
        <v>58</v>
      </c>
      <c r="C73" t="s">
        <v>45</v>
      </c>
      <c r="D73">
        <v>56120</v>
      </c>
      <c r="E73">
        <v>30</v>
      </c>
      <c r="F73">
        <v>3</v>
      </c>
      <c r="G73">
        <v>50</v>
      </c>
      <c r="H73" t="s">
        <v>16</v>
      </c>
      <c r="I73">
        <v>880.23</v>
      </c>
    </row>
    <row r="74" spans="1:9" x14ac:dyDescent="0.25">
      <c r="A74">
        <v>73</v>
      </c>
      <c r="B74">
        <v>31</v>
      </c>
      <c r="C74" t="s">
        <v>18</v>
      </c>
      <c r="D74">
        <v>112452</v>
      </c>
      <c r="E74">
        <v>21</v>
      </c>
      <c r="F74">
        <v>1</v>
      </c>
      <c r="G74">
        <v>5</v>
      </c>
      <c r="H74" t="s">
        <v>16</v>
      </c>
      <c r="I74">
        <v>552.21</v>
      </c>
    </row>
    <row r="75" spans="1:9" x14ac:dyDescent="0.25">
      <c r="A75">
        <v>74</v>
      </c>
      <c r="B75">
        <v>38</v>
      </c>
      <c r="C75" t="s">
        <v>18</v>
      </c>
      <c r="D75">
        <v>102944</v>
      </c>
      <c r="E75">
        <v>63</v>
      </c>
      <c r="F75">
        <v>8</v>
      </c>
      <c r="G75">
        <v>9</v>
      </c>
      <c r="H75" t="s">
        <v>13</v>
      </c>
      <c r="I75">
        <v>92.69</v>
      </c>
    </row>
    <row r="76" spans="1:9" x14ac:dyDescent="0.25">
      <c r="A76">
        <v>75</v>
      </c>
      <c r="B76">
        <v>58</v>
      </c>
      <c r="C76" t="s">
        <v>45</v>
      </c>
      <c r="D76">
        <v>143037</v>
      </c>
      <c r="E76">
        <v>56</v>
      </c>
      <c r="F76">
        <v>8</v>
      </c>
      <c r="G76">
        <v>42</v>
      </c>
      <c r="H76" t="s">
        <v>16</v>
      </c>
      <c r="I76">
        <v>57.57</v>
      </c>
    </row>
    <row r="77" spans="1:9" x14ac:dyDescent="0.25">
      <c r="A77">
        <v>76</v>
      </c>
      <c r="B77">
        <v>60</v>
      </c>
      <c r="C77" t="s">
        <v>18</v>
      </c>
      <c r="D77">
        <v>131101</v>
      </c>
      <c r="E77">
        <v>68</v>
      </c>
      <c r="F77">
        <v>8</v>
      </c>
      <c r="G77">
        <v>28</v>
      </c>
      <c r="H77" t="s">
        <v>13</v>
      </c>
      <c r="I77">
        <v>522.95000000000005</v>
      </c>
    </row>
    <row r="78" spans="1:9" x14ac:dyDescent="0.25">
      <c r="A78">
        <v>77</v>
      </c>
      <c r="B78">
        <v>49</v>
      </c>
      <c r="C78" t="s">
        <v>12</v>
      </c>
      <c r="D78">
        <v>30708</v>
      </c>
      <c r="E78">
        <v>4</v>
      </c>
      <c r="F78">
        <v>1</v>
      </c>
      <c r="G78">
        <v>36</v>
      </c>
      <c r="H78" t="s">
        <v>16</v>
      </c>
      <c r="I78">
        <v>990</v>
      </c>
    </row>
    <row r="79" spans="1:9" x14ac:dyDescent="0.25">
      <c r="A79">
        <v>78</v>
      </c>
      <c r="B79">
        <v>32</v>
      </c>
      <c r="C79" t="s">
        <v>45</v>
      </c>
      <c r="D79">
        <v>44048</v>
      </c>
      <c r="E79">
        <v>20</v>
      </c>
      <c r="F79">
        <v>7</v>
      </c>
      <c r="G79">
        <v>10</v>
      </c>
      <c r="H79" t="s">
        <v>17</v>
      </c>
      <c r="I79">
        <v>41.55</v>
      </c>
    </row>
    <row r="80" spans="1:9" x14ac:dyDescent="0.25">
      <c r="A80">
        <v>79</v>
      </c>
      <c r="B80">
        <v>30</v>
      </c>
      <c r="C80" t="s">
        <v>45</v>
      </c>
      <c r="D80">
        <v>95501</v>
      </c>
      <c r="E80">
        <v>27</v>
      </c>
      <c r="F80">
        <v>3</v>
      </c>
      <c r="G80">
        <v>14</v>
      </c>
      <c r="H80" t="s">
        <v>16</v>
      </c>
      <c r="I80">
        <v>476.25</v>
      </c>
    </row>
    <row r="81" spans="1:9" x14ac:dyDescent="0.25">
      <c r="A81">
        <v>80</v>
      </c>
      <c r="B81">
        <v>68</v>
      </c>
      <c r="C81" t="s">
        <v>45</v>
      </c>
      <c r="D81">
        <v>45092</v>
      </c>
      <c r="E81">
        <v>54</v>
      </c>
      <c r="F81">
        <v>4</v>
      </c>
      <c r="G81">
        <v>40</v>
      </c>
      <c r="H81" t="s">
        <v>14</v>
      </c>
      <c r="I81">
        <v>738.6</v>
      </c>
    </row>
    <row r="82" spans="1:9" x14ac:dyDescent="0.25">
      <c r="A82">
        <v>81</v>
      </c>
      <c r="B82">
        <v>65</v>
      </c>
      <c r="C82" t="s">
        <v>45</v>
      </c>
      <c r="D82">
        <v>117157</v>
      </c>
      <c r="E82">
        <v>90</v>
      </c>
      <c r="F82">
        <v>9</v>
      </c>
      <c r="G82">
        <v>39</v>
      </c>
      <c r="H82" t="s">
        <v>14</v>
      </c>
      <c r="I82">
        <v>812.36</v>
      </c>
    </row>
    <row r="83" spans="1:9" x14ac:dyDescent="0.25">
      <c r="A83">
        <v>82</v>
      </c>
      <c r="B83">
        <v>36</v>
      </c>
      <c r="C83" t="s">
        <v>18</v>
      </c>
      <c r="D83">
        <v>148542</v>
      </c>
      <c r="E83">
        <v>60</v>
      </c>
      <c r="F83">
        <v>1</v>
      </c>
      <c r="G83">
        <v>17</v>
      </c>
      <c r="H83" t="s">
        <v>16</v>
      </c>
      <c r="I83">
        <v>15.66</v>
      </c>
    </row>
    <row r="84" spans="1:9" x14ac:dyDescent="0.25">
      <c r="A84">
        <v>83</v>
      </c>
      <c r="B84">
        <v>36</v>
      </c>
      <c r="C84" t="s">
        <v>18</v>
      </c>
      <c r="D84">
        <v>99427</v>
      </c>
      <c r="E84">
        <v>94</v>
      </c>
      <c r="F84">
        <v>8</v>
      </c>
      <c r="G84">
        <v>15</v>
      </c>
      <c r="H84" t="s">
        <v>15</v>
      </c>
      <c r="I84">
        <v>265.04000000000002</v>
      </c>
    </row>
    <row r="85" spans="1:9" x14ac:dyDescent="0.25">
      <c r="A85">
        <v>84</v>
      </c>
      <c r="B85">
        <v>56</v>
      </c>
      <c r="C85" t="s">
        <v>12</v>
      </c>
      <c r="D85">
        <v>58971</v>
      </c>
      <c r="E85">
        <v>77</v>
      </c>
      <c r="F85">
        <v>9</v>
      </c>
      <c r="G85">
        <v>35</v>
      </c>
      <c r="H85" t="s">
        <v>14</v>
      </c>
      <c r="I85">
        <v>13.16</v>
      </c>
    </row>
    <row r="86" spans="1:9" x14ac:dyDescent="0.25">
      <c r="A86">
        <v>85</v>
      </c>
      <c r="B86">
        <v>19</v>
      </c>
      <c r="C86" t="s">
        <v>12</v>
      </c>
      <c r="D86">
        <v>101100</v>
      </c>
      <c r="E86">
        <v>43</v>
      </c>
      <c r="F86">
        <v>3</v>
      </c>
      <c r="G86">
        <v>14</v>
      </c>
      <c r="H86" t="s">
        <v>17</v>
      </c>
      <c r="I86">
        <v>392.36</v>
      </c>
    </row>
    <row r="87" spans="1:9" x14ac:dyDescent="0.25">
      <c r="A87">
        <v>86</v>
      </c>
      <c r="B87">
        <v>31</v>
      </c>
      <c r="C87" t="s">
        <v>45</v>
      </c>
      <c r="D87">
        <v>61849</v>
      </c>
      <c r="E87">
        <v>24</v>
      </c>
      <c r="F87">
        <v>6</v>
      </c>
      <c r="G87">
        <v>31</v>
      </c>
      <c r="H87" t="s">
        <v>13</v>
      </c>
      <c r="I87">
        <v>120.8</v>
      </c>
    </row>
    <row r="88" spans="1:9" x14ac:dyDescent="0.25">
      <c r="A88">
        <v>87</v>
      </c>
      <c r="B88">
        <v>59</v>
      </c>
      <c r="C88" t="s">
        <v>12</v>
      </c>
      <c r="D88">
        <v>47990</v>
      </c>
      <c r="E88">
        <v>3</v>
      </c>
      <c r="F88">
        <v>10</v>
      </c>
      <c r="G88">
        <v>48</v>
      </c>
      <c r="H88" t="s">
        <v>13</v>
      </c>
      <c r="I88">
        <v>755.92</v>
      </c>
    </row>
    <row r="89" spans="1:9" x14ac:dyDescent="0.25">
      <c r="A89">
        <v>88</v>
      </c>
      <c r="B89">
        <v>31</v>
      </c>
      <c r="C89" t="s">
        <v>12</v>
      </c>
      <c r="D89">
        <v>55100</v>
      </c>
      <c r="E89">
        <v>20</v>
      </c>
      <c r="F89">
        <v>7</v>
      </c>
      <c r="G89">
        <v>31</v>
      </c>
      <c r="H89" t="s">
        <v>15</v>
      </c>
      <c r="I89">
        <v>59.84</v>
      </c>
    </row>
    <row r="90" spans="1:9" x14ac:dyDescent="0.25">
      <c r="A90">
        <v>89</v>
      </c>
      <c r="B90">
        <v>18</v>
      </c>
      <c r="C90" t="s">
        <v>45</v>
      </c>
      <c r="D90">
        <v>105470</v>
      </c>
      <c r="E90">
        <v>8</v>
      </c>
      <c r="F90">
        <v>7</v>
      </c>
      <c r="G90">
        <v>4</v>
      </c>
      <c r="H90" t="s">
        <v>17</v>
      </c>
      <c r="I90">
        <v>746.18</v>
      </c>
    </row>
    <row r="91" spans="1:9" x14ac:dyDescent="0.25">
      <c r="A91">
        <v>90</v>
      </c>
      <c r="B91">
        <v>45</v>
      </c>
      <c r="C91" t="s">
        <v>45</v>
      </c>
      <c r="D91">
        <v>63381</v>
      </c>
      <c r="E91">
        <v>80</v>
      </c>
      <c r="F91">
        <v>4</v>
      </c>
      <c r="G91">
        <v>8</v>
      </c>
      <c r="H91" t="s">
        <v>13</v>
      </c>
      <c r="I91">
        <v>754.24</v>
      </c>
    </row>
    <row r="92" spans="1:9" x14ac:dyDescent="0.25">
      <c r="A92">
        <v>91</v>
      </c>
      <c r="B92">
        <v>32</v>
      </c>
      <c r="C92" t="s">
        <v>45</v>
      </c>
      <c r="D92">
        <v>92089</v>
      </c>
      <c r="E92">
        <v>16</v>
      </c>
      <c r="F92">
        <v>1</v>
      </c>
      <c r="G92">
        <v>47</v>
      </c>
      <c r="H92" t="s">
        <v>13</v>
      </c>
      <c r="I92">
        <v>209.86</v>
      </c>
    </row>
    <row r="93" spans="1:9" x14ac:dyDescent="0.25">
      <c r="A93">
        <v>92</v>
      </c>
      <c r="B93">
        <v>39</v>
      </c>
      <c r="C93" t="s">
        <v>45</v>
      </c>
      <c r="D93">
        <v>104031</v>
      </c>
      <c r="E93">
        <v>67</v>
      </c>
      <c r="F93">
        <v>6</v>
      </c>
      <c r="G93">
        <v>28</v>
      </c>
      <c r="H93" t="s">
        <v>13</v>
      </c>
      <c r="I93">
        <v>930.36</v>
      </c>
    </row>
    <row r="94" spans="1:9" x14ac:dyDescent="0.25">
      <c r="A94">
        <v>93</v>
      </c>
      <c r="B94">
        <v>65</v>
      </c>
      <c r="C94" t="s">
        <v>12</v>
      </c>
      <c r="D94">
        <v>62792</v>
      </c>
      <c r="E94">
        <v>83</v>
      </c>
      <c r="F94">
        <v>8</v>
      </c>
      <c r="G94">
        <v>11</v>
      </c>
      <c r="H94" t="s">
        <v>14</v>
      </c>
      <c r="I94">
        <v>230.58</v>
      </c>
    </row>
    <row r="95" spans="1:9" x14ac:dyDescent="0.25">
      <c r="A95">
        <v>94</v>
      </c>
      <c r="B95">
        <v>46</v>
      </c>
      <c r="C95" t="s">
        <v>45</v>
      </c>
      <c r="D95">
        <v>113116</v>
      </c>
      <c r="E95">
        <v>7</v>
      </c>
      <c r="F95">
        <v>10</v>
      </c>
      <c r="G95">
        <v>13</v>
      </c>
      <c r="H95" t="s">
        <v>17</v>
      </c>
      <c r="I95">
        <v>190.55</v>
      </c>
    </row>
    <row r="96" spans="1:9" x14ac:dyDescent="0.25">
      <c r="A96">
        <v>95</v>
      </c>
      <c r="B96">
        <v>30</v>
      </c>
      <c r="C96" t="s">
        <v>45</v>
      </c>
      <c r="D96">
        <v>75926</v>
      </c>
      <c r="E96">
        <v>97</v>
      </c>
      <c r="F96">
        <v>10</v>
      </c>
      <c r="G96">
        <v>19</v>
      </c>
      <c r="H96" t="s">
        <v>15</v>
      </c>
      <c r="I96">
        <v>670.87</v>
      </c>
    </row>
    <row r="97" spans="1:9" x14ac:dyDescent="0.25">
      <c r="A97">
        <v>96</v>
      </c>
      <c r="B97">
        <v>23</v>
      </c>
      <c r="C97" t="s">
        <v>12</v>
      </c>
      <c r="D97">
        <v>108480</v>
      </c>
      <c r="E97">
        <v>46</v>
      </c>
      <c r="F97">
        <v>10</v>
      </c>
      <c r="G97">
        <v>21</v>
      </c>
      <c r="H97" t="s">
        <v>17</v>
      </c>
      <c r="I97">
        <v>377.31</v>
      </c>
    </row>
    <row r="98" spans="1:9" x14ac:dyDescent="0.25">
      <c r="A98">
        <v>97</v>
      </c>
      <c r="B98">
        <v>63</v>
      </c>
      <c r="C98" t="s">
        <v>45</v>
      </c>
      <c r="D98">
        <v>102834</v>
      </c>
      <c r="E98">
        <v>31</v>
      </c>
      <c r="F98">
        <v>7</v>
      </c>
      <c r="G98">
        <v>20</v>
      </c>
      <c r="H98" t="s">
        <v>14</v>
      </c>
      <c r="I98">
        <v>582.57000000000005</v>
      </c>
    </row>
    <row r="99" spans="1:9" x14ac:dyDescent="0.25">
      <c r="A99">
        <v>98</v>
      </c>
      <c r="B99">
        <v>49</v>
      </c>
      <c r="C99" t="s">
        <v>12</v>
      </c>
      <c r="D99">
        <v>46695</v>
      </c>
      <c r="E99">
        <v>99</v>
      </c>
      <c r="F99">
        <v>9</v>
      </c>
      <c r="G99">
        <v>26</v>
      </c>
      <c r="H99" t="s">
        <v>17</v>
      </c>
      <c r="I99">
        <v>674.7</v>
      </c>
    </row>
    <row r="100" spans="1:9" x14ac:dyDescent="0.25">
      <c r="A100">
        <v>99</v>
      </c>
      <c r="B100">
        <v>21</v>
      </c>
      <c r="C100" t="s">
        <v>45</v>
      </c>
      <c r="D100">
        <v>105024</v>
      </c>
      <c r="E100">
        <v>45</v>
      </c>
      <c r="F100">
        <v>3</v>
      </c>
      <c r="G100">
        <v>32</v>
      </c>
      <c r="H100" t="s">
        <v>15</v>
      </c>
      <c r="I100">
        <v>795.84</v>
      </c>
    </row>
    <row r="101" spans="1:9" x14ac:dyDescent="0.25">
      <c r="A101">
        <v>100</v>
      </c>
      <c r="B101">
        <v>26</v>
      </c>
      <c r="C101" t="s">
        <v>18</v>
      </c>
      <c r="D101">
        <v>59496</v>
      </c>
      <c r="E101">
        <v>58</v>
      </c>
      <c r="F101">
        <v>2</v>
      </c>
      <c r="G101">
        <v>50</v>
      </c>
      <c r="H101" t="s">
        <v>17</v>
      </c>
      <c r="I101">
        <v>23.33</v>
      </c>
    </row>
    <row r="102" spans="1:9" x14ac:dyDescent="0.25">
      <c r="A102">
        <v>101</v>
      </c>
      <c r="B102">
        <v>40</v>
      </c>
      <c r="C102" t="s">
        <v>18</v>
      </c>
      <c r="D102">
        <v>115569</v>
      </c>
      <c r="E102">
        <v>1</v>
      </c>
      <c r="F102">
        <v>2</v>
      </c>
      <c r="G102">
        <v>5</v>
      </c>
      <c r="H102" t="s">
        <v>16</v>
      </c>
      <c r="I102">
        <v>241.91</v>
      </c>
    </row>
    <row r="103" spans="1:9" x14ac:dyDescent="0.25">
      <c r="A103">
        <v>102</v>
      </c>
      <c r="B103">
        <v>18</v>
      </c>
      <c r="C103" t="s">
        <v>12</v>
      </c>
      <c r="D103">
        <v>49346</v>
      </c>
      <c r="E103">
        <v>70</v>
      </c>
      <c r="F103">
        <v>7</v>
      </c>
      <c r="G103">
        <v>38</v>
      </c>
      <c r="H103" t="s">
        <v>16</v>
      </c>
      <c r="I103">
        <v>127.14</v>
      </c>
    </row>
    <row r="104" spans="1:9" x14ac:dyDescent="0.25">
      <c r="A104">
        <v>103</v>
      </c>
      <c r="B104">
        <v>19</v>
      </c>
      <c r="C104" t="s">
        <v>12</v>
      </c>
      <c r="D104">
        <v>75430</v>
      </c>
      <c r="E104">
        <v>50</v>
      </c>
      <c r="F104">
        <v>7</v>
      </c>
      <c r="G104">
        <v>32</v>
      </c>
      <c r="H104" t="s">
        <v>17</v>
      </c>
      <c r="I104">
        <v>532.51</v>
      </c>
    </row>
    <row r="105" spans="1:9" x14ac:dyDescent="0.25">
      <c r="A105">
        <v>104</v>
      </c>
      <c r="B105">
        <v>60</v>
      </c>
      <c r="C105" t="s">
        <v>18</v>
      </c>
      <c r="D105">
        <v>142407</v>
      </c>
      <c r="E105">
        <v>4</v>
      </c>
      <c r="F105">
        <v>2</v>
      </c>
      <c r="G105">
        <v>1</v>
      </c>
      <c r="H105" t="s">
        <v>15</v>
      </c>
      <c r="I105">
        <v>29.58</v>
      </c>
    </row>
    <row r="106" spans="1:9" x14ac:dyDescent="0.25">
      <c r="A106">
        <v>105</v>
      </c>
      <c r="B106">
        <v>20</v>
      </c>
      <c r="C106" t="s">
        <v>45</v>
      </c>
      <c r="D106">
        <v>34982</v>
      </c>
      <c r="E106">
        <v>7</v>
      </c>
      <c r="F106">
        <v>2</v>
      </c>
      <c r="G106">
        <v>45</v>
      </c>
      <c r="H106" t="s">
        <v>17</v>
      </c>
      <c r="I106">
        <v>597.15</v>
      </c>
    </row>
    <row r="107" spans="1:9" x14ac:dyDescent="0.25">
      <c r="A107">
        <v>106</v>
      </c>
      <c r="B107">
        <v>55</v>
      </c>
      <c r="C107" t="s">
        <v>18</v>
      </c>
      <c r="D107">
        <v>147187</v>
      </c>
      <c r="E107">
        <v>37</v>
      </c>
      <c r="F107">
        <v>7</v>
      </c>
      <c r="G107">
        <v>27</v>
      </c>
      <c r="H107" t="s">
        <v>14</v>
      </c>
      <c r="I107">
        <v>941.67</v>
      </c>
    </row>
    <row r="108" spans="1:9" x14ac:dyDescent="0.25">
      <c r="A108">
        <v>107</v>
      </c>
      <c r="B108">
        <v>19</v>
      </c>
      <c r="C108" t="s">
        <v>45</v>
      </c>
      <c r="D108">
        <v>37993</v>
      </c>
      <c r="E108">
        <v>59</v>
      </c>
      <c r="F108">
        <v>6</v>
      </c>
      <c r="G108">
        <v>30</v>
      </c>
      <c r="H108" t="s">
        <v>15</v>
      </c>
      <c r="I108">
        <v>873.8</v>
      </c>
    </row>
    <row r="109" spans="1:9" x14ac:dyDescent="0.25">
      <c r="A109">
        <v>108</v>
      </c>
      <c r="B109">
        <v>65</v>
      </c>
      <c r="C109" t="s">
        <v>12</v>
      </c>
      <c r="D109">
        <v>81753</v>
      </c>
      <c r="E109">
        <v>72</v>
      </c>
      <c r="F109">
        <v>9</v>
      </c>
      <c r="G109">
        <v>21</v>
      </c>
      <c r="H109" t="s">
        <v>13</v>
      </c>
      <c r="I109">
        <v>633.63</v>
      </c>
    </row>
    <row r="110" spans="1:9" x14ac:dyDescent="0.25">
      <c r="A110">
        <v>109</v>
      </c>
      <c r="B110">
        <v>57</v>
      </c>
      <c r="C110" t="s">
        <v>18</v>
      </c>
      <c r="D110">
        <v>81695</v>
      </c>
      <c r="E110">
        <v>90</v>
      </c>
      <c r="F110">
        <v>8</v>
      </c>
      <c r="G110">
        <v>44</v>
      </c>
      <c r="H110" t="s">
        <v>14</v>
      </c>
      <c r="I110">
        <v>179.8</v>
      </c>
    </row>
    <row r="111" spans="1:9" x14ac:dyDescent="0.25">
      <c r="A111">
        <v>110</v>
      </c>
      <c r="B111">
        <v>56</v>
      </c>
      <c r="C111" t="s">
        <v>18</v>
      </c>
      <c r="D111">
        <v>40676</v>
      </c>
      <c r="E111">
        <v>86</v>
      </c>
      <c r="F111">
        <v>7</v>
      </c>
      <c r="G111">
        <v>38</v>
      </c>
      <c r="H111" t="s">
        <v>13</v>
      </c>
      <c r="I111">
        <v>627.65</v>
      </c>
    </row>
    <row r="112" spans="1:9" x14ac:dyDescent="0.25">
      <c r="A112">
        <v>111</v>
      </c>
      <c r="B112">
        <v>37</v>
      </c>
      <c r="C112" t="s">
        <v>12</v>
      </c>
      <c r="D112">
        <v>111242</v>
      </c>
      <c r="E112">
        <v>33</v>
      </c>
      <c r="F112">
        <v>5</v>
      </c>
      <c r="G112">
        <v>34</v>
      </c>
      <c r="H112" t="s">
        <v>15</v>
      </c>
      <c r="I112">
        <v>756.32</v>
      </c>
    </row>
    <row r="113" spans="1:9" x14ac:dyDescent="0.25">
      <c r="A113">
        <v>112</v>
      </c>
      <c r="B113">
        <v>64</v>
      </c>
      <c r="C113" t="s">
        <v>12</v>
      </c>
      <c r="D113">
        <v>87006</v>
      </c>
      <c r="E113">
        <v>85</v>
      </c>
      <c r="F113">
        <v>7</v>
      </c>
      <c r="G113">
        <v>20</v>
      </c>
      <c r="H113" t="s">
        <v>17</v>
      </c>
      <c r="I113">
        <v>930.73</v>
      </c>
    </row>
    <row r="114" spans="1:9" x14ac:dyDescent="0.25">
      <c r="A114">
        <v>113</v>
      </c>
      <c r="B114">
        <v>58</v>
      </c>
      <c r="C114" t="s">
        <v>12</v>
      </c>
      <c r="D114">
        <v>82856</v>
      </c>
      <c r="E114">
        <v>33</v>
      </c>
      <c r="F114">
        <v>7</v>
      </c>
      <c r="G114">
        <v>20</v>
      </c>
      <c r="H114" t="s">
        <v>16</v>
      </c>
      <c r="I114">
        <v>450.72</v>
      </c>
    </row>
    <row r="115" spans="1:9" x14ac:dyDescent="0.25">
      <c r="A115">
        <v>114</v>
      </c>
      <c r="B115">
        <v>32</v>
      </c>
      <c r="C115" t="s">
        <v>12</v>
      </c>
      <c r="D115">
        <v>35514</v>
      </c>
      <c r="E115">
        <v>4</v>
      </c>
      <c r="F115">
        <v>5</v>
      </c>
      <c r="G115">
        <v>36</v>
      </c>
      <c r="H115" t="s">
        <v>15</v>
      </c>
      <c r="I115">
        <v>415.44</v>
      </c>
    </row>
    <row r="116" spans="1:9" x14ac:dyDescent="0.25">
      <c r="A116">
        <v>115</v>
      </c>
      <c r="B116">
        <v>64</v>
      </c>
      <c r="C116" t="s">
        <v>12</v>
      </c>
      <c r="D116">
        <v>87595</v>
      </c>
      <c r="E116">
        <v>11</v>
      </c>
      <c r="F116">
        <v>5</v>
      </c>
      <c r="G116">
        <v>21</v>
      </c>
      <c r="H116" t="s">
        <v>14</v>
      </c>
      <c r="I116">
        <v>69.78</v>
      </c>
    </row>
    <row r="117" spans="1:9" x14ac:dyDescent="0.25">
      <c r="A117">
        <v>116</v>
      </c>
      <c r="B117">
        <v>59</v>
      </c>
      <c r="C117" t="s">
        <v>12</v>
      </c>
      <c r="D117">
        <v>125014</v>
      </c>
      <c r="E117">
        <v>89</v>
      </c>
      <c r="F117">
        <v>7</v>
      </c>
      <c r="G117">
        <v>42</v>
      </c>
      <c r="H117" t="s">
        <v>13</v>
      </c>
      <c r="I117">
        <v>451.82</v>
      </c>
    </row>
    <row r="118" spans="1:9" x14ac:dyDescent="0.25">
      <c r="A118">
        <v>117</v>
      </c>
      <c r="B118">
        <v>62</v>
      </c>
      <c r="C118" t="s">
        <v>12</v>
      </c>
      <c r="D118">
        <v>128322</v>
      </c>
      <c r="E118">
        <v>44</v>
      </c>
      <c r="F118">
        <v>4</v>
      </c>
      <c r="G118">
        <v>31</v>
      </c>
      <c r="H118" t="s">
        <v>14</v>
      </c>
      <c r="I118">
        <v>668.91</v>
      </c>
    </row>
    <row r="119" spans="1:9" x14ac:dyDescent="0.25">
      <c r="A119">
        <v>118</v>
      </c>
      <c r="B119">
        <v>62</v>
      </c>
      <c r="C119" t="s">
        <v>12</v>
      </c>
      <c r="D119">
        <v>48693</v>
      </c>
      <c r="E119">
        <v>36</v>
      </c>
      <c r="F119">
        <v>9</v>
      </c>
      <c r="G119">
        <v>44</v>
      </c>
      <c r="H119" t="s">
        <v>13</v>
      </c>
      <c r="I119">
        <v>755.67</v>
      </c>
    </row>
    <row r="120" spans="1:9" x14ac:dyDescent="0.25">
      <c r="A120">
        <v>119</v>
      </c>
      <c r="B120">
        <v>33</v>
      </c>
      <c r="C120" t="s">
        <v>12</v>
      </c>
      <c r="D120">
        <v>113154</v>
      </c>
      <c r="E120">
        <v>75</v>
      </c>
      <c r="F120">
        <v>8</v>
      </c>
      <c r="G120">
        <v>46</v>
      </c>
      <c r="H120" t="s">
        <v>16</v>
      </c>
      <c r="I120">
        <v>895.58</v>
      </c>
    </row>
    <row r="121" spans="1:9" x14ac:dyDescent="0.25">
      <c r="A121">
        <v>120</v>
      </c>
      <c r="B121">
        <v>68</v>
      </c>
      <c r="C121" t="s">
        <v>18</v>
      </c>
      <c r="D121">
        <v>78309</v>
      </c>
      <c r="E121">
        <v>12</v>
      </c>
      <c r="F121">
        <v>2</v>
      </c>
      <c r="G121">
        <v>49</v>
      </c>
      <c r="H121" t="s">
        <v>17</v>
      </c>
      <c r="I121">
        <v>848.14</v>
      </c>
    </row>
    <row r="122" spans="1:9" x14ac:dyDescent="0.25">
      <c r="A122">
        <v>121</v>
      </c>
      <c r="B122">
        <v>47</v>
      </c>
      <c r="C122" t="s">
        <v>18</v>
      </c>
      <c r="D122">
        <v>112072</v>
      </c>
      <c r="E122">
        <v>50</v>
      </c>
      <c r="F122">
        <v>5</v>
      </c>
      <c r="G122">
        <v>21</v>
      </c>
      <c r="H122" t="s">
        <v>16</v>
      </c>
      <c r="I122">
        <v>884.19</v>
      </c>
    </row>
    <row r="123" spans="1:9" x14ac:dyDescent="0.25">
      <c r="A123">
        <v>122</v>
      </c>
      <c r="B123">
        <v>43</v>
      </c>
      <c r="C123" t="s">
        <v>12</v>
      </c>
      <c r="D123">
        <v>42855</v>
      </c>
      <c r="E123">
        <v>66</v>
      </c>
      <c r="F123">
        <v>6</v>
      </c>
      <c r="G123">
        <v>23</v>
      </c>
      <c r="H123" t="s">
        <v>14</v>
      </c>
      <c r="I123">
        <v>138.51</v>
      </c>
    </row>
    <row r="124" spans="1:9" x14ac:dyDescent="0.25">
      <c r="A124">
        <v>123</v>
      </c>
      <c r="B124">
        <v>26</v>
      </c>
      <c r="C124" t="s">
        <v>45</v>
      </c>
      <c r="D124">
        <v>55515</v>
      </c>
      <c r="E124">
        <v>29</v>
      </c>
      <c r="F124">
        <v>9</v>
      </c>
      <c r="G124">
        <v>37</v>
      </c>
      <c r="H124" t="s">
        <v>15</v>
      </c>
      <c r="I124">
        <v>50.57</v>
      </c>
    </row>
    <row r="125" spans="1:9" x14ac:dyDescent="0.25">
      <c r="A125">
        <v>124</v>
      </c>
      <c r="B125">
        <v>30</v>
      </c>
      <c r="C125" t="s">
        <v>12</v>
      </c>
      <c r="D125">
        <v>51454</v>
      </c>
      <c r="E125">
        <v>94</v>
      </c>
      <c r="F125">
        <v>8</v>
      </c>
      <c r="G125">
        <v>17</v>
      </c>
      <c r="H125" t="s">
        <v>13</v>
      </c>
      <c r="I125">
        <v>553.35</v>
      </c>
    </row>
    <row r="126" spans="1:9" x14ac:dyDescent="0.25">
      <c r="A126">
        <v>125</v>
      </c>
      <c r="B126">
        <v>66</v>
      </c>
      <c r="C126" t="s">
        <v>45</v>
      </c>
      <c r="D126">
        <v>69362</v>
      </c>
      <c r="E126">
        <v>58</v>
      </c>
      <c r="F126">
        <v>1</v>
      </c>
      <c r="G126">
        <v>23</v>
      </c>
      <c r="H126" t="s">
        <v>17</v>
      </c>
      <c r="I126">
        <v>960.08</v>
      </c>
    </row>
    <row r="127" spans="1:9" x14ac:dyDescent="0.25">
      <c r="A127">
        <v>126</v>
      </c>
      <c r="B127">
        <v>26</v>
      </c>
      <c r="C127" t="s">
        <v>18</v>
      </c>
      <c r="D127">
        <v>69795</v>
      </c>
      <c r="E127">
        <v>60</v>
      </c>
      <c r="F127">
        <v>9</v>
      </c>
      <c r="G127">
        <v>29</v>
      </c>
      <c r="H127" t="s">
        <v>14</v>
      </c>
      <c r="I127">
        <v>389.37</v>
      </c>
    </row>
    <row r="128" spans="1:9" x14ac:dyDescent="0.25">
      <c r="A128">
        <v>127</v>
      </c>
      <c r="B128">
        <v>58</v>
      </c>
      <c r="C128" t="s">
        <v>12</v>
      </c>
      <c r="D128">
        <v>32860</v>
      </c>
      <c r="E128">
        <v>90</v>
      </c>
      <c r="F128">
        <v>5</v>
      </c>
      <c r="G128">
        <v>18</v>
      </c>
      <c r="H128" t="s">
        <v>15</v>
      </c>
      <c r="I128">
        <v>405.05</v>
      </c>
    </row>
    <row r="129" spans="1:9" x14ac:dyDescent="0.25">
      <c r="A129">
        <v>128</v>
      </c>
      <c r="B129">
        <v>40</v>
      </c>
      <c r="C129" t="s">
        <v>45</v>
      </c>
      <c r="D129">
        <v>81037</v>
      </c>
      <c r="E129">
        <v>70</v>
      </c>
      <c r="F129">
        <v>10</v>
      </c>
      <c r="G129">
        <v>45</v>
      </c>
      <c r="H129" t="s">
        <v>14</v>
      </c>
      <c r="I129">
        <v>370.75</v>
      </c>
    </row>
    <row r="130" spans="1:9" x14ac:dyDescent="0.25">
      <c r="A130">
        <v>129</v>
      </c>
      <c r="B130">
        <v>67</v>
      </c>
      <c r="C130" t="s">
        <v>45</v>
      </c>
      <c r="D130">
        <v>40385</v>
      </c>
      <c r="E130">
        <v>64</v>
      </c>
      <c r="F130">
        <v>1</v>
      </c>
      <c r="G130">
        <v>17</v>
      </c>
      <c r="H130" t="s">
        <v>15</v>
      </c>
      <c r="I130">
        <v>957.06</v>
      </c>
    </row>
    <row r="131" spans="1:9" x14ac:dyDescent="0.25">
      <c r="A131">
        <v>130</v>
      </c>
      <c r="B131">
        <v>61</v>
      </c>
      <c r="C131" t="s">
        <v>18</v>
      </c>
      <c r="D131">
        <v>131607</v>
      </c>
      <c r="E131">
        <v>25</v>
      </c>
      <c r="F131">
        <v>7</v>
      </c>
      <c r="G131">
        <v>26</v>
      </c>
      <c r="H131" t="s">
        <v>17</v>
      </c>
      <c r="I131">
        <v>714.15</v>
      </c>
    </row>
    <row r="132" spans="1:9" x14ac:dyDescent="0.25">
      <c r="A132">
        <v>131</v>
      </c>
      <c r="B132">
        <v>51</v>
      </c>
      <c r="C132" t="s">
        <v>12</v>
      </c>
      <c r="D132">
        <v>42337</v>
      </c>
      <c r="E132">
        <v>70</v>
      </c>
      <c r="F132">
        <v>9</v>
      </c>
      <c r="G132">
        <v>28</v>
      </c>
      <c r="H132" t="s">
        <v>15</v>
      </c>
      <c r="I132">
        <v>914.97</v>
      </c>
    </row>
    <row r="133" spans="1:9" x14ac:dyDescent="0.25">
      <c r="A133">
        <v>132</v>
      </c>
      <c r="B133">
        <v>67</v>
      </c>
      <c r="C133" t="s">
        <v>18</v>
      </c>
      <c r="D133">
        <v>116124</v>
      </c>
      <c r="E133">
        <v>78</v>
      </c>
      <c r="F133">
        <v>10</v>
      </c>
      <c r="G133">
        <v>28</v>
      </c>
      <c r="H133" t="s">
        <v>13</v>
      </c>
      <c r="I133">
        <v>11.29</v>
      </c>
    </row>
    <row r="134" spans="1:9" x14ac:dyDescent="0.25">
      <c r="A134">
        <v>133</v>
      </c>
      <c r="B134">
        <v>25</v>
      </c>
      <c r="C134" t="s">
        <v>45</v>
      </c>
      <c r="D134">
        <v>94016</v>
      </c>
      <c r="E134">
        <v>85</v>
      </c>
      <c r="F134">
        <v>8</v>
      </c>
      <c r="G134">
        <v>49</v>
      </c>
      <c r="H134" t="s">
        <v>16</v>
      </c>
      <c r="I134">
        <v>764.28</v>
      </c>
    </row>
    <row r="135" spans="1:9" x14ac:dyDescent="0.25">
      <c r="A135">
        <v>134</v>
      </c>
      <c r="B135">
        <v>26</v>
      </c>
      <c r="C135" t="s">
        <v>12</v>
      </c>
      <c r="D135">
        <v>62131</v>
      </c>
      <c r="E135">
        <v>91</v>
      </c>
      <c r="F135">
        <v>6</v>
      </c>
      <c r="G135">
        <v>18</v>
      </c>
      <c r="H135" t="s">
        <v>15</v>
      </c>
      <c r="I135">
        <v>70.56</v>
      </c>
    </row>
    <row r="136" spans="1:9" x14ac:dyDescent="0.25">
      <c r="A136">
        <v>135</v>
      </c>
      <c r="B136">
        <v>29</v>
      </c>
      <c r="C136" t="s">
        <v>18</v>
      </c>
      <c r="D136">
        <v>100290</v>
      </c>
      <c r="E136">
        <v>85</v>
      </c>
      <c r="F136">
        <v>8</v>
      </c>
      <c r="G136">
        <v>29</v>
      </c>
      <c r="H136" t="s">
        <v>17</v>
      </c>
      <c r="I136">
        <v>480.87</v>
      </c>
    </row>
    <row r="137" spans="1:9" x14ac:dyDescent="0.25">
      <c r="A137">
        <v>136</v>
      </c>
      <c r="B137">
        <v>31</v>
      </c>
      <c r="C137" t="s">
        <v>12</v>
      </c>
      <c r="D137">
        <v>145261</v>
      </c>
      <c r="E137">
        <v>25</v>
      </c>
      <c r="F137">
        <v>10</v>
      </c>
      <c r="G137">
        <v>37</v>
      </c>
      <c r="H137" t="s">
        <v>15</v>
      </c>
      <c r="I137">
        <v>378.4</v>
      </c>
    </row>
    <row r="138" spans="1:9" x14ac:dyDescent="0.25">
      <c r="A138">
        <v>137</v>
      </c>
      <c r="B138">
        <v>48</v>
      </c>
      <c r="C138" t="s">
        <v>12</v>
      </c>
      <c r="D138">
        <v>81763</v>
      </c>
      <c r="E138">
        <v>49</v>
      </c>
      <c r="F138">
        <v>6</v>
      </c>
      <c r="G138">
        <v>46</v>
      </c>
      <c r="H138" t="s">
        <v>15</v>
      </c>
      <c r="I138">
        <v>179.25</v>
      </c>
    </row>
    <row r="139" spans="1:9" x14ac:dyDescent="0.25">
      <c r="A139">
        <v>138</v>
      </c>
      <c r="B139">
        <v>67</v>
      </c>
      <c r="C139" t="s">
        <v>18</v>
      </c>
      <c r="D139">
        <v>120561</v>
      </c>
      <c r="E139">
        <v>66</v>
      </c>
      <c r="F139">
        <v>2</v>
      </c>
      <c r="G139">
        <v>21</v>
      </c>
      <c r="H139" t="s">
        <v>17</v>
      </c>
      <c r="I139">
        <v>798.2</v>
      </c>
    </row>
    <row r="140" spans="1:9" x14ac:dyDescent="0.25">
      <c r="A140">
        <v>139</v>
      </c>
      <c r="B140">
        <v>18</v>
      </c>
      <c r="C140" t="s">
        <v>18</v>
      </c>
      <c r="D140">
        <v>99638</v>
      </c>
      <c r="E140">
        <v>33</v>
      </c>
      <c r="F140">
        <v>8</v>
      </c>
      <c r="G140">
        <v>23</v>
      </c>
      <c r="H140" t="s">
        <v>16</v>
      </c>
      <c r="I140">
        <v>316.27</v>
      </c>
    </row>
    <row r="141" spans="1:9" x14ac:dyDescent="0.25">
      <c r="A141">
        <v>140</v>
      </c>
      <c r="B141">
        <v>18</v>
      </c>
      <c r="C141" t="s">
        <v>18</v>
      </c>
      <c r="D141">
        <v>78097</v>
      </c>
      <c r="E141">
        <v>84</v>
      </c>
      <c r="F141">
        <v>3</v>
      </c>
      <c r="G141">
        <v>26</v>
      </c>
      <c r="H141" t="s">
        <v>17</v>
      </c>
      <c r="I141">
        <v>453.34</v>
      </c>
    </row>
    <row r="142" spans="1:9" x14ac:dyDescent="0.25">
      <c r="A142">
        <v>141</v>
      </c>
      <c r="B142">
        <v>23</v>
      </c>
      <c r="C142" t="s">
        <v>45</v>
      </c>
      <c r="D142">
        <v>67237</v>
      </c>
      <c r="E142">
        <v>85</v>
      </c>
      <c r="F142">
        <v>9</v>
      </c>
      <c r="G142">
        <v>40</v>
      </c>
      <c r="H142" t="s">
        <v>14</v>
      </c>
      <c r="I142">
        <v>673.02</v>
      </c>
    </row>
    <row r="143" spans="1:9" x14ac:dyDescent="0.25">
      <c r="A143">
        <v>142</v>
      </c>
      <c r="B143">
        <v>37</v>
      </c>
      <c r="C143" t="s">
        <v>12</v>
      </c>
      <c r="D143">
        <v>61695</v>
      </c>
      <c r="E143">
        <v>13</v>
      </c>
      <c r="F143">
        <v>5</v>
      </c>
      <c r="G143">
        <v>45</v>
      </c>
      <c r="H143" t="s">
        <v>13</v>
      </c>
      <c r="I143">
        <v>18.489999999999998</v>
      </c>
    </row>
    <row r="144" spans="1:9" x14ac:dyDescent="0.25">
      <c r="A144">
        <v>143</v>
      </c>
      <c r="B144">
        <v>55</v>
      </c>
      <c r="C144" t="s">
        <v>45</v>
      </c>
      <c r="D144">
        <v>101084</v>
      </c>
      <c r="E144">
        <v>73</v>
      </c>
      <c r="F144">
        <v>9</v>
      </c>
      <c r="G144">
        <v>24</v>
      </c>
      <c r="H144" t="s">
        <v>16</v>
      </c>
      <c r="I144">
        <v>624.80999999999995</v>
      </c>
    </row>
    <row r="145" spans="1:9" x14ac:dyDescent="0.25">
      <c r="A145">
        <v>144</v>
      </c>
      <c r="B145">
        <v>41</v>
      </c>
      <c r="C145" t="s">
        <v>18</v>
      </c>
      <c r="D145">
        <v>82613</v>
      </c>
      <c r="E145">
        <v>49</v>
      </c>
      <c r="F145">
        <v>3</v>
      </c>
      <c r="G145">
        <v>10</v>
      </c>
      <c r="H145" t="s">
        <v>13</v>
      </c>
      <c r="I145">
        <v>421.24</v>
      </c>
    </row>
    <row r="146" spans="1:9" x14ac:dyDescent="0.25">
      <c r="A146">
        <v>145</v>
      </c>
      <c r="B146">
        <v>44</v>
      </c>
      <c r="C146" t="s">
        <v>45</v>
      </c>
      <c r="D146">
        <v>122987</v>
      </c>
      <c r="E146">
        <v>29</v>
      </c>
      <c r="F146">
        <v>10</v>
      </c>
      <c r="G146">
        <v>25</v>
      </c>
      <c r="H146" t="s">
        <v>14</v>
      </c>
      <c r="I146">
        <v>898.68</v>
      </c>
    </row>
    <row r="147" spans="1:9" x14ac:dyDescent="0.25">
      <c r="A147">
        <v>146</v>
      </c>
      <c r="B147">
        <v>58</v>
      </c>
      <c r="C147" t="s">
        <v>45</v>
      </c>
      <c r="D147">
        <v>90389</v>
      </c>
      <c r="E147">
        <v>17</v>
      </c>
      <c r="F147">
        <v>5</v>
      </c>
      <c r="G147">
        <v>12</v>
      </c>
      <c r="H147" t="s">
        <v>14</v>
      </c>
      <c r="I147">
        <v>855.21</v>
      </c>
    </row>
    <row r="148" spans="1:9" x14ac:dyDescent="0.25">
      <c r="A148">
        <v>147</v>
      </c>
      <c r="B148">
        <v>69</v>
      </c>
      <c r="C148" t="s">
        <v>12</v>
      </c>
      <c r="D148">
        <v>90929</v>
      </c>
      <c r="E148">
        <v>2</v>
      </c>
      <c r="F148">
        <v>10</v>
      </c>
      <c r="G148">
        <v>29</v>
      </c>
      <c r="H148" t="s">
        <v>14</v>
      </c>
      <c r="I148">
        <v>518.70000000000005</v>
      </c>
    </row>
    <row r="149" spans="1:9" x14ac:dyDescent="0.25">
      <c r="A149">
        <v>148</v>
      </c>
      <c r="B149">
        <v>47</v>
      </c>
      <c r="C149" t="s">
        <v>18</v>
      </c>
      <c r="D149">
        <v>104517</v>
      </c>
      <c r="E149">
        <v>91</v>
      </c>
      <c r="F149">
        <v>2</v>
      </c>
      <c r="G149">
        <v>6</v>
      </c>
      <c r="H149" t="s">
        <v>13</v>
      </c>
      <c r="I149">
        <v>979.41</v>
      </c>
    </row>
    <row r="150" spans="1:9" x14ac:dyDescent="0.25">
      <c r="A150">
        <v>149</v>
      </c>
      <c r="B150">
        <v>34</v>
      </c>
      <c r="C150" t="s">
        <v>45</v>
      </c>
      <c r="D150">
        <v>79949</v>
      </c>
      <c r="E150">
        <v>89</v>
      </c>
      <c r="F150">
        <v>3</v>
      </c>
      <c r="G150">
        <v>19</v>
      </c>
      <c r="H150" t="s">
        <v>16</v>
      </c>
      <c r="I150">
        <v>273.33999999999997</v>
      </c>
    </row>
    <row r="151" spans="1:9" x14ac:dyDescent="0.25">
      <c r="A151">
        <v>150</v>
      </c>
      <c r="B151">
        <v>54</v>
      </c>
      <c r="C151" t="s">
        <v>12</v>
      </c>
      <c r="D151">
        <v>100745</v>
      </c>
      <c r="E151">
        <v>29</v>
      </c>
      <c r="F151">
        <v>6</v>
      </c>
      <c r="G151">
        <v>42</v>
      </c>
      <c r="H151" t="s">
        <v>17</v>
      </c>
      <c r="I151">
        <v>335.15</v>
      </c>
    </row>
    <row r="152" spans="1:9" x14ac:dyDescent="0.25">
      <c r="A152">
        <v>151</v>
      </c>
      <c r="B152">
        <v>55</v>
      </c>
      <c r="C152" t="s">
        <v>45</v>
      </c>
      <c r="D152">
        <v>138064</v>
      </c>
      <c r="E152">
        <v>86</v>
      </c>
      <c r="F152">
        <v>5</v>
      </c>
      <c r="G152">
        <v>22</v>
      </c>
      <c r="H152" t="s">
        <v>14</v>
      </c>
      <c r="I152">
        <v>368.75</v>
      </c>
    </row>
    <row r="153" spans="1:9" x14ac:dyDescent="0.25">
      <c r="A153">
        <v>152</v>
      </c>
      <c r="B153">
        <v>45</v>
      </c>
      <c r="C153" t="s">
        <v>18</v>
      </c>
      <c r="D153">
        <v>79721</v>
      </c>
      <c r="E153">
        <v>20</v>
      </c>
      <c r="F153">
        <v>1</v>
      </c>
      <c r="G153">
        <v>1</v>
      </c>
      <c r="H153" t="s">
        <v>13</v>
      </c>
      <c r="I153">
        <v>215.41</v>
      </c>
    </row>
    <row r="154" spans="1:9" x14ac:dyDescent="0.25">
      <c r="A154">
        <v>153</v>
      </c>
      <c r="B154">
        <v>43</v>
      </c>
      <c r="C154" t="s">
        <v>12</v>
      </c>
      <c r="D154">
        <v>33030</v>
      </c>
      <c r="E154">
        <v>61</v>
      </c>
      <c r="F154">
        <v>8</v>
      </c>
      <c r="G154">
        <v>40</v>
      </c>
      <c r="H154" t="s">
        <v>16</v>
      </c>
      <c r="I154">
        <v>711.04</v>
      </c>
    </row>
    <row r="155" spans="1:9" x14ac:dyDescent="0.25">
      <c r="A155">
        <v>154</v>
      </c>
      <c r="B155">
        <v>30</v>
      </c>
      <c r="C155" t="s">
        <v>45</v>
      </c>
      <c r="D155">
        <v>78653</v>
      </c>
      <c r="E155">
        <v>43</v>
      </c>
      <c r="F155">
        <v>4</v>
      </c>
      <c r="G155">
        <v>2</v>
      </c>
      <c r="H155" t="s">
        <v>14</v>
      </c>
      <c r="I155">
        <v>933.73</v>
      </c>
    </row>
    <row r="156" spans="1:9" x14ac:dyDescent="0.25">
      <c r="A156">
        <v>155</v>
      </c>
      <c r="B156">
        <v>53</v>
      </c>
      <c r="C156" t="s">
        <v>45</v>
      </c>
      <c r="D156">
        <v>146312</v>
      </c>
      <c r="E156">
        <v>58</v>
      </c>
      <c r="F156">
        <v>2</v>
      </c>
      <c r="G156">
        <v>32</v>
      </c>
      <c r="H156" t="s">
        <v>14</v>
      </c>
      <c r="I156">
        <v>880.78</v>
      </c>
    </row>
    <row r="157" spans="1:9" x14ac:dyDescent="0.25">
      <c r="A157">
        <v>156</v>
      </c>
      <c r="B157">
        <v>24</v>
      </c>
      <c r="C157" t="s">
        <v>18</v>
      </c>
      <c r="D157">
        <v>103766</v>
      </c>
      <c r="E157">
        <v>77</v>
      </c>
      <c r="F157">
        <v>4</v>
      </c>
      <c r="G157">
        <v>25</v>
      </c>
      <c r="H157" t="s">
        <v>13</v>
      </c>
      <c r="I157">
        <v>663.21</v>
      </c>
    </row>
    <row r="158" spans="1:9" x14ac:dyDescent="0.25">
      <c r="A158">
        <v>157</v>
      </c>
      <c r="B158">
        <v>69</v>
      </c>
      <c r="C158" t="s">
        <v>18</v>
      </c>
      <c r="D158">
        <v>51990</v>
      </c>
      <c r="E158">
        <v>59</v>
      </c>
      <c r="F158">
        <v>2</v>
      </c>
      <c r="G158">
        <v>37</v>
      </c>
      <c r="H158" t="s">
        <v>17</v>
      </c>
      <c r="I158">
        <v>762.41</v>
      </c>
    </row>
    <row r="159" spans="1:9" x14ac:dyDescent="0.25">
      <c r="A159">
        <v>158</v>
      </c>
      <c r="B159">
        <v>61</v>
      </c>
      <c r="C159" t="s">
        <v>45</v>
      </c>
      <c r="D159">
        <v>46738</v>
      </c>
      <c r="E159">
        <v>36</v>
      </c>
      <c r="F159">
        <v>3</v>
      </c>
      <c r="G159">
        <v>26</v>
      </c>
      <c r="H159" t="s">
        <v>16</v>
      </c>
      <c r="I159">
        <v>393.6</v>
      </c>
    </row>
    <row r="160" spans="1:9" x14ac:dyDescent="0.25">
      <c r="A160">
        <v>159</v>
      </c>
      <c r="B160">
        <v>58</v>
      </c>
      <c r="C160" t="s">
        <v>45</v>
      </c>
      <c r="D160">
        <v>107818</v>
      </c>
      <c r="E160">
        <v>70</v>
      </c>
      <c r="F160">
        <v>5</v>
      </c>
      <c r="G160">
        <v>24</v>
      </c>
      <c r="H160" t="s">
        <v>13</v>
      </c>
      <c r="I160">
        <v>722.18</v>
      </c>
    </row>
    <row r="161" spans="1:9" x14ac:dyDescent="0.25">
      <c r="A161">
        <v>160</v>
      </c>
      <c r="B161">
        <v>36</v>
      </c>
      <c r="C161" t="s">
        <v>45</v>
      </c>
      <c r="D161">
        <v>83511</v>
      </c>
      <c r="E161">
        <v>28</v>
      </c>
      <c r="F161">
        <v>5</v>
      </c>
      <c r="G161">
        <v>49</v>
      </c>
      <c r="H161" t="s">
        <v>13</v>
      </c>
      <c r="I161">
        <v>367.97</v>
      </c>
    </row>
    <row r="162" spans="1:9" x14ac:dyDescent="0.25">
      <c r="A162">
        <v>161</v>
      </c>
      <c r="B162">
        <v>69</v>
      </c>
      <c r="C162" t="s">
        <v>18</v>
      </c>
      <c r="D162">
        <v>117782</v>
      </c>
      <c r="E162">
        <v>18</v>
      </c>
      <c r="F162">
        <v>1</v>
      </c>
      <c r="G162">
        <v>15</v>
      </c>
      <c r="H162" t="s">
        <v>15</v>
      </c>
      <c r="I162">
        <v>762.55</v>
      </c>
    </row>
    <row r="163" spans="1:9" x14ac:dyDescent="0.25">
      <c r="A163">
        <v>162</v>
      </c>
      <c r="B163">
        <v>64</v>
      </c>
      <c r="C163" t="s">
        <v>45</v>
      </c>
      <c r="D163">
        <v>122472</v>
      </c>
      <c r="E163">
        <v>75</v>
      </c>
      <c r="F163">
        <v>1</v>
      </c>
      <c r="G163">
        <v>17</v>
      </c>
      <c r="H163" t="s">
        <v>15</v>
      </c>
      <c r="I163">
        <v>771.33</v>
      </c>
    </row>
    <row r="164" spans="1:9" x14ac:dyDescent="0.25">
      <c r="A164">
        <v>163</v>
      </c>
      <c r="B164">
        <v>45</v>
      </c>
      <c r="C164" t="s">
        <v>12</v>
      </c>
      <c r="D164">
        <v>76259</v>
      </c>
      <c r="E164">
        <v>72</v>
      </c>
      <c r="F164">
        <v>5</v>
      </c>
      <c r="G164">
        <v>41</v>
      </c>
      <c r="H164" t="s">
        <v>15</v>
      </c>
      <c r="I164">
        <v>228.88</v>
      </c>
    </row>
    <row r="165" spans="1:9" x14ac:dyDescent="0.25">
      <c r="A165">
        <v>164</v>
      </c>
      <c r="B165">
        <v>60</v>
      </c>
      <c r="C165" t="s">
        <v>45</v>
      </c>
      <c r="D165">
        <v>98771</v>
      </c>
      <c r="E165">
        <v>37</v>
      </c>
      <c r="F165">
        <v>8</v>
      </c>
      <c r="G165">
        <v>42</v>
      </c>
      <c r="H165" t="s">
        <v>15</v>
      </c>
      <c r="I165">
        <v>520.37</v>
      </c>
    </row>
    <row r="166" spans="1:9" x14ac:dyDescent="0.25">
      <c r="A166">
        <v>165</v>
      </c>
      <c r="B166">
        <v>64</v>
      </c>
      <c r="C166" t="s">
        <v>45</v>
      </c>
      <c r="D166">
        <v>96494</v>
      </c>
      <c r="E166">
        <v>10</v>
      </c>
      <c r="F166">
        <v>4</v>
      </c>
      <c r="G166">
        <v>47</v>
      </c>
      <c r="H166" t="s">
        <v>13</v>
      </c>
      <c r="I166">
        <v>184.45</v>
      </c>
    </row>
    <row r="167" spans="1:9" x14ac:dyDescent="0.25">
      <c r="A167">
        <v>166</v>
      </c>
      <c r="B167">
        <v>41</v>
      </c>
      <c r="C167" t="s">
        <v>18</v>
      </c>
      <c r="D167">
        <v>48155</v>
      </c>
      <c r="E167">
        <v>19</v>
      </c>
      <c r="F167">
        <v>10</v>
      </c>
      <c r="G167">
        <v>36</v>
      </c>
      <c r="H167" t="s">
        <v>16</v>
      </c>
      <c r="I167">
        <v>566.65</v>
      </c>
    </row>
    <row r="168" spans="1:9" x14ac:dyDescent="0.25">
      <c r="A168">
        <v>167</v>
      </c>
      <c r="B168">
        <v>18</v>
      </c>
      <c r="C168" t="s">
        <v>45</v>
      </c>
      <c r="D168">
        <v>46707</v>
      </c>
      <c r="E168">
        <v>61</v>
      </c>
      <c r="F168">
        <v>10</v>
      </c>
      <c r="G168">
        <v>16</v>
      </c>
      <c r="H168" t="s">
        <v>17</v>
      </c>
      <c r="I168">
        <v>18.600000000000001</v>
      </c>
    </row>
    <row r="169" spans="1:9" x14ac:dyDescent="0.25">
      <c r="A169">
        <v>168</v>
      </c>
      <c r="B169">
        <v>36</v>
      </c>
      <c r="C169" t="s">
        <v>45</v>
      </c>
      <c r="D169">
        <v>87275</v>
      </c>
      <c r="E169">
        <v>82</v>
      </c>
      <c r="F169">
        <v>9</v>
      </c>
      <c r="G169">
        <v>2</v>
      </c>
      <c r="H169" t="s">
        <v>17</v>
      </c>
      <c r="I169">
        <v>14.52</v>
      </c>
    </row>
    <row r="170" spans="1:9" x14ac:dyDescent="0.25">
      <c r="A170">
        <v>169</v>
      </c>
      <c r="B170">
        <v>51</v>
      </c>
      <c r="C170" t="s">
        <v>18</v>
      </c>
      <c r="D170">
        <v>58930</v>
      </c>
      <c r="E170">
        <v>95</v>
      </c>
      <c r="F170">
        <v>5</v>
      </c>
      <c r="G170">
        <v>33</v>
      </c>
      <c r="H170" t="s">
        <v>15</v>
      </c>
      <c r="I170">
        <v>115.09</v>
      </c>
    </row>
    <row r="171" spans="1:9" x14ac:dyDescent="0.25">
      <c r="A171">
        <v>170</v>
      </c>
      <c r="B171">
        <v>37</v>
      </c>
      <c r="C171" t="s">
        <v>12</v>
      </c>
      <c r="D171">
        <v>33987</v>
      </c>
      <c r="E171">
        <v>60</v>
      </c>
      <c r="F171">
        <v>8</v>
      </c>
      <c r="G171">
        <v>39</v>
      </c>
      <c r="H171" t="s">
        <v>16</v>
      </c>
      <c r="I171">
        <v>975.1</v>
      </c>
    </row>
    <row r="172" spans="1:9" x14ac:dyDescent="0.25">
      <c r="A172">
        <v>171</v>
      </c>
      <c r="B172">
        <v>21</v>
      </c>
      <c r="C172" t="s">
        <v>12</v>
      </c>
      <c r="D172">
        <v>140801</v>
      </c>
      <c r="E172">
        <v>13</v>
      </c>
      <c r="F172">
        <v>3</v>
      </c>
      <c r="G172">
        <v>43</v>
      </c>
      <c r="H172" t="s">
        <v>13</v>
      </c>
      <c r="I172">
        <v>82.88</v>
      </c>
    </row>
    <row r="173" spans="1:9" x14ac:dyDescent="0.25">
      <c r="A173">
        <v>172</v>
      </c>
      <c r="B173">
        <v>19</v>
      </c>
      <c r="C173" t="s">
        <v>12</v>
      </c>
      <c r="D173">
        <v>98446</v>
      </c>
      <c r="E173">
        <v>25</v>
      </c>
      <c r="F173">
        <v>4</v>
      </c>
      <c r="G173">
        <v>34</v>
      </c>
      <c r="H173" t="s">
        <v>16</v>
      </c>
      <c r="I173">
        <v>696.59</v>
      </c>
    </row>
    <row r="174" spans="1:9" x14ac:dyDescent="0.25">
      <c r="A174">
        <v>173</v>
      </c>
      <c r="B174">
        <v>56</v>
      </c>
      <c r="C174" t="s">
        <v>18</v>
      </c>
      <c r="D174">
        <v>111754</v>
      </c>
      <c r="E174">
        <v>96</v>
      </c>
      <c r="F174">
        <v>8</v>
      </c>
      <c r="G174">
        <v>38</v>
      </c>
      <c r="H174" t="s">
        <v>13</v>
      </c>
      <c r="I174">
        <v>631.05999999999995</v>
      </c>
    </row>
    <row r="175" spans="1:9" x14ac:dyDescent="0.25">
      <c r="A175">
        <v>174</v>
      </c>
      <c r="B175">
        <v>47</v>
      </c>
      <c r="C175" t="s">
        <v>45</v>
      </c>
      <c r="D175">
        <v>66932</v>
      </c>
      <c r="E175">
        <v>89</v>
      </c>
      <c r="F175">
        <v>5</v>
      </c>
      <c r="G175">
        <v>9</v>
      </c>
      <c r="H175" t="s">
        <v>13</v>
      </c>
      <c r="I175">
        <v>861.66</v>
      </c>
    </row>
    <row r="176" spans="1:9" x14ac:dyDescent="0.25">
      <c r="A176">
        <v>175</v>
      </c>
      <c r="B176">
        <v>33</v>
      </c>
      <c r="C176" t="s">
        <v>18</v>
      </c>
      <c r="D176">
        <v>81766</v>
      </c>
      <c r="E176">
        <v>86</v>
      </c>
      <c r="F176">
        <v>1</v>
      </c>
      <c r="G176">
        <v>16</v>
      </c>
      <c r="H176" t="s">
        <v>15</v>
      </c>
      <c r="I176">
        <v>160.11000000000001</v>
      </c>
    </row>
    <row r="177" spans="1:9" x14ac:dyDescent="0.25">
      <c r="A177">
        <v>176</v>
      </c>
      <c r="B177">
        <v>34</v>
      </c>
      <c r="C177" t="s">
        <v>12</v>
      </c>
      <c r="D177">
        <v>79572</v>
      </c>
      <c r="E177">
        <v>62</v>
      </c>
      <c r="F177">
        <v>2</v>
      </c>
      <c r="G177">
        <v>24</v>
      </c>
      <c r="H177" t="s">
        <v>15</v>
      </c>
      <c r="I177">
        <v>843.15</v>
      </c>
    </row>
    <row r="178" spans="1:9" x14ac:dyDescent="0.25">
      <c r="A178">
        <v>177</v>
      </c>
      <c r="B178">
        <v>65</v>
      </c>
      <c r="C178" t="s">
        <v>45</v>
      </c>
      <c r="D178">
        <v>123680</v>
      </c>
      <c r="E178">
        <v>30</v>
      </c>
      <c r="F178">
        <v>2</v>
      </c>
      <c r="G178">
        <v>35</v>
      </c>
      <c r="H178" t="s">
        <v>14</v>
      </c>
      <c r="I178">
        <v>218.74</v>
      </c>
    </row>
    <row r="179" spans="1:9" x14ac:dyDescent="0.25">
      <c r="A179">
        <v>178</v>
      </c>
      <c r="B179">
        <v>67</v>
      </c>
      <c r="C179" t="s">
        <v>18</v>
      </c>
      <c r="D179">
        <v>130300</v>
      </c>
      <c r="E179">
        <v>75</v>
      </c>
      <c r="F179">
        <v>5</v>
      </c>
      <c r="G179">
        <v>27</v>
      </c>
      <c r="H179" t="s">
        <v>14</v>
      </c>
      <c r="I179">
        <v>94.32</v>
      </c>
    </row>
    <row r="180" spans="1:9" x14ac:dyDescent="0.25">
      <c r="A180">
        <v>179</v>
      </c>
      <c r="B180">
        <v>45</v>
      </c>
      <c r="C180" t="s">
        <v>18</v>
      </c>
      <c r="D180">
        <v>102050</v>
      </c>
      <c r="E180">
        <v>57</v>
      </c>
      <c r="F180">
        <v>8</v>
      </c>
      <c r="G180">
        <v>39</v>
      </c>
      <c r="H180" t="s">
        <v>16</v>
      </c>
      <c r="I180">
        <v>263.93</v>
      </c>
    </row>
    <row r="181" spans="1:9" x14ac:dyDescent="0.25">
      <c r="A181">
        <v>180</v>
      </c>
      <c r="B181">
        <v>48</v>
      </c>
      <c r="C181" t="s">
        <v>12</v>
      </c>
      <c r="D181">
        <v>121325</v>
      </c>
      <c r="E181">
        <v>30</v>
      </c>
      <c r="F181">
        <v>3</v>
      </c>
      <c r="G181">
        <v>35</v>
      </c>
      <c r="H181" t="s">
        <v>13</v>
      </c>
      <c r="I181">
        <v>624.36</v>
      </c>
    </row>
    <row r="182" spans="1:9" x14ac:dyDescent="0.25">
      <c r="A182">
        <v>181</v>
      </c>
      <c r="B182">
        <v>49</v>
      </c>
      <c r="C182" t="s">
        <v>12</v>
      </c>
      <c r="D182">
        <v>76202</v>
      </c>
      <c r="E182">
        <v>83</v>
      </c>
      <c r="F182">
        <v>3</v>
      </c>
      <c r="G182">
        <v>6</v>
      </c>
      <c r="H182" t="s">
        <v>16</v>
      </c>
      <c r="I182">
        <v>208.79</v>
      </c>
    </row>
    <row r="183" spans="1:9" x14ac:dyDescent="0.25">
      <c r="A183">
        <v>182</v>
      </c>
      <c r="B183">
        <v>40</v>
      </c>
      <c r="C183" t="s">
        <v>12</v>
      </c>
      <c r="D183">
        <v>136323</v>
      </c>
      <c r="E183">
        <v>36</v>
      </c>
      <c r="F183">
        <v>6</v>
      </c>
      <c r="G183">
        <v>25</v>
      </c>
      <c r="H183" t="s">
        <v>14</v>
      </c>
      <c r="I183">
        <v>625.28</v>
      </c>
    </row>
    <row r="184" spans="1:9" x14ac:dyDescent="0.25">
      <c r="A184">
        <v>183</v>
      </c>
      <c r="B184">
        <v>43</v>
      </c>
      <c r="C184" t="s">
        <v>18</v>
      </c>
      <c r="D184">
        <v>32512</v>
      </c>
      <c r="E184">
        <v>95</v>
      </c>
      <c r="F184">
        <v>4</v>
      </c>
      <c r="G184">
        <v>49</v>
      </c>
      <c r="H184" t="s">
        <v>13</v>
      </c>
      <c r="I184">
        <v>223.39</v>
      </c>
    </row>
    <row r="185" spans="1:9" x14ac:dyDescent="0.25">
      <c r="A185">
        <v>184</v>
      </c>
      <c r="B185">
        <v>27</v>
      </c>
      <c r="C185" t="s">
        <v>12</v>
      </c>
      <c r="D185">
        <v>63313</v>
      </c>
      <c r="E185">
        <v>8</v>
      </c>
      <c r="F185">
        <v>10</v>
      </c>
      <c r="G185">
        <v>42</v>
      </c>
      <c r="H185" t="s">
        <v>16</v>
      </c>
      <c r="I185">
        <v>35.01</v>
      </c>
    </row>
    <row r="186" spans="1:9" x14ac:dyDescent="0.25">
      <c r="A186">
        <v>185</v>
      </c>
      <c r="B186">
        <v>41</v>
      </c>
      <c r="C186" t="s">
        <v>18</v>
      </c>
      <c r="D186">
        <v>104337</v>
      </c>
      <c r="E186">
        <v>91</v>
      </c>
      <c r="F186">
        <v>6</v>
      </c>
      <c r="G186">
        <v>27</v>
      </c>
      <c r="H186" t="s">
        <v>13</v>
      </c>
      <c r="I186">
        <v>401.63</v>
      </c>
    </row>
    <row r="187" spans="1:9" x14ac:dyDescent="0.25">
      <c r="A187">
        <v>186</v>
      </c>
      <c r="B187">
        <v>40</v>
      </c>
      <c r="C187" t="s">
        <v>45</v>
      </c>
      <c r="D187">
        <v>124138</v>
      </c>
      <c r="E187">
        <v>84</v>
      </c>
      <c r="F187">
        <v>10</v>
      </c>
      <c r="G187">
        <v>41</v>
      </c>
      <c r="H187" t="s">
        <v>16</v>
      </c>
      <c r="I187">
        <v>426.62</v>
      </c>
    </row>
    <row r="188" spans="1:9" x14ac:dyDescent="0.25">
      <c r="A188">
        <v>187</v>
      </c>
      <c r="B188">
        <v>35</v>
      </c>
      <c r="C188" t="s">
        <v>12</v>
      </c>
      <c r="D188">
        <v>137307</v>
      </c>
      <c r="E188">
        <v>32</v>
      </c>
      <c r="F188">
        <v>6</v>
      </c>
      <c r="G188">
        <v>24</v>
      </c>
      <c r="H188" t="s">
        <v>14</v>
      </c>
      <c r="I188">
        <v>111.27</v>
      </c>
    </row>
    <row r="189" spans="1:9" x14ac:dyDescent="0.25">
      <c r="A189">
        <v>188</v>
      </c>
      <c r="B189">
        <v>55</v>
      </c>
      <c r="C189" t="s">
        <v>12</v>
      </c>
      <c r="D189">
        <v>77060</v>
      </c>
      <c r="E189">
        <v>14</v>
      </c>
      <c r="F189">
        <v>2</v>
      </c>
      <c r="G189">
        <v>16</v>
      </c>
      <c r="H189" t="s">
        <v>15</v>
      </c>
      <c r="I189">
        <v>286.79000000000002</v>
      </c>
    </row>
    <row r="190" spans="1:9" x14ac:dyDescent="0.25">
      <c r="A190">
        <v>189</v>
      </c>
      <c r="B190">
        <v>45</v>
      </c>
      <c r="C190" t="s">
        <v>12</v>
      </c>
      <c r="D190">
        <v>108335</v>
      </c>
      <c r="E190">
        <v>62</v>
      </c>
      <c r="F190">
        <v>1</v>
      </c>
      <c r="G190">
        <v>35</v>
      </c>
      <c r="H190" t="s">
        <v>14</v>
      </c>
      <c r="I190">
        <v>940.93</v>
      </c>
    </row>
    <row r="191" spans="1:9" x14ac:dyDescent="0.25">
      <c r="A191">
        <v>190</v>
      </c>
      <c r="B191">
        <v>41</v>
      </c>
      <c r="C191" t="s">
        <v>45</v>
      </c>
      <c r="D191">
        <v>59408</v>
      </c>
      <c r="E191">
        <v>68</v>
      </c>
      <c r="F191">
        <v>1</v>
      </c>
      <c r="G191">
        <v>16</v>
      </c>
      <c r="H191" t="s">
        <v>14</v>
      </c>
      <c r="I191">
        <v>504.16</v>
      </c>
    </row>
    <row r="192" spans="1:9" x14ac:dyDescent="0.25">
      <c r="A192">
        <v>191</v>
      </c>
      <c r="B192">
        <v>35</v>
      </c>
      <c r="C192" t="s">
        <v>12</v>
      </c>
      <c r="D192">
        <v>100208</v>
      </c>
      <c r="E192">
        <v>80</v>
      </c>
      <c r="F192">
        <v>2</v>
      </c>
      <c r="G192">
        <v>27</v>
      </c>
      <c r="H192" t="s">
        <v>14</v>
      </c>
      <c r="I192">
        <v>23.73</v>
      </c>
    </row>
    <row r="193" spans="1:9" x14ac:dyDescent="0.25">
      <c r="A193">
        <v>192</v>
      </c>
      <c r="B193">
        <v>63</v>
      </c>
      <c r="C193" t="s">
        <v>45</v>
      </c>
      <c r="D193">
        <v>109506</v>
      </c>
      <c r="E193">
        <v>48</v>
      </c>
      <c r="F193">
        <v>10</v>
      </c>
      <c r="G193">
        <v>50</v>
      </c>
      <c r="H193" t="s">
        <v>14</v>
      </c>
      <c r="I193">
        <v>26.85</v>
      </c>
    </row>
    <row r="194" spans="1:9" x14ac:dyDescent="0.25">
      <c r="A194">
        <v>193</v>
      </c>
      <c r="B194">
        <v>69</v>
      </c>
      <c r="C194" t="s">
        <v>18</v>
      </c>
      <c r="D194">
        <v>39509</v>
      </c>
      <c r="E194">
        <v>10</v>
      </c>
      <c r="F194">
        <v>6</v>
      </c>
      <c r="G194">
        <v>27</v>
      </c>
      <c r="H194" t="s">
        <v>16</v>
      </c>
      <c r="I194">
        <v>377.66</v>
      </c>
    </row>
    <row r="195" spans="1:9" x14ac:dyDescent="0.25">
      <c r="A195">
        <v>194</v>
      </c>
      <c r="B195">
        <v>69</v>
      </c>
      <c r="C195" t="s">
        <v>12</v>
      </c>
      <c r="D195">
        <v>74519</v>
      </c>
      <c r="E195">
        <v>95</v>
      </c>
      <c r="F195">
        <v>10</v>
      </c>
      <c r="G195">
        <v>42</v>
      </c>
      <c r="H195" t="s">
        <v>17</v>
      </c>
      <c r="I195">
        <v>931.51</v>
      </c>
    </row>
    <row r="196" spans="1:9" x14ac:dyDescent="0.25">
      <c r="A196">
        <v>195</v>
      </c>
      <c r="B196">
        <v>67</v>
      </c>
      <c r="C196" t="s">
        <v>45</v>
      </c>
      <c r="D196">
        <v>31806</v>
      </c>
      <c r="E196">
        <v>79</v>
      </c>
      <c r="F196">
        <v>8</v>
      </c>
      <c r="G196">
        <v>13</v>
      </c>
      <c r="H196" t="s">
        <v>14</v>
      </c>
      <c r="I196">
        <v>261.07</v>
      </c>
    </row>
    <row r="197" spans="1:9" x14ac:dyDescent="0.25">
      <c r="A197">
        <v>196</v>
      </c>
      <c r="B197">
        <v>48</v>
      </c>
      <c r="C197" t="s">
        <v>12</v>
      </c>
      <c r="D197">
        <v>108550</v>
      </c>
      <c r="E197">
        <v>5</v>
      </c>
      <c r="F197">
        <v>6</v>
      </c>
      <c r="G197">
        <v>35</v>
      </c>
      <c r="H197" t="s">
        <v>13</v>
      </c>
      <c r="I197">
        <v>410.05</v>
      </c>
    </row>
    <row r="198" spans="1:9" x14ac:dyDescent="0.25">
      <c r="A198">
        <v>197</v>
      </c>
      <c r="B198">
        <v>34</v>
      </c>
      <c r="C198" t="s">
        <v>18</v>
      </c>
      <c r="D198">
        <v>56125</v>
      </c>
      <c r="E198">
        <v>66</v>
      </c>
      <c r="F198">
        <v>10</v>
      </c>
      <c r="G198">
        <v>26</v>
      </c>
      <c r="H198" t="s">
        <v>13</v>
      </c>
      <c r="I198">
        <v>610.66</v>
      </c>
    </row>
    <row r="199" spans="1:9" x14ac:dyDescent="0.25">
      <c r="A199">
        <v>198</v>
      </c>
      <c r="B199">
        <v>39</v>
      </c>
      <c r="C199" t="s">
        <v>12</v>
      </c>
      <c r="D199">
        <v>116566</v>
      </c>
      <c r="E199">
        <v>76</v>
      </c>
      <c r="F199">
        <v>9</v>
      </c>
      <c r="G199">
        <v>21</v>
      </c>
      <c r="H199" t="s">
        <v>16</v>
      </c>
      <c r="I199">
        <v>32.380000000000003</v>
      </c>
    </row>
    <row r="200" spans="1:9" x14ac:dyDescent="0.25">
      <c r="A200">
        <v>199</v>
      </c>
      <c r="B200">
        <v>45</v>
      </c>
      <c r="C200" t="s">
        <v>18</v>
      </c>
      <c r="D200">
        <v>82014</v>
      </c>
      <c r="E200">
        <v>30</v>
      </c>
      <c r="F200">
        <v>10</v>
      </c>
      <c r="G200">
        <v>15</v>
      </c>
      <c r="H200" t="s">
        <v>16</v>
      </c>
      <c r="I200">
        <v>81.91</v>
      </c>
    </row>
    <row r="201" spans="1:9" x14ac:dyDescent="0.25">
      <c r="A201">
        <v>200</v>
      </c>
      <c r="B201">
        <v>63</v>
      </c>
      <c r="C201" t="s">
        <v>18</v>
      </c>
      <c r="D201">
        <v>113240</v>
      </c>
      <c r="E201">
        <v>47</v>
      </c>
      <c r="F201">
        <v>9</v>
      </c>
      <c r="G201">
        <v>22</v>
      </c>
      <c r="H201" t="s">
        <v>17</v>
      </c>
      <c r="I201">
        <v>279.95999999999998</v>
      </c>
    </row>
    <row r="202" spans="1:9" x14ac:dyDescent="0.25">
      <c r="A202">
        <v>201</v>
      </c>
      <c r="B202">
        <v>45</v>
      </c>
      <c r="C202" t="s">
        <v>12</v>
      </c>
      <c r="D202">
        <v>111788</v>
      </c>
      <c r="E202">
        <v>28</v>
      </c>
      <c r="F202">
        <v>9</v>
      </c>
      <c r="G202">
        <v>49</v>
      </c>
      <c r="H202" t="s">
        <v>16</v>
      </c>
      <c r="I202">
        <v>628.42999999999995</v>
      </c>
    </row>
    <row r="203" spans="1:9" x14ac:dyDescent="0.25">
      <c r="A203">
        <v>202</v>
      </c>
      <c r="B203">
        <v>25</v>
      </c>
      <c r="C203" t="s">
        <v>12</v>
      </c>
      <c r="D203">
        <v>30570</v>
      </c>
      <c r="E203">
        <v>16</v>
      </c>
      <c r="F203">
        <v>8</v>
      </c>
      <c r="G203">
        <v>44</v>
      </c>
      <c r="H203" t="s">
        <v>15</v>
      </c>
      <c r="I203">
        <v>971.09</v>
      </c>
    </row>
    <row r="204" spans="1:9" x14ac:dyDescent="0.25">
      <c r="A204">
        <v>203</v>
      </c>
      <c r="B204">
        <v>66</v>
      </c>
      <c r="C204" t="s">
        <v>45</v>
      </c>
      <c r="D204">
        <v>106631</v>
      </c>
      <c r="E204">
        <v>41</v>
      </c>
      <c r="F204">
        <v>6</v>
      </c>
      <c r="G204">
        <v>9</v>
      </c>
      <c r="H204" t="s">
        <v>13</v>
      </c>
      <c r="I204">
        <v>354.46</v>
      </c>
    </row>
    <row r="205" spans="1:9" x14ac:dyDescent="0.25">
      <c r="A205">
        <v>204</v>
      </c>
      <c r="B205">
        <v>49</v>
      </c>
      <c r="C205" t="s">
        <v>12</v>
      </c>
      <c r="D205">
        <v>100258</v>
      </c>
      <c r="E205">
        <v>53</v>
      </c>
      <c r="F205">
        <v>6</v>
      </c>
      <c r="G205">
        <v>27</v>
      </c>
      <c r="H205" t="s">
        <v>13</v>
      </c>
      <c r="I205">
        <v>436.43</v>
      </c>
    </row>
    <row r="206" spans="1:9" x14ac:dyDescent="0.25">
      <c r="A206">
        <v>205</v>
      </c>
      <c r="B206">
        <v>27</v>
      </c>
      <c r="C206" t="s">
        <v>12</v>
      </c>
      <c r="D206">
        <v>132541</v>
      </c>
      <c r="E206">
        <v>78</v>
      </c>
      <c r="F206">
        <v>8</v>
      </c>
      <c r="G206">
        <v>42</v>
      </c>
      <c r="H206" t="s">
        <v>14</v>
      </c>
      <c r="I206">
        <v>825.01</v>
      </c>
    </row>
    <row r="207" spans="1:9" x14ac:dyDescent="0.25">
      <c r="A207">
        <v>206</v>
      </c>
      <c r="B207">
        <v>34</v>
      </c>
      <c r="C207" t="s">
        <v>12</v>
      </c>
      <c r="D207">
        <v>97962</v>
      </c>
      <c r="E207">
        <v>18</v>
      </c>
      <c r="F207">
        <v>3</v>
      </c>
      <c r="G207">
        <v>19</v>
      </c>
      <c r="H207" t="s">
        <v>14</v>
      </c>
      <c r="I207">
        <v>947.73</v>
      </c>
    </row>
    <row r="208" spans="1:9" x14ac:dyDescent="0.25">
      <c r="A208">
        <v>207</v>
      </c>
      <c r="B208">
        <v>58</v>
      </c>
      <c r="C208" t="s">
        <v>12</v>
      </c>
      <c r="D208">
        <v>48714</v>
      </c>
      <c r="E208">
        <v>75</v>
      </c>
      <c r="F208">
        <v>10</v>
      </c>
      <c r="G208">
        <v>40</v>
      </c>
      <c r="H208" t="s">
        <v>15</v>
      </c>
      <c r="I208">
        <v>324.91000000000003</v>
      </c>
    </row>
    <row r="209" spans="1:9" x14ac:dyDescent="0.25">
      <c r="A209">
        <v>208</v>
      </c>
      <c r="B209">
        <v>59</v>
      </c>
      <c r="C209" t="s">
        <v>18</v>
      </c>
      <c r="D209">
        <v>70050</v>
      </c>
      <c r="E209">
        <v>62</v>
      </c>
      <c r="F209">
        <v>3</v>
      </c>
      <c r="G209">
        <v>10</v>
      </c>
      <c r="H209" t="s">
        <v>17</v>
      </c>
      <c r="I209">
        <v>49.53</v>
      </c>
    </row>
    <row r="210" spans="1:9" x14ac:dyDescent="0.25">
      <c r="A210">
        <v>209</v>
      </c>
      <c r="B210">
        <v>60</v>
      </c>
      <c r="C210" t="s">
        <v>18</v>
      </c>
      <c r="D210">
        <v>124416</v>
      </c>
      <c r="E210">
        <v>24</v>
      </c>
      <c r="F210">
        <v>5</v>
      </c>
      <c r="G210">
        <v>39</v>
      </c>
      <c r="H210" t="s">
        <v>13</v>
      </c>
      <c r="I210">
        <v>544.04</v>
      </c>
    </row>
    <row r="211" spans="1:9" x14ac:dyDescent="0.25">
      <c r="A211">
        <v>210</v>
      </c>
      <c r="B211">
        <v>47</v>
      </c>
      <c r="C211" t="s">
        <v>45</v>
      </c>
      <c r="D211">
        <v>93783</v>
      </c>
      <c r="E211">
        <v>24</v>
      </c>
      <c r="F211">
        <v>10</v>
      </c>
      <c r="G211">
        <v>3</v>
      </c>
      <c r="H211" t="s">
        <v>14</v>
      </c>
      <c r="I211">
        <v>406.56</v>
      </c>
    </row>
    <row r="212" spans="1:9" x14ac:dyDescent="0.25">
      <c r="A212">
        <v>211</v>
      </c>
      <c r="B212">
        <v>40</v>
      </c>
      <c r="C212" t="s">
        <v>18</v>
      </c>
      <c r="D212">
        <v>83445</v>
      </c>
      <c r="E212">
        <v>89</v>
      </c>
      <c r="F212">
        <v>7</v>
      </c>
      <c r="G212">
        <v>11</v>
      </c>
      <c r="H212" t="s">
        <v>17</v>
      </c>
      <c r="I212">
        <v>356.35</v>
      </c>
    </row>
    <row r="213" spans="1:9" x14ac:dyDescent="0.25">
      <c r="A213">
        <v>212</v>
      </c>
      <c r="B213">
        <v>18</v>
      </c>
      <c r="C213" t="s">
        <v>45</v>
      </c>
      <c r="D213">
        <v>54421</v>
      </c>
      <c r="E213">
        <v>20</v>
      </c>
      <c r="F213">
        <v>1</v>
      </c>
      <c r="G213">
        <v>41</v>
      </c>
      <c r="H213" t="s">
        <v>13</v>
      </c>
      <c r="I213">
        <v>215.95</v>
      </c>
    </row>
    <row r="214" spans="1:9" x14ac:dyDescent="0.25">
      <c r="A214">
        <v>213</v>
      </c>
      <c r="B214">
        <v>47</v>
      </c>
      <c r="C214" t="s">
        <v>18</v>
      </c>
      <c r="D214">
        <v>121498</v>
      </c>
      <c r="E214">
        <v>29</v>
      </c>
      <c r="F214">
        <v>9</v>
      </c>
      <c r="G214">
        <v>28</v>
      </c>
      <c r="H214" t="s">
        <v>15</v>
      </c>
      <c r="I214">
        <v>706.37</v>
      </c>
    </row>
    <row r="215" spans="1:9" x14ac:dyDescent="0.25">
      <c r="A215">
        <v>214</v>
      </c>
      <c r="B215">
        <v>33</v>
      </c>
      <c r="C215" t="s">
        <v>12</v>
      </c>
      <c r="D215">
        <v>84883</v>
      </c>
      <c r="E215">
        <v>43</v>
      </c>
      <c r="F215">
        <v>2</v>
      </c>
      <c r="G215">
        <v>49</v>
      </c>
      <c r="H215" t="s">
        <v>13</v>
      </c>
      <c r="I215">
        <v>956.03</v>
      </c>
    </row>
    <row r="216" spans="1:9" x14ac:dyDescent="0.25">
      <c r="A216">
        <v>215</v>
      </c>
      <c r="B216">
        <v>69</v>
      </c>
      <c r="C216" t="s">
        <v>45</v>
      </c>
      <c r="D216">
        <v>127086</v>
      </c>
      <c r="E216">
        <v>93</v>
      </c>
      <c r="F216">
        <v>4</v>
      </c>
      <c r="G216">
        <v>45</v>
      </c>
      <c r="H216" t="s">
        <v>14</v>
      </c>
      <c r="I216">
        <v>339.9</v>
      </c>
    </row>
    <row r="217" spans="1:9" x14ac:dyDescent="0.25">
      <c r="A217">
        <v>216</v>
      </c>
      <c r="B217">
        <v>26</v>
      </c>
      <c r="C217" t="s">
        <v>45</v>
      </c>
      <c r="D217">
        <v>133538</v>
      </c>
      <c r="E217">
        <v>27</v>
      </c>
      <c r="F217">
        <v>5</v>
      </c>
      <c r="G217">
        <v>46</v>
      </c>
      <c r="H217" t="s">
        <v>14</v>
      </c>
      <c r="I217">
        <v>761.08</v>
      </c>
    </row>
    <row r="218" spans="1:9" x14ac:dyDescent="0.25">
      <c r="A218">
        <v>217</v>
      </c>
      <c r="B218">
        <v>46</v>
      </c>
      <c r="C218" t="s">
        <v>18</v>
      </c>
      <c r="D218">
        <v>82034</v>
      </c>
      <c r="E218">
        <v>19</v>
      </c>
      <c r="F218">
        <v>2</v>
      </c>
      <c r="G218">
        <v>45</v>
      </c>
      <c r="H218" t="s">
        <v>15</v>
      </c>
      <c r="I218">
        <v>635.92999999999995</v>
      </c>
    </row>
    <row r="219" spans="1:9" x14ac:dyDescent="0.25">
      <c r="A219">
        <v>218</v>
      </c>
      <c r="B219">
        <v>55</v>
      </c>
      <c r="C219" t="s">
        <v>18</v>
      </c>
      <c r="D219">
        <v>147024</v>
      </c>
      <c r="E219">
        <v>24</v>
      </c>
      <c r="F219">
        <v>9</v>
      </c>
      <c r="G219">
        <v>16</v>
      </c>
      <c r="H219" t="s">
        <v>14</v>
      </c>
      <c r="I219">
        <v>169.79</v>
      </c>
    </row>
    <row r="220" spans="1:9" x14ac:dyDescent="0.25">
      <c r="A220">
        <v>219</v>
      </c>
      <c r="B220">
        <v>57</v>
      </c>
      <c r="C220" t="s">
        <v>12</v>
      </c>
      <c r="D220">
        <v>33009</v>
      </c>
      <c r="E220">
        <v>82</v>
      </c>
      <c r="F220">
        <v>9</v>
      </c>
      <c r="G220">
        <v>24</v>
      </c>
      <c r="H220" t="s">
        <v>17</v>
      </c>
      <c r="I220">
        <v>563.64</v>
      </c>
    </row>
    <row r="221" spans="1:9" x14ac:dyDescent="0.25">
      <c r="A221">
        <v>220</v>
      </c>
      <c r="B221">
        <v>69</v>
      </c>
      <c r="C221" t="s">
        <v>12</v>
      </c>
      <c r="D221">
        <v>142216</v>
      </c>
      <c r="E221">
        <v>90</v>
      </c>
      <c r="F221">
        <v>7</v>
      </c>
      <c r="G221">
        <v>29</v>
      </c>
      <c r="H221" t="s">
        <v>14</v>
      </c>
      <c r="I221">
        <v>559.73</v>
      </c>
    </row>
    <row r="222" spans="1:9" x14ac:dyDescent="0.25">
      <c r="A222">
        <v>221</v>
      </c>
      <c r="B222">
        <v>62</v>
      </c>
      <c r="C222" t="s">
        <v>12</v>
      </c>
      <c r="D222">
        <v>82623</v>
      </c>
      <c r="E222">
        <v>51</v>
      </c>
      <c r="F222">
        <v>8</v>
      </c>
      <c r="G222">
        <v>37</v>
      </c>
      <c r="H222" t="s">
        <v>17</v>
      </c>
      <c r="I222">
        <v>155.13999999999999</v>
      </c>
    </row>
    <row r="223" spans="1:9" x14ac:dyDescent="0.25">
      <c r="A223">
        <v>222</v>
      </c>
      <c r="B223">
        <v>67</v>
      </c>
      <c r="C223" t="s">
        <v>45</v>
      </c>
      <c r="D223">
        <v>64134</v>
      </c>
      <c r="E223">
        <v>3</v>
      </c>
      <c r="F223">
        <v>2</v>
      </c>
      <c r="G223">
        <v>26</v>
      </c>
      <c r="H223" t="s">
        <v>17</v>
      </c>
      <c r="I223">
        <v>868.18</v>
      </c>
    </row>
    <row r="224" spans="1:9" x14ac:dyDescent="0.25">
      <c r="A224">
        <v>223</v>
      </c>
      <c r="B224">
        <v>53</v>
      </c>
      <c r="C224" t="s">
        <v>18</v>
      </c>
      <c r="D224">
        <v>146546</v>
      </c>
      <c r="E224">
        <v>12</v>
      </c>
      <c r="F224">
        <v>6</v>
      </c>
      <c r="G224">
        <v>45</v>
      </c>
      <c r="H224" t="s">
        <v>15</v>
      </c>
      <c r="I224">
        <v>915.02</v>
      </c>
    </row>
    <row r="225" spans="1:9" x14ac:dyDescent="0.25">
      <c r="A225">
        <v>224</v>
      </c>
      <c r="B225">
        <v>51</v>
      </c>
      <c r="C225" t="s">
        <v>18</v>
      </c>
      <c r="D225">
        <v>33665</v>
      </c>
      <c r="E225">
        <v>12</v>
      </c>
      <c r="F225">
        <v>2</v>
      </c>
      <c r="G225">
        <v>2</v>
      </c>
      <c r="H225" t="s">
        <v>16</v>
      </c>
      <c r="I225">
        <v>139.07</v>
      </c>
    </row>
    <row r="226" spans="1:9" x14ac:dyDescent="0.25">
      <c r="A226">
        <v>225</v>
      </c>
      <c r="B226">
        <v>54</v>
      </c>
      <c r="C226" t="s">
        <v>18</v>
      </c>
      <c r="D226">
        <v>92156</v>
      </c>
      <c r="E226">
        <v>18</v>
      </c>
      <c r="F226">
        <v>7</v>
      </c>
      <c r="G226">
        <v>14</v>
      </c>
      <c r="H226" t="s">
        <v>14</v>
      </c>
      <c r="I226">
        <v>238.87</v>
      </c>
    </row>
    <row r="227" spans="1:9" x14ac:dyDescent="0.25">
      <c r="A227">
        <v>226</v>
      </c>
      <c r="B227">
        <v>19</v>
      </c>
      <c r="C227" t="s">
        <v>18</v>
      </c>
      <c r="D227">
        <v>51355</v>
      </c>
      <c r="E227">
        <v>48</v>
      </c>
      <c r="F227">
        <v>8</v>
      </c>
      <c r="G227">
        <v>28</v>
      </c>
      <c r="H227" t="s">
        <v>13</v>
      </c>
      <c r="I227">
        <v>278.20999999999998</v>
      </c>
    </row>
    <row r="228" spans="1:9" x14ac:dyDescent="0.25">
      <c r="A228">
        <v>227</v>
      </c>
      <c r="B228">
        <v>65</v>
      </c>
      <c r="C228" t="s">
        <v>12</v>
      </c>
      <c r="D228">
        <v>89274</v>
      </c>
      <c r="E228">
        <v>71</v>
      </c>
      <c r="F228">
        <v>10</v>
      </c>
      <c r="G228">
        <v>34</v>
      </c>
      <c r="H228" t="s">
        <v>14</v>
      </c>
      <c r="I228">
        <v>840.45</v>
      </c>
    </row>
    <row r="229" spans="1:9" x14ac:dyDescent="0.25">
      <c r="A229">
        <v>228</v>
      </c>
      <c r="B229">
        <v>53</v>
      </c>
      <c r="C229" t="s">
        <v>12</v>
      </c>
      <c r="D229">
        <v>57651</v>
      </c>
      <c r="E229">
        <v>27</v>
      </c>
      <c r="F229">
        <v>7</v>
      </c>
      <c r="G229">
        <v>16</v>
      </c>
      <c r="H229" t="s">
        <v>13</v>
      </c>
      <c r="I229">
        <v>345.62</v>
      </c>
    </row>
    <row r="230" spans="1:9" x14ac:dyDescent="0.25">
      <c r="A230">
        <v>229</v>
      </c>
      <c r="B230">
        <v>19</v>
      </c>
      <c r="C230" t="s">
        <v>45</v>
      </c>
      <c r="D230">
        <v>52470</v>
      </c>
      <c r="E230">
        <v>90</v>
      </c>
      <c r="F230">
        <v>5</v>
      </c>
      <c r="G230">
        <v>35</v>
      </c>
      <c r="H230" t="s">
        <v>16</v>
      </c>
      <c r="I230">
        <v>515.99</v>
      </c>
    </row>
    <row r="231" spans="1:9" x14ac:dyDescent="0.25">
      <c r="A231">
        <v>230</v>
      </c>
      <c r="B231">
        <v>56</v>
      </c>
      <c r="C231" t="s">
        <v>12</v>
      </c>
      <c r="D231">
        <v>31154</v>
      </c>
      <c r="E231">
        <v>40</v>
      </c>
      <c r="F231">
        <v>4</v>
      </c>
      <c r="G231">
        <v>25</v>
      </c>
      <c r="H231" t="s">
        <v>14</v>
      </c>
      <c r="I231">
        <v>197.54</v>
      </c>
    </row>
    <row r="232" spans="1:9" x14ac:dyDescent="0.25">
      <c r="A232">
        <v>231</v>
      </c>
      <c r="B232">
        <v>24</v>
      </c>
      <c r="C232" t="s">
        <v>18</v>
      </c>
      <c r="D232">
        <v>147572</v>
      </c>
      <c r="E232">
        <v>44</v>
      </c>
      <c r="F232">
        <v>7</v>
      </c>
      <c r="G232">
        <v>45</v>
      </c>
      <c r="H232" t="s">
        <v>14</v>
      </c>
      <c r="I232">
        <v>204.27</v>
      </c>
    </row>
    <row r="233" spans="1:9" x14ac:dyDescent="0.25">
      <c r="A233">
        <v>232</v>
      </c>
      <c r="B233">
        <v>66</v>
      </c>
      <c r="C233" t="s">
        <v>12</v>
      </c>
      <c r="D233">
        <v>144573</v>
      </c>
      <c r="E233">
        <v>41</v>
      </c>
      <c r="F233">
        <v>7</v>
      </c>
      <c r="G233">
        <v>24</v>
      </c>
      <c r="H233" t="s">
        <v>16</v>
      </c>
      <c r="I233">
        <v>66.599999999999994</v>
      </c>
    </row>
    <row r="234" spans="1:9" x14ac:dyDescent="0.25">
      <c r="A234">
        <v>233</v>
      </c>
      <c r="B234">
        <v>41</v>
      </c>
      <c r="C234" t="s">
        <v>18</v>
      </c>
      <c r="D234">
        <v>88312</v>
      </c>
      <c r="E234">
        <v>22</v>
      </c>
      <c r="F234">
        <v>6</v>
      </c>
      <c r="G234">
        <v>31</v>
      </c>
      <c r="H234" t="s">
        <v>16</v>
      </c>
      <c r="I234">
        <v>212.53</v>
      </c>
    </row>
    <row r="235" spans="1:9" x14ac:dyDescent="0.25">
      <c r="A235">
        <v>234</v>
      </c>
      <c r="B235">
        <v>29</v>
      </c>
      <c r="C235" t="s">
        <v>18</v>
      </c>
      <c r="D235">
        <v>96066</v>
      </c>
      <c r="E235">
        <v>45</v>
      </c>
      <c r="F235">
        <v>7</v>
      </c>
      <c r="G235">
        <v>24</v>
      </c>
      <c r="H235" t="s">
        <v>15</v>
      </c>
      <c r="I235">
        <v>479.36</v>
      </c>
    </row>
    <row r="236" spans="1:9" x14ac:dyDescent="0.25">
      <c r="A236">
        <v>235</v>
      </c>
      <c r="B236">
        <v>19</v>
      </c>
      <c r="C236" t="s">
        <v>18</v>
      </c>
      <c r="D236">
        <v>41542</v>
      </c>
      <c r="E236">
        <v>21</v>
      </c>
      <c r="F236">
        <v>1</v>
      </c>
      <c r="G236">
        <v>22</v>
      </c>
      <c r="H236" t="s">
        <v>16</v>
      </c>
      <c r="I236">
        <v>132.88</v>
      </c>
    </row>
    <row r="237" spans="1:9" x14ac:dyDescent="0.25">
      <c r="A237">
        <v>236</v>
      </c>
      <c r="B237">
        <v>42</v>
      </c>
      <c r="C237" t="s">
        <v>45</v>
      </c>
      <c r="D237">
        <v>66495</v>
      </c>
      <c r="E237">
        <v>79</v>
      </c>
      <c r="F237">
        <v>9</v>
      </c>
      <c r="G237">
        <v>31</v>
      </c>
      <c r="H237" t="s">
        <v>15</v>
      </c>
      <c r="I237">
        <v>537.66</v>
      </c>
    </row>
    <row r="238" spans="1:9" x14ac:dyDescent="0.25">
      <c r="A238">
        <v>237</v>
      </c>
      <c r="B238">
        <v>62</v>
      </c>
      <c r="C238" t="s">
        <v>45</v>
      </c>
      <c r="D238">
        <v>52480</v>
      </c>
      <c r="E238">
        <v>22</v>
      </c>
      <c r="F238">
        <v>3</v>
      </c>
      <c r="G238">
        <v>14</v>
      </c>
      <c r="H238" t="s">
        <v>14</v>
      </c>
      <c r="I238">
        <v>821.42</v>
      </c>
    </row>
    <row r="239" spans="1:9" x14ac:dyDescent="0.25">
      <c r="A239">
        <v>238</v>
      </c>
      <c r="B239">
        <v>64</v>
      </c>
      <c r="C239" t="s">
        <v>45</v>
      </c>
      <c r="D239">
        <v>148368</v>
      </c>
      <c r="E239">
        <v>19</v>
      </c>
      <c r="F239">
        <v>4</v>
      </c>
      <c r="G239">
        <v>23</v>
      </c>
      <c r="H239" t="s">
        <v>16</v>
      </c>
      <c r="I239">
        <v>949.32</v>
      </c>
    </row>
    <row r="240" spans="1:9" x14ac:dyDescent="0.25">
      <c r="A240">
        <v>239</v>
      </c>
      <c r="B240">
        <v>64</v>
      </c>
      <c r="C240" t="s">
        <v>18</v>
      </c>
      <c r="D240">
        <v>124599</v>
      </c>
      <c r="E240">
        <v>41</v>
      </c>
      <c r="F240">
        <v>9</v>
      </c>
      <c r="G240">
        <v>41</v>
      </c>
      <c r="H240" t="s">
        <v>16</v>
      </c>
      <c r="I240">
        <v>924.18</v>
      </c>
    </row>
    <row r="241" spans="1:9" x14ac:dyDescent="0.25">
      <c r="A241">
        <v>240</v>
      </c>
      <c r="B241">
        <v>44</v>
      </c>
      <c r="C241" t="s">
        <v>18</v>
      </c>
      <c r="D241">
        <v>121975</v>
      </c>
      <c r="E241">
        <v>33</v>
      </c>
      <c r="F241">
        <v>6</v>
      </c>
      <c r="G241">
        <v>27</v>
      </c>
      <c r="H241" t="s">
        <v>16</v>
      </c>
      <c r="I241">
        <v>640.96</v>
      </c>
    </row>
    <row r="242" spans="1:9" x14ac:dyDescent="0.25">
      <c r="A242">
        <v>241</v>
      </c>
      <c r="B242">
        <v>41</v>
      </c>
      <c r="C242" t="s">
        <v>18</v>
      </c>
      <c r="D242">
        <v>41748</v>
      </c>
      <c r="E242">
        <v>50</v>
      </c>
      <c r="F242">
        <v>8</v>
      </c>
      <c r="G242">
        <v>5</v>
      </c>
      <c r="H242" t="s">
        <v>15</v>
      </c>
      <c r="I242">
        <v>35.159999999999997</v>
      </c>
    </row>
    <row r="243" spans="1:9" x14ac:dyDescent="0.25">
      <c r="A243">
        <v>242</v>
      </c>
      <c r="B243">
        <v>31</v>
      </c>
      <c r="C243" t="s">
        <v>18</v>
      </c>
      <c r="D243">
        <v>125501</v>
      </c>
      <c r="E243">
        <v>74</v>
      </c>
      <c r="F243">
        <v>3</v>
      </c>
      <c r="G243">
        <v>18</v>
      </c>
      <c r="H243" t="s">
        <v>14</v>
      </c>
      <c r="I243">
        <v>947.76</v>
      </c>
    </row>
    <row r="244" spans="1:9" x14ac:dyDescent="0.25">
      <c r="A244">
        <v>243</v>
      </c>
      <c r="B244">
        <v>25</v>
      </c>
      <c r="C244" t="s">
        <v>45</v>
      </c>
      <c r="D244">
        <v>109583</v>
      </c>
      <c r="E244">
        <v>6</v>
      </c>
      <c r="F244">
        <v>4</v>
      </c>
      <c r="G244">
        <v>30</v>
      </c>
      <c r="H244" t="s">
        <v>14</v>
      </c>
      <c r="I244">
        <v>923.64</v>
      </c>
    </row>
    <row r="245" spans="1:9" x14ac:dyDescent="0.25">
      <c r="A245">
        <v>244</v>
      </c>
      <c r="B245">
        <v>47</v>
      </c>
      <c r="C245" t="s">
        <v>18</v>
      </c>
      <c r="D245">
        <v>108356</v>
      </c>
      <c r="E245">
        <v>84</v>
      </c>
      <c r="F245">
        <v>6</v>
      </c>
      <c r="G245">
        <v>19</v>
      </c>
      <c r="H245" t="s">
        <v>13</v>
      </c>
      <c r="I245">
        <v>911</v>
      </c>
    </row>
    <row r="246" spans="1:9" x14ac:dyDescent="0.25">
      <c r="A246">
        <v>245</v>
      </c>
      <c r="B246">
        <v>28</v>
      </c>
      <c r="C246" t="s">
        <v>45</v>
      </c>
      <c r="D246">
        <v>134414</v>
      </c>
      <c r="E246">
        <v>19</v>
      </c>
      <c r="F246">
        <v>5</v>
      </c>
      <c r="G246">
        <v>15</v>
      </c>
      <c r="H246" t="s">
        <v>13</v>
      </c>
      <c r="I246">
        <v>922.01</v>
      </c>
    </row>
    <row r="247" spans="1:9" x14ac:dyDescent="0.25">
      <c r="A247">
        <v>246</v>
      </c>
      <c r="B247">
        <v>44</v>
      </c>
      <c r="C247" t="s">
        <v>12</v>
      </c>
      <c r="D247">
        <v>83880</v>
      </c>
      <c r="E247">
        <v>31</v>
      </c>
      <c r="F247">
        <v>6</v>
      </c>
      <c r="G247">
        <v>32</v>
      </c>
      <c r="H247" t="s">
        <v>14</v>
      </c>
      <c r="I247">
        <v>464.42</v>
      </c>
    </row>
    <row r="248" spans="1:9" x14ac:dyDescent="0.25">
      <c r="A248">
        <v>247</v>
      </c>
      <c r="B248">
        <v>54</v>
      </c>
      <c r="C248" t="s">
        <v>45</v>
      </c>
      <c r="D248">
        <v>48896</v>
      </c>
      <c r="E248">
        <v>28</v>
      </c>
      <c r="F248">
        <v>9</v>
      </c>
      <c r="G248">
        <v>25</v>
      </c>
      <c r="H248" t="s">
        <v>15</v>
      </c>
      <c r="I248">
        <v>244.79</v>
      </c>
    </row>
    <row r="249" spans="1:9" x14ac:dyDescent="0.25">
      <c r="A249">
        <v>248</v>
      </c>
      <c r="B249">
        <v>28</v>
      </c>
      <c r="C249" t="s">
        <v>45</v>
      </c>
      <c r="D249">
        <v>48383</v>
      </c>
      <c r="E249">
        <v>57</v>
      </c>
      <c r="F249">
        <v>8</v>
      </c>
      <c r="G249">
        <v>35</v>
      </c>
      <c r="H249" t="s">
        <v>15</v>
      </c>
      <c r="I249">
        <v>17.97</v>
      </c>
    </row>
    <row r="250" spans="1:9" x14ac:dyDescent="0.25">
      <c r="A250">
        <v>249</v>
      </c>
      <c r="B250">
        <v>54</v>
      </c>
      <c r="C250" t="s">
        <v>18</v>
      </c>
      <c r="D250">
        <v>134743</v>
      </c>
      <c r="E250">
        <v>98</v>
      </c>
      <c r="F250">
        <v>9</v>
      </c>
      <c r="G250">
        <v>42</v>
      </c>
      <c r="H250" t="s">
        <v>15</v>
      </c>
      <c r="I250">
        <v>894.21</v>
      </c>
    </row>
    <row r="251" spans="1:9" x14ac:dyDescent="0.25">
      <c r="A251">
        <v>250</v>
      </c>
      <c r="B251">
        <v>47</v>
      </c>
      <c r="C251" t="s">
        <v>12</v>
      </c>
      <c r="D251">
        <v>91491</v>
      </c>
      <c r="E251">
        <v>52</v>
      </c>
      <c r="F251">
        <v>5</v>
      </c>
      <c r="G251">
        <v>10</v>
      </c>
      <c r="H251" t="s">
        <v>13</v>
      </c>
      <c r="I251">
        <v>21.43</v>
      </c>
    </row>
    <row r="252" spans="1:9" x14ac:dyDescent="0.25">
      <c r="A252">
        <v>251</v>
      </c>
      <c r="B252">
        <v>43</v>
      </c>
      <c r="C252" t="s">
        <v>12</v>
      </c>
      <c r="D252">
        <v>89688</v>
      </c>
      <c r="E252">
        <v>27</v>
      </c>
      <c r="F252">
        <v>10</v>
      </c>
      <c r="G252">
        <v>30</v>
      </c>
      <c r="H252" t="s">
        <v>14</v>
      </c>
      <c r="I252">
        <v>223.64</v>
      </c>
    </row>
    <row r="253" spans="1:9" x14ac:dyDescent="0.25">
      <c r="A253">
        <v>252</v>
      </c>
      <c r="B253">
        <v>25</v>
      </c>
      <c r="C253" t="s">
        <v>45</v>
      </c>
      <c r="D253">
        <v>105185</v>
      </c>
      <c r="E253">
        <v>70</v>
      </c>
      <c r="F253">
        <v>2</v>
      </c>
      <c r="G253">
        <v>37</v>
      </c>
      <c r="H253" t="s">
        <v>16</v>
      </c>
      <c r="I253">
        <v>556.23</v>
      </c>
    </row>
    <row r="254" spans="1:9" x14ac:dyDescent="0.25">
      <c r="A254">
        <v>253</v>
      </c>
      <c r="B254">
        <v>49</v>
      </c>
      <c r="C254" t="s">
        <v>45</v>
      </c>
      <c r="D254">
        <v>129014</v>
      </c>
      <c r="E254">
        <v>25</v>
      </c>
      <c r="F254">
        <v>7</v>
      </c>
      <c r="G254">
        <v>21</v>
      </c>
      <c r="H254" t="s">
        <v>16</v>
      </c>
      <c r="I254">
        <v>271.52</v>
      </c>
    </row>
    <row r="255" spans="1:9" x14ac:dyDescent="0.25">
      <c r="A255">
        <v>254</v>
      </c>
      <c r="B255">
        <v>66</v>
      </c>
      <c r="C255" t="s">
        <v>45</v>
      </c>
      <c r="D255">
        <v>112847</v>
      </c>
      <c r="E255">
        <v>98</v>
      </c>
      <c r="F255">
        <v>9</v>
      </c>
      <c r="G255">
        <v>44</v>
      </c>
      <c r="H255" t="s">
        <v>13</v>
      </c>
      <c r="I255">
        <v>827.44</v>
      </c>
    </row>
    <row r="256" spans="1:9" x14ac:dyDescent="0.25">
      <c r="A256">
        <v>255</v>
      </c>
      <c r="B256">
        <v>27</v>
      </c>
      <c r="C256" t="s">
        <v>45</v>
      </c>
      <c r="D256">
        <v>139589</v>
      </c>
      <c r="E256">
        <v>69</v>
      </c>
      <c r="F256">
        <v>8</v>
      </c>
      <c r="G256">
        <v>22</v>
      </c>
      <c r="H256" t="s">
        <v>17</v>
      </c>
      <c r="I256">
        <v>150.58000000000001</v>
      </c>
    </row>
    <row r="257" spans="1:9" x14ac:dyDescent="0.25">
      <c r="A257">
        <v>256</v>
      </c>
      <c r="B257">
        <v>46</v>
      </c>
      <c r="C257" t="s">
        <v>45</v>
      </c>
      <c r="D257">
        <v>38785</v>
      </c>
      <c r="E257">
        <v>55</v>
      </c>
      <c r="F257">
        <v>9</v>
      </c>
      <c r="G257">
        <v>22</v>
      </c>
      <c r="H257" t="s">
        <v>17</v>
      </c>
      <c r="I257">
        <v>486.25</v>
      </c>
    </row>
    <row r="258" spans="1:9" x14ac:dyDescent="0.25">
      <c r="A258">
        <v>257</v>
      </c>
      <c r="B258">
        <v>26</v>
      </c>
      <c r="C258" t="s">
        <v>12</v>
      </c>
      <c r="D258">
        <v>134203</v>
      </c>
      <c r="E258">
        <v>19</v>
      </c>
      <c r="F258">
        <v>3</v>
      </c>
      <c r="G258">
        <v>28</v>
      </c>
      <c r="H258" t="s">
        <v>15</v>
      </c>
      <c r="I258">
        <v>935.64</v>
      </c>
    </row>
    <row r="259" spans="1:9" x14ac:dyDescent="0.25">
      <c r="A259">
        <v>258</v>
      </c>
      <c r="B259">
        <v>37</v>
      </c>
      <c r="C259" t="s">
        <v>45</v>
      </c>
      <c r="D259">
        <v>86856</v>
      </c>
      <c r="E259">
        <v>74</v>
      </c>
      <c r="F259">
        <v>3</v>
      </c>
      <c r="G259">
        <v>10</v>
      </c>
      <c r="H259" t="s">
        <v>14</v>
      </c>
      <c r="I259">
        <v>624.29</v>
      </c>
    </row>
    <row r="260" spans="1:9" x14ac:dyDescent="0.25">
      <c r="A260">
        <v>259</v>
      </c>
      <c r="B260">
        <v>68</v>
      </c>
      <c r="C260" t="s">
        <v>12</v>
      </c>
      <c r="D260">
        <v>49725</v>
      </c>
      <c r="E260">
        <v>59</v>
      </c>
      <c r="F260">
        <v>2</v>
      </c>
      <c r="G260">
        <v>35</v>
      </c>
      <c r="H260" t="s">
        <v>16</v>
      </c>
      <c r="I260">
        <v>12.36</v>
      </c>
    </row>
    <row r="261" spans="1:9" x14ac:dyDescent="0.25">
      <c r="A261">
        <v>260</v>
      </c>
      <c r="B261">
        <v>39</v>
      </c>
      <c r="C261" t="s">
        <v>18</v>
      </c>
      <c r="D261">
        <v>56381</v>
      </c>
      <c r="E261">
        <v>82</v>
      </c>
      <c r="F261">
        <v>6</v>
      </c>
      <c r="G261">
        <v>19</v>
      </c>
      <c r="H261" t="s">
        <v>15</v>
      </c>
      <c r="I261">
        <v>759.6</v>
      </c>
    </row>
    <row r="262" spans="1:9" x14ac:dyDescent="0.25">
      <c r="A262">
        <v>261</v>
      </c>
      <c r="B262">
        <v>39</v>
      </c>
      <c r="C262" t="s">
        <v>45</v>
      </c>
      <c r="D262">
        <v>117432</v>
      </c>
      <c r="E262">
        <v>96</v>
      </c>
      <c r="F262">
        <v>7</v>
      </c>
      <c r="G262">
        <v>41</v>
      </c>
      <c r="H262" t="s">
        <v>15</v>
      </c>
      <c r="I262">
        <v>25.44</v>
      </c>
    </row>
    <row r="263" spans="1:9" x14ac:dyDescent="0.25">
      <c r="A263">
        <v>262</v>
      </c>
      <c r="B263">
        <v>60</v>
      </c>
      <c r="C263" t="s">
        <v>45</v>
      </c>
      <c r="D263">
        <v>45827</v>
      </c>
      <c r="E263">
        <v>18</v>
      </c>
      <c r="F263">
        <v>2</v>
      </c>
      <c r="G263">
        <v>47</v>
      </c>
      <c r="H263" t="s">
        <v>14</v>
      </c>
      <c r="I263">
        <v>599.66</v>
      </c>
    </row>
    <row r="264" spans="1:9" x14ac:dyDescent="0.25">
      <c r="A264">
        <v>263</v>
      </c>
      <c r="B264">
        <v>64</v>
      </c>
      <c r="C264" t="s">
        <v>45</v>
      </c>
      <c r="D264">
        <v>115366</v>
      </c>
      <c r="E264">
        <v>68</v>
      </c>
      <c r="F264">
        <v>9</v>
      </c>
      <c r="G264">
        <v>28</v>
      </c>
      <c r="H264" t="s">
        <v>14</v>
      </c>
      <c r="I264">
        <v>934.88</v>
      </c>
    </row>
    <row r="265" spans="1:9" x14ac:dyDescent="0.25">
      <c r="A265">
        <v>264</v>
      </c>
      <c r="B265">
        <v>57</v>
      </c>
      <c r="C265" t="s">
        <v>18</v>
      </c>
      <c r="D265">
        <v>31451</v>
      </c>
      <c r="E265">
        <v>75</v>
      </c>
      <c r="F265">
        <v>3</v>
      </c>
      <c r="G265">
        <v>8</v>
      </c>
      <c r="H265" t="s">
        <v>14</v>
      </c>
      <c r="I265">
        <v>611.79</v>
      </c>
    </row>
    <row r="266" spans="1:9" x14ac:dyDescent="0.25">
      <c r="A266">
        <v>265</v>
      </c>
      <c r="B266">
        <v>63</v>
      </c>
      <c r="C266" t="s">
        <v>12</v>
      </c>
      <c r="D266">
        <v>142287</v>
      </c>
      <c r="E266">
        <v>77</v>
      </c>
      <c r="F266">
        <v>10</v>
      </c>
      <c r="G266">
        <v>44</v>
      </c>
      <c r="H266" t="s">
        <v>17</v>
      </c>
      <c r="I266">
        <v>785.29</v>
      </c>
    </row>
    <row r="267" spans="1:9" x14ac:dyDescent="0.25">
      <c r="A267">
        <v>266</v>
      </c>
      <c r="B267">
        <v>53</v>
      </c>
      <c r="C267" t="s">
        <v>45</v>
      </c>
      <c r="D267">
        <v>84616</v>
      </c>
      <c r="E267">
        <v>68</v>
      </c>
      <c r="F267">
        <v>10</v>
      </c>
      <c r="G267">
        <v>8</v>
      </c>
      <c r="H267" t="s">
        <v>13</v>
      </c>
      <c r="I267">
        <v>543.30999999999995</v>
      </c>
    </row>
    <row r="268" spans="1:9" x14ac:dyDescent="0.25">
      <c r="A268">
        <v>267</v>
      </c>
      <c r="B268">
        <v>57</v>
      </c>
      <c r="C268" t="s">
        <v>18</v>
      </c>
      <c r="D268">
        <v>114972</v>
      </c>
      <c r="E268">
        <v>42</v>
      </c>
      <c r="F268">
        <v>9</v>
      </c>
      <c r="G268">
        <v>12</v>
      </c>
      <c r="H268" t="s">
        <v>13</v>
      </c>
      <c r="I268">
        <v>999.74</v>
      </c>
    </row>
    <row r="269" spans="1:9" x14ac:dyDescent="0.25">
      <c r="A269">
        <v>268</v>
      </c>
      <c r="B269">
        <v>23</v>
      </c>
      <c r="C269" t="s">
        <v>45</v>
      </c>
      <c r="D269">
        <v>101024</v>
      </c>
      <c r="E269">
        <v>29</v>
      </c>
      <c r="F269">
        <v>3</v>
      </c>
      <c r="G269">
        <v>41</v>
      </c>
      <c r="H269" t="s">
        <v>16</v>
      </c>
      <c r="I269">
        <v>484.85</v>
      </c>
    </row>
    <row r="270" spans="1:9" x14ac:dyDescent="0.25">
      <c r="A270">
        <v>269</v>
      </c>
      <c r="B270">
        <v>33</v>
      </c>
      <c r="C270" t="s">
        <v>18</v>
      </c>
      <c r="D270">
        <v>118116</v>
      </c>
      <c r="E270">
        <v>100</v>
      </c>
      <c r="F270">
        <v>9</v>
      </c>
      <c r="G270">
        <v>48</v>
      </c>
      <c r="H270" t="s">
        <v>15</v>
      </c>
      <c r="I270">
        <v>21.9</v>
      </c>
    </row>
    <row r="271" spans="1:9" x14ac:dyDescent="0.25">
      <c r="A271">
        <v>270</v>
      </c>
      <c r="B271">
        <v>28</v>
      </c>
      <c r="C271" t="s">
        <v>18</v>
      </c>
      <c r="D271">
        <v>49020</v>
      </c>
      <c r="E271">
        <v>75</v>
      </c>
      <c r="F271">
        <v>9</v>
      </c>
      <c r="G271">
        <v>49</v>
      </c>
      <c r="H271" t="s">
        <v>14</v>
      </c>
      <c r="I271">
        <v>109.03</v>
      </c>
    </row>
    <row r="272" spans="1:9" x14ac:dyDescent="0.25">
      <c r="A272">
        <v>271</v>
      </c>
      <c r="B272">
        <v>69</v>
      </c>
      <c r="C272" t="s">
        <v>12</v>
      </c>
      <c r="D272">
        <v>47458</v>
      </c>
      <c r="E272">
        <v>14</v>
      </c>
      <c r="F272">
        <v>2</v>
      </c>
      <c r="G272">
        <v>10</v>
      </c>
      <c r="H272" t="s">
        <v>16</v>
      </c>
      <c r="I272">
        <v>874.32</v>
      </c>
    </row>
    <row r="273" spans="1:9" x14ac:dyDescent="0.25">
      <c r="A273">
        <v>272</v>
      </c>
      <c r="B273">
        <v>52</v>
      </c>
      <c r="C273" t="s">
        <v>18</v>
      </c>
      <c r="D273">
        <v>104033</v>
      </c>
      <c r="E273">
        <v>6</v>
      </c>
      <c r="F273">
        <v>5</v>
      </c>
      <c r="G273">
        <v>15</v>
      </c>
      <c r="H273" t="s">
        <v>17</v>
      </c>
      <c r="I273">
        <v>192.31</v>
      </c>
    </row>
    <row r="274" spans="1:9" x14ac:dyDescent="0.25">
      <c r="A274">
        <v>273</v>
      </c>
      <c r="B274">
        <v>47</v>
      </c>
      <c r="C274" t="s">
        <v>45</v>
      </c>
      <c r="D274">
        <v>84117</v>
      </c>
      <c r="E274">
        <v>74</v>
      </c>
      <c r="F274">
        <v>9</v>
      </c>
      <c r="G274">
        <v>17</v>
      </c>
      <c r="H274" t="s">
        <v>13</v>
      </c>
      <c r="I274">
        <v>886.08</v>
      </c>
    </row>
    <row r="275" spans="1:9" x14ac:dyDescent="0.25">
      <c r="A275">
        <v>274</v>
      </c>
      <c r="B275">
        <v>60</v>
      </c>
      <c r="C275" t="s">
        <v>45</v>
      </c>
      <c r="D275">
        <v>107232</v>
      </c>
      <c r="E275">
        <v>68</v>
      </c>
      <c r="F275">
        <v>4</v>
      </c>
      <c r="G275">
        <v>48</v>
      </c>
      <c r="H275" t="s">
        <v>17</v>
      </c>
      <c r="I275">
        <v>730.8</v>
      </c>
    </row>
    <row r="276" spans="1:9" x14ac:dyDescent="0.25">
      <c r="A276">
        <v>275</v>
      </c>
      <c r="B276">
        <v>22</v>
      </c>
      <c r="C276" t="s">
        <v>45</v>
      </c>
      <c r="D276">
        <v>128623</v>
      </c>
      <c r="E276">
        <v>88</v>
      </c>
      <c r="F276">
        <v>5</v>
      </c>
      <c r="G276">
        <v>20</v>
      </c>
      <c r="H276" t="s">
        <v>17</v>
      </c>
      <c r="I276">
        <v>609.57000000000005</v>
      </c>
    </row>
    <row r="277" spans="1:9" x14ac:dyDescent="0.25">
      <c r="A277">
        <v>276</v>
      </c>
      <c r="B277">
        <v>39</v>
      </c>
      <c r="C277" t="s">
        <v>18</v>
      </c>
      <c r="D277">
        <v>39931</v>
      </c>
      <c r="E277">
        <v>43</v>
      </c>
      <c r="F277">
        <v>1</v>
      </c>
      <c r="G277">
        <v>28</v>
      </c>
      <c r="H277" t="s">
        <v>16</v>
      </c>
      <c r="I277">
        <v>261.36</v>
      </c>
    </row>
    <row r="278" spans="1:9" x14ac:dyDescent="0.25">
      <c r="A278">
        <v>277</v>
      </c>
      <c r="B278">
        <v>53</v>
      </c>
      <c r="C278" t="s">
        <v>45</v>
      </c>
      <c r="D278">
        <v>94392</v>
      </c>
      <c r="E278">
        <v>38</v>
      </c>
      <c r="F278">
        <v>5</v>
      </c>
      <c r="G278">
        <v>11</v>
      </c>
      <c r="H278" t="s">
        <v>17</v>
      </c>
      <c r="I278">
        <v>997.24</v>
      </c>
    </row>
    <row r="279" spans="1:9" x14ac:dyDescent="0.25">
      <c r="A279">
        <v>278</v>
      </c>
      <c r="B279">
        <v>63</v>
      </c>
      <c r="C279" t="s">
        <v>12</v>
      </c>
      <c r="D279">
        <v>48225</v>
      </c>
      <c r="E279">
        <v>24</v>
      </c>
      <c r="F279">
        <v>6</v>
      </c>
      <c r="G279">
        <v>14</v>
      </c>
      <c r="H279" t="s">
        <v>17</v>
      </c>
      <c r="I279">
        <v>764.05</v>
      </c>
    </row>
    <row r="280" spans="1:9" x14ac:dyDescent="0.25">
      <c r="A280">
        <v>279</v>
      </c>
      <c r="B280">
        <v>47</v>
      </c>
      <c r="C280" t="s">
        <v>45</v>
      </c>
      <c r="D280">
        <v>95656</v>
      </c>
      <c r="E280">
        <v>63</v>
      </c>
      <c r="F280">
        <v>2</v>
      </c>
      <c r="G280">
        <v>30</v>
      </c>
      <c r="H280" t="s">
        <v>14</v>
      </c>
      <c r="I280">
        <v>634.19000000000005</v>
      </c>
    </row>
    <row r="281" spans="1:9" x14ac:dyDescent="0.25">
      <c r="A281">
        <v>280</v>
      </c>
      <c r="B281">
        <v>53</v>
      </c>
      <c r="C281" t="s">
        <v>18</v>
      </c>
      <c r="D281">
        <v>61826</v>
      </c>
      <c r="E281">
        <v>96</v>
      </c>
      <c r="F281">
        <v>1</v>
      </c>
      <c r="G281">
        <v>14</v>
      </c>
      <c r="H281" t="s">
        <v>17</v>
      </c>
      <c r="I281">
        <v>577</v>
      </c>
    </row>
    <row r="282" spans="1:9" x14ac:dyDescent="0.25">
      <c r="A282">
        <v>281</v>
      </c>
      <c r="B282">
        <v>61</v>
      </c>
      <c r="C282" t="s">
        <v>45</v>
      </c>
      <c r="D282">
        <v>47689</v>
      </c>
      <c r="E282">
        <v>46</v>
      </c>
      <c r="F282">
        <v>4</v>
      </c>
      <c r="G282">
        <v>42</v>
      </c>
      <c r="H282" t="s">
        <v>13</v>
      </c>
      <c r="I282">
        <v>802.44</v>
      </c>
    </row>
    <row r="283" spans="1:9" x14ac:dyDescent="0.25">
      <c r="A283">
        <v>282</v>
      </c>
      <c r="B283">
        <v>34</v>
      </c>
      <c r="C283" t="s">
        <v>12</v>
      </c>
      <c r="D283">
        <v>68250</v>
      </c>
      <c r="E283">
        <v>9</v>
      </c>
      <c r="F283">
        <v>10</v>
      </c>
      <c r="G283">
        <v>26</v>
      </c>
      <c r="H283" t="s">
        <v>17</v>
      </c>
      <c r="I283">
        <v>835.06</v>
      </c>
    </row>
    <row r="284" spans="1:9" x14ac:dyDescent="0.25">
      <c r="A284">
        <v>283</v>
      </c>
      <c r="B284">
        <v>33</v>
      </c>
      <c r="C284" t="s">
        <v>12</v>
      </c>
      <c r="D284">
        <v>113187</v>
      </c>
      <c r="E284">
        <v>27</v>
      </c>
      <c r="F284">
        <v>9</v>
      </c>
      <c r="G284">
        <v>46</v>
      </c>
      <c r="H284" t="s">
        <v>14</v>
      </c>
      <c r="I284">
        <v>886.3</v>
      </c>
    </row>
    <row r="285" spans="1:9" x14ac:dyDescent="0.25">
      <c r="A285">
        <v>284</v>
      </c>
      <c r="B285">
        <v>43</v>
      </c>
      <c r="C285" t="s">
        <v>12</v>
      </c>
      <c r="D285">
        <v>77006</v>
      </c>
      <c r="E285">
        <v>27</v>
      </c>
      <c r="F285">
        <v>3</v>
      </c>
      <c r="G285">
        <v>36</v>
      </c>
      <c r="H285" t="s">
        <v>14</v>
      </c>
      <c r="I285">
        <v>223.98</v>
      </c>
    </row>
    <row r="286" spans="1:9" x14ac:dyDescent="0.25">
      <c r="A286">
        <v>285</v>
      </c>
      <c r="B286">
        <v>63</v>
      </c>
      <c r="C286" t="s">
        <v>18</v>
      </c>
      <c r="D286">
        <v>121652</v>
      </c>
      <c r="E286">
        <v>20</v>
      </c>
      <c r="F286">
        <v>1</v>
      </c>
      <c r="G286">
        <v>26</v>
      </c>
      <c r="H286" t="s">
        <v>15</v>
      </c>
      <c r="I286">
        <v>169.58</v>
      </c>
    </row>
    <row r="287" spans="1:9" x14ac:dyDescent="0.25">
      <c r="A287">
        <v>286</v>
      </c>
      <c r="B287">
        <v>51</v>
      </c>
      <c r="C287" t="s">
        <v>12</v>
      </c>
      <c r="D287">
        <v>124670</v>
      </c>
      <c r="E287">
        <v>66</v>
      </c>
      <c r="F287">
        <v>2</v>
      </c>
      <c r="G287">
        <v>43</v>
      </c>
      <c r="H287" t="s">
        <v>17</v>
      </c>
      <c r="I287">
        <v>184.8</v>
      </c>
    </row>
    <row r="288" spans="1:9" x14ac:dyDescent="0.25">
      <c r="A288">
        <v>287</v>
      </c>
      <c r="B288">
        <v>31</v>
      </c>
      <c r="C288" t="s">
        <v>12</v>
      </c>
      <c r="D288">
        <v>119460</v>
      </c>
      <c r="E288">
        <v>69</v>
      </c>
      <c r="F288">
        <v>2</v>
      </c>
      <c r="G288">
        <v>22</v>
      </c>
      <c r="H288" t="s">
        <v>17</v>
      </c>
      <c r="I288">
        <v>486.21</v>
      </c>
    </row>
    <row r="289" spans="1:9" x14ac:dyDescent="0.25">
      <c r="A289">
        <v>288</v>
      </c>
      <c r="B289">
        <v>56</v>
      </c>
      <c r="C289" t="s">
        <v>12</v>
      </c>
      <c r="D289">
        <v>117922</v>
      </c>
      <c r="E289">
        <v>69</v>
      </c>
      <c r="F289">
        <v>2</v>
      </c>
      <c r="G289">
        <v>41</v>
      </c>
      <c r="H289" t="s">
        <v>13</v>
      </c>
      <c r="I289">
        <v>98.83</v>
      </c>
    </row>
    <row r="290" spans="1:9" x14ac:dyDescent="0.25">
      <c r="A290">
        <v>289</v>
      </c>
      <c r="B290">
        <v>38</v>
      </c>
      <c r="C290" t="s">
        <v>12</v>
      </c>
      <c r="D290">
        <v>84577</v>
      </c>
      <c r="E290">
        <v>70</v>
      </c>
      <c r="F290">
        <v>7</v>
      </c>
      <c r="G290">
        <v>27</v>
      </c>
      <c r="H290" t="s">
        <v>15</v>
      </c>
      <c r="I290">
        <v>631.28</v>
      </c>
    </row>
    <row r="291" spans="1:9" x14ac:dyDescent="0.25">
      <c r="A291">
        <v>290</v>
      </c>
      <c r="B291">
        <v>43</v>
      </c>
      <c r="C291" t="s">
        <v>12</v>
      </c>
      <c r="D291">
        <v>64136</v>
      </c>
      <c r="E291">
        <v>61</v>
      </c>
      <c r="F291">
        <v>1</v>
      </c>
      <c r="G291">
        <v>19</v>
      </c>
      <c r="H291" t="s">
        <v>14</v>
      </c>
      <c r="I291">
        <v>680.92</v>
      </c>
    </row>
    <row r="292" spans="1:9" x14ac:dyDescent="0.25">
      <c r="A292">
        <v>291</v>
      </c>
      <c r="B292">
        <v>45</v>
      </c>
      <c r="C292" t="s">
        <v>18</v>
      </c>
      <c r="D292">
        <v>57845</v>
      </c>
      <c r="E292">
        <v>32</v>
      </c>
      <c r="F292">
        <v>6</v>
      </c>
      <c r="G292">
        <v>41</v>
      </c>
      <c r="H292" t="s">
        <v>17</v>
      </c>
      <c r="I292">
        <v>934.34</v>
      </c>
    </row>
    <row r="293" spans="1:9" x14ac:dyDescent="0.25">
      <c r="A293">
        <v>292</v>
      </c>
      <c r="B293">
        <v>62</v>
      </c>
      <c r="C293" t="s">
        <v>45</v>
      </c>
      <c r="D293">
        <v>38250</v>
      </c>
      <c r="E293">
        <v>63</v>
      </c>
      <c r="F293">
        <v>5</v>
      </c>
      <c r="G293">
        <v>22</v>
      </c>
      <c r="H293" t="s">
        <v>13</v>
      </c>
      <c r="I293">
        <v>723.93</v>
      </c>
    </row>
    <row r="294" spans="1:9" x14ac:dyDescent="0.25">
      <c r="A294">
        <v>293</v>
      </c>
      <c r="B294">
        <v>45</v>
      </c>
      <c r="C294" t="s">
        <v>45</v>
      </c>
      <c r="D294">
        <v>54819</v>
      </c>
      <c r="E294">
        <v>72</v>
      </c>
      <c r="F294">
        <v>3</v>
      </c>
      <c r="G294">
        <v>47</v>
      </c>
      <c r="H294" t="s">
        <v>15</v>
      </c>
      <c r="I294">
        <v>553.44000000000005</v>
      </c>
    </row>
    <row r="295" spans="1:9" x14ac:dyDescent="0.25">
      <c r="A295">
        <v>294</v>
      </c>
      <c r="B295">
        <v>47</v>
      </c>
      <c r="C295" t="s">
        <v>45</v>
      </c>
      <c r="D295">
        <v>89077</v>
      </c>
      <c r="E295">
        <v>43</v>
      </c>
      <c r="F295">
        <v>1</v>
      </c>
      <c r="G295">
        <v>35</v>
      </c>
      <c r="H295" t="s">
        <v>17</v>
      </c>
      <c r="I295">
        <v>547.85</v>
      </c>
    </row>
    <row r="296" spans="1:9" x14ac:dyDescent="0.25">
      <c r="A296">
        <v>295</v>
      </c>
      <c r="B296">
        <v>18</v>
      </c>
      <c r="C296" t="s">
        <v>45</v>
      </c>
      <c r="D296">
        <v>135713</v>
      </c>
      <c r="E296">
        <v>79</v>
      </c>
      <c r="F296">
        <v>7</v>
      </c>
      <c r="G296">
        <v>18</v>
      </c>
      <c r="H296" t="s">
        <v>14</v>
      </c>
      <c r="I296">
        <v>871.12</v>
      </c>
    </row>
    <row r="297" spans="1:9" x14ac:dyDescent="0.25">
      <c r="A297">
        <v>296</v>
      </c>
      <c r="B297">
        <v>56</v>
      </c>
      <c r="C297" t="s">
        <v>45</v>
      </c>
      <c r="D297">
        <v>129611</v>
      </c>
      <c r="E297">
        <v>23</v>
      </c>
      <c r="F297">
        <v>3</v>
      </c>
      <c r="G297">
        <v>48</v>
      </c>
      <c r="H297" t="s">
        <v>15</v>
      </c>
      <c r="I297">
        <v>98.85</v>
      </c>
    </row>
    <row r="298" spans="1:9" x14ac:dyDescent="0.25">
      <c r="A298">
        <v>297</v>
      </c>
      <c r="B298">
        <v>40</v>
      </c>
      <c r="C298" t="s">
        <v>12</v>
      </c>
      <c r="D298">
        <v>97995</v>
      </c>
      <c r="E298">
        <v>47</v>
      </c>
      <c r="F298">
        <v>4</v>
      </c>
      <c r="G298">
        <v>9</v>
      </c>
      <c r="H298" t="s">
        <v>15</v>
      </c>
      <c r="I298">
        <v>101.35</v>
      </c>
    </row>
    <row r="299" spans="1:9" x14ac:dyDescent="0.25">
      <c r="A299">
        <v>298</v>
      </c>
      <c r="B299">
        <v>39</v>
      </c>
      <c r="C299" t="s">
        <v>12</v>
      </c>
      <c r="D299">
        <v>132488</v>
      </c>
      <c r="E299">
        <v>40</v>
      </c>
      <c r="F299">
        <v>5</v>
      </c>
      <c r="G299">
        <v>37</v>
      </c>
      <c r="H299" t="s">
        <v>15</v>
      </c>
      <c r="I299">
        <v>82.16</v>
      </c>
    </row>
    <row r="300" spans="1:9" x14ac:dyDescent="0.25">
      <c r="A300">
        <v>299</v>
      </c>
      <c r="B300">
        <v>59</v>
      </c>
      <c r="C300" t="s">
        <v>12</v>
      </c>
      <c r="D300">
        <v>36383</v>
      </c>
      <c r="E300">
        <v>5</v>
      </c>
      <c r="F300">
        <v>6</v>
      </c>
      <c r="G300">
        <v>31</v>
      </c>
      <c r="H300" t="s">
        <v>16</v>
      </c>
      <c r="I300">
        <v>82.77</v>
      </c>
    </row>
    <row r="301" spans="1:9" x14ac:dyDescent="0.25">
      <c r="A301">
        <v>300</v>
      </c>
      <c r="B301">
        <v>55</v>
      </c>
      <c r="C301" t="s">
        <v>45</v>
      </c>
      <c r="D301">
        <v>144624</v>
      </c>
      <c r="E301">
        <v>38</v>
      </c>
      <c r="F301">
        <v>2</v>
      </c>
      <c r="G301">
        <v>23</v>
      </c>
      <c r="H301" t="s">
        <v>16</v>
      </c>
      <c r="I301">
        <v>652.26</v>
      </c>
    </row>
    <row r="302" spans="1:9" x14ac:dyDescent="0.25">
      <c r="A302">
        <v>301</v>
      </c>
      <c r="B302">
        <v>52</v>
      </c>
      <c r="C302" t="s">
        <v>18</v>
      </c>
      <c r="D302">
        <v>106147</v>
      </c>
      <c r="E302">
        <v>2</v>
      </c>
      <c r="F302">
        <v>6</v>
      </c>
      <c r="G302">
        <v>19</v>
      </c>
      <c r="H302" t="s">
        <v>16</v>
      </c>
      <c r="I302">
        <v>412.65</v>
      </c>
    </row>
    <row r="303" spans="1:9" x14ac:dyDescent="0.25">
      <c r="A303">
        <v>302</v>
      </c>
      <c r="B303">
        <v>50</v>
      </c>
      <c r="C303" t="s">
        <v>45</v>
      </c>
      <c r="D303">
        <v>130668</v>
      </c>
      <c r="E303">
        <v>39</v>
      </c>
      <c r="F303">
        <v>5</v>
      </c>
      <c r="G303">
        <v>25</v>
      </c>
      <c r="H303" t="s">
        <v>13</v>
      </c>
      <c r="I303">
        <v>69.81</v>
      </c>
    </row>
    <row r="304" spans="1:9" x14ac:dyDescent="0.25">
      <c r="A304">
        <v>303</v>
      </c>
      <c r="B304">
        <v>59</v>
      </c>
      <c r="C304" t="s">
        <v>18</v>
      </c>
      <c r="D304">
        <v>57745</v>
      </c>
      <c r="E304">
        <v>33</v>
      </c>
      <c r="F304">
        <v>7</v>
      </c>
      <c r="G304">
        <v>42</v>
      </c>
      <c r="H304" t="s">
        <v>14</v>
      </c>
      <c r="I304">
        <v>492.87</v>
      </c>
    </row>
    <row r="305" spans="1:9" x14ac:dyDescent="0.25">
      <c r="A305">
        <v>304</v>
      </c>
      <c r="B305">
        <v>50</v>
      </c>
      <c r="C305" t="s">
        <v>18</v>
      </c>
      <c r="D305">
        <v>78296</v>
      </c>
      <c r="E305">
        <v>93</v>
      </c>
      <c r="F305">
        <v>9</v>
      </c>
      <c r="G305">
        <v>47</v>
      </c>
      <c r="H305" t="s">
        <v>14</v>
      </c>
      <c r="I305">
        <v>559.16</v>
      </c>
    </row>
    <row r="306" spans="1:9" x14ac:dyDescent="0.25">
      <c r="A306">
        <v>305</v>
      </c>
      <c r="B306">
        <v>32</v>
      </c>
      <c r="C306" t="s">
        <v>12</v>
      </c>
      <c r="D306">
        <v>39407</v>
      </c>
      <c r="E306">
        <v>50</v>
      </c>
      <c r="F306">
        <v>6</v>
      </c>
      <c r="G306">
        <v>13</v>
      </c>
      <c r="H306" t="s">
        <v>15</v>
      </c>
      <c r="I306">
        <v>844.22</v>
      </c>
    </row>
    <row r="307" spans="1:9" x14ac:dyDescent="0.25">
      <c r="A307">
        <v>306</v>
      </c>
      <c r="B307">
        <v>48</v>
      </c>
      <c r="C307" t="s">
        <v>12</v>
      </c>
      <c r="D307">
        <v>39407</v>
      </c>
      <c r="E307">
        <v>82</v>
      </c>
      <c r="F307">
        <v>5</v>
      </c>
      <c r="G307">
        <v>27</v>
      </c>
      <c r="H307" t="s">
        <v>15</v>
      </c>
      <c r="I307">
        <v>463.07</v>
      </c>
    </row>
    <row r="308" spans="1:9" x14ac:dyDescent="0.25">
      <c r="A308">
        <v>307</v>
      </c>
      <c r="B308">
        <v>26</v>
      </c>
      <c r="C308" t="s">
        <v>45</v>
      </c>
      <c r="D308">
        <v>135530</v>
      </c>
      <c r="E308">
        <v>81</v>
      </c>
      <c r="F308">
        <v>2</v>
      </c>
      <c r="G308">
        <v>12</v>
      </c>
      <c r="H308" t="s">
        <v>13</v>
      </c>
      <c r="I308">
        <v>126.35</v>
      </c>
    </row>
    <row r="309" spans="1:9" x14ac:dyDescent="0.25">
      <c r="A309">
        <v>308</v>
      </c>
      <c r="B309">
        <v>54</v>
      </c>
      <c r="C309" t="s">
        <v>18</v>
      </c>
      <c r="D309">
        <v>76995</v>
      </c>
      <c r="E309">
        <v>14</v>
      </c>
      <c r="F309">
        <v>3</v>
      </c>
      <c r="G309">
        <v>46</v>
      </c>
      <c r="H309" t="s">
        <v>14</v>
      </c>
      <c r="I309">
        <v>685.09</v>
      </c>
    </row>
    <row r="310" spans="1:9" x14ac:dyDescent="0.25">
      <c r="A310">
        <v>309</v>
      </c>
      <c r="B310">
        <v>64</v>
      </c>
      <c r="C310" t="s">
        <v>18</v>
      </c>
      <c r="D310">
        <v>96182</v>
      </c>
      <c r="E310">
        <v>44</v>
      </c>
      <c r="F310">
        <v>4</v>
      </c>
      <c r="G310">
        <v>8</v>
      </c>
      <c r="H310" t="s">
        <v>16</v>
      </c>
      <c r="I310">
        <v>509.31</v>
      </c>
    </row>
    <row r="311" spans="1:9" x14ac:dyDescent="0.25">
      <c r="A311">
        <v>310</v>
      </c>
      <c r="B311">
        <v>50</v>
      </c>
      <c r="C311" t="s">
        <v>12</v>
      </c>
      <c r="D311">
        <v>100320</v>
      </c>
      <c r="E311">
        <v>45</v>
      </c>
      <c r="F311">
        <v>7</v>
      </c>
      <c r="G311">
        <v>29</v>
      </c>
      <c r="H311" t="s">
        <v>15</v>
      </c>
      <c r="I311">
        <v>139.38999999999999</v>
      </c>
    </row>
    <row r="312" spans="1:9" x14ac:dyDescent="0.25">
      <c r="A312">
        <v>311</v>
      </c>
      <c r="B312">
        <v>53</v>
      </c>
      <c r="C312" t="s">
        <v>12</v>
      </c>
      <c r="D312">
        <v>138922</v>
      </c>
      <c r="E312">
        <v>45</v>
      </c>
      <c r="F312">
        <v>5</v>
      </c>
      <c r="G312">
        <v>22</v>
      </c>
      <c r="H312" t="s">
        <v>14</v>
      </c>
      <c r="I312">
        <v>154.06</v>
      </c>
    </row>
    <row r="313" spans="1:9" x14ac:dyDescent="0.25">
      <c r="A313">
        <v>312</v>
      </c>
      <c r="B313">
        <v>30</v>
      </c>
      <c r="C313" t="s">
        <v>12</v>
      </c>
      <c r="D313">
        <v>143200</v>
      </c>
      <c r="E313">
        <v>38</v>
      </c>
      <c r="F313">
        <v>8</v>
      </c>
      <c r="G313">
        <v>30</v>
      </c>
      <c r="H313" t="s">
        <v>15</v>
      </c>
      <c r="I313">
        <v>684.43</v>
      </c>
    </row>
    <row r="314" spans="1:9" x14ac:dyDescent="0.25">
      <c r="A314">
        <v>313</v>
      </c>
      <c r="B314">
        <v>69</v>
      </c>
      <c r="C314" t="s">
        <v>45</v>
      </c>
      <c r="D314">
        <v>35218</v>
      </c>
      <c r="E314">
        <v>47</v>
      </c>
      <c r="F314">
        <v>4</v>
      </c>
      <c r="G314">
        <v>33</v>
      </c>
      <c r="H314" t="s">
        <v>14</v>
      </c>
      <c r="I314">
        <v>315.49</v>
      </c>
    </row>
    <row r="315" spans="1:9" x14ac:dyDescent="0.25">
      <c r="A315">
        <v>314</v>
      </c>
      <c r="B315">
        <v>44</v>
      </c>
      <c r="C315" t="s">
        <v>12</v>
      </c>
      <c r="D315">
        <v>141748</v>
      </c>
      <c r="E315">
        <v>55</v>
      </c>
      <c r="F315">
        <v>2</v>
      </c>
      <c r="G315">
        <v>50</v>
      </c>
      <c r="H315" t="s">
        <v>16</v>
      </c>
      <c r="I315">
        <v>897.57</v>
      </c>
    </row>
    <row r="316" spans="1:9" x14ac:dyDescent="0.25">
      <c r="A316">
        <v>315</v>
      </c>
      <c r="B316">
        <v>68</v>
      </c>
      <c r="C316" t="s">
        <v>18</v>
      </c>
      <c r="D316">
        <v>62971</v>
      </c>
      <c r="E316">
        <v>27</v>
      </c>
      <c r="F316">
        <v>8</v>
      </c>
      <c r="G316">
        <v>17</v>
      </c>
      <c r="H316" t="s">
        <v>14</v>
      </c>
      <c r="I316">
        <v>85.45</v>
      </c>
    </row>
    <row r="317" spans="1:9" x14ac:dyDescent="0.25">
      <c r="A317">
        <v>316</v>
      </c>
      <c r="B317">
        <v>20</v>
      </c>
      <c r="C317" t="s">
        <v>18</v>
      </c>
      <c r="D317">
        <v>57260</v>
      </c>
      <c r="E317">
        <v>47</v>
      </c>
      <c r="F317">
        <v>2</v>
      </c>
      <c r="G317">
        <v>49</v>
      </c>
      <c r="H317" t="s">
        <v>14</v>
      </c>
      <c r="I317">
        <v>506.7</v>
      </c>
    </row>
    <row r="318" spans="1:9" x14ac:dyDescent="0.25">
      <c r="A318">
        <v>317</v>
      </c>
      <c r="B318">
        <v>18</v>
      </c>
      <c r="C318" t="s">
        <v>45</v>
      </c>
      <c r="D318">
        <v>92363</v>
      </c>
      <c r="E318">
        <v>84</v>
      </c>
      <c r="F318">
        <v>1</v>
      </c>
      <c r="G318">
        <v>10</v>
      </c>
      <c r="H318" t="s">
        <v>14</v>
      </c>
      <c r="I318">
        <v>539.74</v>
      </c>
    </row>
    <row r="319" spans="1:9" x14ac:dyDescent="0.25">
      <c r="A319">
        <v>318</v>
      </c>
      <c r="B319">
        <v>23</v>
      </c>
      <c r="C319" t="s">
        <v>45</v>
      </c>
      <c r="D319">
        <v>84664</v>
      </c>
      <c r="E319">
        <v>45</v>
      </c>
      <c r="F319">
        <v>5</v>
      </c>
      <c r="G319">
        <v>12</v>
      </c>
      <c r="H319" t="s">
        <v>14</v>
      </c>
      <c r="I319">
        <v>592.72</v>
      </c>
    </row>
    <row r="320" spans="1:9" x14ac:dyDescent="0.25">
      <c r="A320">
        <v>319</v>
      </c>
      <c r="B320">
        <v>61</v>
      </c>
      <c r="C320" t="s">
        <v>45</v>
      </c>
      <c r="D320">
        <v>47790</v>
      </c>
      <c r="E320">
        <v>67</v>
      </c>
      <c r="F320">
        <v>9</v>
      </c>
      <c r="G320">
        <v>5</v>
      </c>
      <c r="H320" t="s">
        <v>13</v>
      </c>
      <c r="I320">
        <v>714.29</v>
      </c>
    </row>
    <row r="321" spans="1:9" x14ac:dyDescent="0.25">
      <c r="A321">
        <v>320</v>
      </c>
      <c r="B321">
        <v>34</v>
      </c>
      <c r="C321" t="s">
        <v>12</v>
      </c>
      <c r="D321">
        <v>31668</v>
      </c>
      <c r="E321">
        <v>43</v>
      </c>
      <c r="F321">
        <v>5</v>
      </c>
      <c r="G321">
        <v>40</v>
      </c>
      <c r="H321" t="s">
        <v>17</v>
      </c>
      <c r="I321">
        <v>117.01</v>
      </c>
    </row>
    <row r="322" spans="1:9" x14ac:dyDescent="0.25">
      <c r="A322">
        <v>321</v>
      </c>
      <c r="B322">
        <v>43</v>
      </c>
      <c r="C322" t="s">
        <v>18</v>
      </c>
      <c r="D322">
        <v>78858</v>
      </c>
      <c r="E322">
        <v>4</v>
      </c>
      <c r="F322">
        <v>3</v>
      </c>
      <c r="G322">
        <v>38</v>
      </c>
      <c r="H322" t="s">
        <v>15</v>
      </c>
      <c r="I322">
        <v>261.19</v>
      </c>
    </row>
    <row r="323" spans="1:9" x14ac:dyDescent="0.25">
      <c r="A323">
        <v>322</v>
      </c>
      <c r="B323">
        <v>46</v>
      </c>
      <c r="C323" t="s">
        <v>45</v>
      </c>
      <c r="D323">
        <v>126553</v>
      </c>
      <c r="E323">
        <v>16</v>
      </c>
      <c r="F323">
        <v>2</v>
      </c>
      <c r="G323">
        <v>22</v>
      </c>
      <c r="H323" t="s">
        <v>13</v>
      </c>
      <c r="I323">
        <v>85.56</v>
      </c>
    </row>
    <row r="324" spans="1:9" x14ac:dyDescent="0.25">
      <c r="A324">
        <v>323</v>
      </c>
      <c r="B324">
        <v>55</v>
      </c>
      <c r="C324" t="s">
        <v>45</v>
      </c>
      <c r="D324">
        <v>80006</v>
      </c>
      <c r="E324">
        <v>44</v>
      </c>
      <c r="F324">
        <v>2</v>
      </c>
      <c r="G324">
        <v>49</v>
      </c>
      <c r="H324" t="s">
        <v>17</v>
      </c>
      <c r="I324">
        <v>727.51</v>
      </c>
    </row>
    <row r="325" spans="1:9" x14ac:dyDescent="0.25">
      <c r="A325">
        <v>324</v>
      </c>
      <c r="B325">
        <v>30</v>
      </c>
      <c r="C325" t="s">
        <v>12</v>
      </c>
      <c r="D325">
        <v>119162</v>
      </c>
      <c r="E325">
        <v>15</v>
      </c>
      <c r="F325">
        <v>9</v>
      </c>
      <c r="G325">
        <v>38</v>
      </c>
      <c r="H325" t="s">
        <v>13</v>
      </c>
      <c r="I325">
        <v>937.85</v>
      </c>
    </row>
    <row r="326" spans="1:9" x14ac:dyDescent="0.25">
      <c r="A326">
        <v>325</v>
      </c>
      <c r="B326">
        <v>41</v>
      </c>
      <c r="C326" t="s">
        <v>45</v>
      </c>
      <c r="D326">
        <v>71410</v>
      </c>
      <c r="E326">
        <v>69</v>
      </c>
      <c r="F326">
        <v>1</v>
      </c>
      <c r="G326">
        <v>32</v>
      </c>
      <c r="H326" t="s">
        <v>13</v>
      </c>
      <c r="I326">
        <v>456.67</v>
      </c>
    </row>
    <row r="327" spans="1:9" x14ac:dyDescent="0.25">
      <c r="A327">
        <v>326</v>
      </c>
      <c r="B327">
        <v>59</v>
      </c>
      <c r="C327" t="s">
        <v>45</v>
      </c>
      <c r="D327">
        <v>49020</v>
      </c>
      <c r="E327">
        <v>100</v>
      </c>
      <c r="F327">
        <v>2</v>
      </c>
      <c r="G327">
        <v>42</v>
      </c>
      <c r="H327" t="s">
        <v>16</v>
      </c>
      <c r="I327">
        <v>588.17999999999995</v>
      </c>
    </row>
    <row r="328" spans="1:9" x14ac:dyDescent="0.25">
      <c r="A328">
        <v>327</v>
      </c>
      <c r="B328">
        <v>50</v>
      </c>
      <c r="C328" t="s">
        <v>12</v>
      </c>
      <c r="D328">
        <v>36022</v>
      </c>
      <c r="E328">
        <v>11</v>
      </c>
      <c r="F328">
        <v>6</v>
      </c>
      <c r="G328">
        <v>49</v>
      </c>
      <c r="H328" t="s">
        <v>17</v>
      </c>
      <c r="I328">
        <v>801.59</v>
      </c>
    </row>
    <row r="329" spans="1:9" x14ac:dyDescent="0.25">
      <c r="A329">
        <v>328</v>
      </c>
      <c r="B329">
        <v>41</v>
      </c>
      <c r="C329" t="s">
        <v>18</v>
      </c>
      <c r="D329">
        <v>64634</v>
      </c>
      <c r="E329">
        <v>55</v>
      </c>
      <c r="F329">
        <v>9</v>
      </c>
      <c r="G329">
        <v>44</v>
      </c>
      <c r="H329" t="s">
        <v>16</v>
      </c>
      <c r="I329">
        <v>488.07</v>
      </c>
    </row>
    <row r="330" spans="1:9" x14ac:dyDescent="0.25">
      <c r="A330">
        <v>329</v>
      </c>
      <c r="B330">
        <v>68</v>
      </c>
      <c r="C330" t="s">
        <v>45</v>
      </c>
      <c r="D330">
        <v>76921</v>
      </c>
      <c r="E330">
        <v>79</v>
      </c>
      <c r="F330">
        <v>1</v>
      </c>
      <c r="G330">
        <v>23</v>
      </c>
      <c r="H330" t="s">
        <v>16</v>
      </c>
      <c r="I330">
        <v>122.02</v>
      </c>
    </row>
    <row r="331" spans="1:9" x14ac:dyDescent="0.25">
      <c r="A331">
        <v>330</v>
      </c>
      <c r="B331">
        <v>28</v>
      </c>
      <c r="C331" t="s">
        <v>12</v>
      </c>
      <c r="D331">
        <v>51087</v>
      </c>
      <c r="E331">
        <v>60</v>
      </c>
      <c r="F331">
        <v>4</v>
      </c>
      <c r="G331">
        <v>42</v>
      </c>
      <c r="H331" t="s">
        <v>16</v>
      </c>
      <c r="I331">
        <v>68.31</v>
      </c>
    </row>
    <row r="332" spans="1:9" x14ac:dyDescent="0.25">
      <c r="A332">
        <v>331</v>
      </c>
      <c r="B332">
        <v>30</v>
      </c>
      <c r="C332" t="s">
        <v>12</v>
      </c>
      <c r="D332">
        <v>90651</v>
      </c>
      <c r="E332">
        <v>88</v>
      </c>
      <c r="F332">
        <v>9</v>
      </c>
      <c r="G332">
        <v>37</v>
      </c>
      <c r="H332" t="s">
        <v>16</v>
      </c>
      <c r="I332">
        <v>555.41</v>
      </c>
    </row>
    <row r="333" spans="1:9" x14ac:dyDescent="0.25">
      <c r="A333">
        <v>332</v>
      </c>
      <c r="B333">
        <v>38</v>
      </c>
      <c r="C333" t="s">
        <v>45</v>
      </c>
      <c r="D333">
        <v>50518</v>
      </c>
      <c r="E333">
        <v>70</v>
      </c>
      <c r="F333">
        <v>1</v>
      </c>
      <c r="G333">
        <v>38</v>
      </c>
      <c r="H333" t="s">
        <v>15</v>
      </c>
      <c r="I333">
        <v>816.09</v>
      </c>
    </row>
    <row r="334" spans="1:9" x14ac:dyDescent="0.25">
      <c r="A334">
        <v>333</v>
      </c>
      <c r="B334">
        <v>21</v>
      </c>
      <c r="C334" t="s">
        <v>45</v>
      </c>
      <c r="D334">
        <v>126598</v>
      </c>
      <c r="E334">
        <v>14</v>
      </c>
      <c r="F334">
        <v>3</v>
      </c>
      <c r="G334">
        <v>1</v>
      </c>
      <c r="H334" t="s">
        <v>15</v>
      </c>
      <c r="I334">
        <v>505.98</v>
      </c>
    </row>
    <row r="335" spans="1:9" x14ac:dyDescent="0.25">
      <c r="A335">
        <v>334</v>
      </c>
      <c r="B335">
        <v>58</v>
      </c>
      <c r="C335" t="s">
        <v>45</v>
      </c>
      <c r="D335">
        <v>99475</v>
      </c>
      <c r="E335">
        <v>27</v>
      </c>
      <c r="F335">
        <v>9</v>
      </c>
      <c r="G335">
        <v>9</v>
      </c>
      <c r="H335" t="s">
        <v>16</v>
      </c>
      <c r="I335">
        <v>249.39</v>
      </c>
    </row>
    <row r="336" spans="1:9" x14ac:dyDescent="0.25">
      <c r="A336">
        <v>335</v>
      </c>
      <c r="B336">
        <v>60</v>
      </c>
      <c r="C336" t="s">
        <v>12</v>
      </c>
      <c r="D336">
        <v>145308</v>
      </c>
      <c r="E336">
        <v>83</v>
      </c>
      <c r="F336">
        <v>3</v>
      </c>
      <c r="G336">
        <v>31</v>
      </c>
      <c r="H336" t="s">
        <v>16</v>
      </c>
      <c r="I336">
        <v>53.26</v>
      </c>
    </row>
    <row r="337" spans="1:9" x14ac:dyDescent="0.25">
      <c r="A337">
        <v>336</v>
      </c>
      <c r="B337">
        <v>40</v>
      </c>
      <c r="C337" t="s">
        <v>45</v>
      </c>
      <c r="D337">
        <v>107488</v>
      </c>
      <c r="E337">
        <v>96</v>
      </c>
      <c r="F337">
        <v>7</v>
      </c>
      <c r="G337">
        <v>16</v>
      </c>
      <c r="H337" t="s">
        <v>16</v>
      </c>
      <c r="I337">
        <v>843.6</v>
      </c>
    </row>
    <row r="338" spans="1:9" x14ac:dyDescent="0.25">
      <c r="A338">
        <v>337</v>
      </c>
      <c r="B338">
        <v>58</v>
      </c>
      <c r="C338" t="s">
        <v>12</v>
      </c>
      <c r="D338">
        <v>60768</v>
      </c>
      <c r="E338">
        <v>88</v>
      </c>
      <c r="F338">
        <v>2</v>
      </c>
      <c r="G338">
        <v>38</v>
      </c>
      <c r="H338" t="s">
        <v>16</v>
      </c>
      <c r="I338">
        <v>67.52</v>
      </c>
    </row>
    <row r="339" spans="1:9" x14ac:dyDescent="0.25">
      <c r="A339">
        <v>338</v>
      </c>
      <c r="B339">
        <v>42</v>
      </c>
      <c r="C339" t="s">
        <v>45</v>
      </c>
      <c r="D339">
        <v>115381</v>
      </c>
      <c r="E339">
        <v>70</v>
      </c>
      <c r="F339">
        <v>7</v>
      </c>
      <c r="G339">
        <v>33</v>
      </c>
      <c r="H339" t="s">
        <v>13</v>
      </c>
      <c r="I339">
        <v>592.52</v>
      </c>
    </row>
    <row r="340" spans="1:9" x14ac:dyDescent="0.25">
      <c r="A340">
        <v>339</v>
      </c>
      <c r="B340">
        <v>28</v>
      </c>
      <c r="C340" t="s">
        <v>18</v>
      </c>
      <c r="D340">
        <v>111697</v>
      </c>
      <c r="E340">
        <v>92</v>
      </c>
      <c r="F340">
        <v>9</v>
      </c>
      <c r="G340">
        <v>50</v>
      </c>
      <c r="H340" t="s">
        <v>15</v>
      </c>
      <c r="I340">
        <v>205.58</v>
      </c>
    </row>
    <row r="341" spans="1:9" x14ac:dyDescent="0.25">
      <c r="A341">
        <v>340</v>
      </c>
      <c r="B341">
        <v>48</v>
      </c>
      <c r="C341" t="s">
        <v>45</v>
      </c>
      <c r="D341">
        <v>30374</v>
      </c>
      <c r="E341">
        <v>28</v>
      </c>
      <c r="F341">
        <v>7</v>
      </c>
      <c r="G341">
        <v>34</v>
      </c>
      <c r="H341" t="s">
        <v>16</v>
      </c>
      <c r="I341">
        <v>463.78</v>
      </c>
    </row>
    <row r="342" spans="1:9" x14ac:dyDescent="0.25">
      <c r="A342">
        <v>341</v>
      </c>
      <c r="B342">
        <v>31</v>
      </c>
      <c r="C342" t="s">
        <v>45</v>
      </c>
      <c r="D342">
        <v>35406</v>
      </c>
      <c r="E342">
        <v>45</v>
      </c>
      <c r="F342">
        <v>10</v>
      </c>
      <c r="G342">
        <v>9</v>
      </c>
      <c r="H342" t="s">
        <v>14</v>
      </c>
      <c r="I342">
        <v>637.02</v>
      </c>
    </row>
    <row r="343" spans="1:9" x14ac:dyDescent="0.25">
      <c r="A343">
        <v>342</v>
      </c>
      <c r="B343">
        <v>69</v>
      </c>
      <c r="C343" t="s">
        <v>18</v>
      </c>
      <c r="D343">
        <v>71688</v>
      </c>
      <c r="E343">
        <v>69</v>
      </c>
      <c r="F343">
        <v>4</v>
      </c>
      <c r="G343">
        <v>25</v>
      </c>
      <c r="H343" t="s">
        <v>17</v>
      </c>
      <c r="I343">
        <v>532.23</v>
      </c>
    </row>
    <row r="344" spans="1:9" x14ac:dyDescent="0.25">
      <c r="A344">
        <v>343</v>
      </c>
      <c r="B344">
        <v>32</v>
      </c>
      <c r="C344" t="s">
        <v>12</v>
      </c>
      <c r="D344">
        <v>48445</v>
      </c>
      <c r="E344">
        <v>91</v>
      </c>
      <c r="F344">
        <v>8</v>
      </c>
      <c r="G344">
        <v>27</v>
      </c>
      <c r="H344" t="s">
        <v>13</v>
      </c>
      <c r="I344">
        <v>265.17</v>
      </c>
    </row>
    <row r="345" spans="1:9" x14ac:dyDescent="0.25">
      <c r="A345">
        <v>344</v>
      </c>
      <c r="B345">
        <v>41</v>
      </c>
      <c r="C345" t="s">
        <v>12</v>
      </c>
      <c r="D345">
        <v>136928</v>
      </c>
      <c r="E345">
        <v>42</v>
      </c>
      <c r="F345">
        <v>5</v>
      </c>
      <c r="G345">
        <v>33</v>
      </c>
      <c r="H345" t="s">
        <v>13</v>
      </c>
      <c r="I345">
        <v>239.72</v>
      </c>
    </row>
    <row r="346" spans="1:9" x14ac:dyDescent="0.25">
      <c r="A346">
        <v>345</v>
      </c>
      <c r="B346">
        <v>33</v>
      </c>
      <c r="C346" t="s">
        <v>12</v>
      </c>
      <c r="D346">
        <v>112118</v>
      </c>
      <c r="E346">
        <v>27</v>
      </c>
      <c r="F346">
        <v>10</v>
      </c>
      <c r="G346">
        <v>9</v>
      </c>
      <c r="H346" t="s">
        <v>17</v>
      </c>
      <c r="I346">
        <v>535.28</v>
      </c>
    </row>
    <row r="347" spans="1:9" x14ac:dyDescent="0.25">
      <c r="A347">
        <v>346</v>
      </c>
      <c r="B347">
        <v>62</v>
      </c>
      <c r="C347" t="s">
        <v>18</v>
      </c>
      <c r="D347">
        <v>114587</v>
      </c>
      <c r="E347">
        <v>14</v>
      </c>
      <c r="F347">
        <v>7</v>
      </c>
      <c r="G347">
        <v>11</v>
      </c>
      <c r="H347" t="s">
        <v>14</v>
      </c>
      <c r="I347">
        <v>26.72</v>
      </c>
    </row>
    <row r="348" spans="1:9" x14ac:dyDescent="0.25">
      <c r="A348">
        <v>347</v>
      </c>
      <c r="B348">
        <v>38</v>
      </c>
      <c r="C348" t="s">
        <v>18</v>
      </c>
      <c r="D348">
        <v>42378</v>
      </c>
      <c r="E348">
        <v>36</v>
      </c>
      <c r="F348">
        <v>5</v>
      </c>
      <c r="G348">
        <v>20</v>
      </c>
      <c r="H348" t="s">
        <v>15</v>
      </c>
      <c r="I348">
        <v>279.77</v>
      </c>
    </row>
    <row r="349" spans="1:9" x14ac:dyDescent="0.25">
      <c r="A349">
        <v>348</v>
      </c>
      <c r="B349">
        <v>39</v>
      </c>
      <c r="C349" t="s">
        <v>18</v>
      </c>
      <c r="D349">
        <v>136141</v>
      </c>
      <c r="E349">
        <v>58</v>
      </c>
      <c r="F349">
        <v>6</v>
      </c>
      <c r="G349">
        <v>30</v>
      </c>
      <c r="H349" t="s">
        <v>13</v>
      </c>
      <c r="I349">
        <v>211.56</v>
      </c>
    </row>
    <row r="350" spans="1:9" x14ac:dyDescent="0.25">
      <c r="A350">
        <v>349</v>
      </c>
      <c r="B350">
        <v>44</v>
      </c>
      <c r="C350" t="s">
        <v>12</v>
      </c>
      <c r="D350">
        <v>32030</v>
      </c>
      <c r="E350">
        <v>38</v>
      </c>
      <c r="F350">
        <v>2</v>
      </c>
      <c r="G350">
        <v>19</v>
      </c>
      <c r="H350" t="s">
        <v>15</v>
      </c>
      <c r="I350">
        <v>912.15</v>
      </c>
    </row>
    <row r="351" spans="1:9" x14ac:dyDescent="0.25">
      <c r="A351">
        <v>350</v>
      </c>
      <c r="B351">
        <v>56</v>
      </c>
      <c r="C351" t="s">
        <v>18</v>
      </c>
      <c r="D351">
        <v>148694</v>
      </c>
      <c r="E351">
        <v>44</v>
      </c>
      <c r="F351">
        <v>7</v>
      </c>
      <c r="G351">
        <v>13</v>
      </c>
      <c r="H351" t="s">
        <v>14</v>
      </c>
      <c r="I351">
        <v>326.5</v>
      </c>
    </row>
    <row r="352" spans="1:9" x14ac:dyDescent="0.25">
      <c r="A352">
        <v>351</v>
      </c>
      <c r="B352">
        <v>68</v>
      </c>
      <c r="C352" t="s">
        <v>45</v>
      </c>
      <c r="D352">
        <v>122661</v>
      </c>
      <c r="E352">
        <v>16</v>
      </c>
      <c r="F352">
        <v>4</v>
      </c>
      <c r="G352">
        <v>48</v>
      </c>
      <c r="H352" t="s">
        <v>16</v>
      </c>
      <c r="I352">
        <v>85.44</v>
      </c>
    </row>
    <row r="353" spans="1:9" x14ac:dyDescent="0.25">
      <c r="A353">
        <v>352</v>
      </c>
      <c r="B353">
        <v>47</v>
      </c>
      <c r="C353" t="s">
        <v>18</v>
      </c>
      <c r="D353">
        <v>54571</v>
      </c>
      <c r="E353">
        <v>57</v>
      </c>
      <c r="F353">
        <v>4</v>
      </c>
      <c r="G353">
        <v>2</v>
      </c>
      <c r="H353" t="s">
        <v>14</v>
      </c>
      <c r="I353">
        <v>138.30000000000001</v>
      </c>
    </row>
    <row r="354" spans="1:9" x14ac:dyDescent="0.25">
      <c r="A354">
        <v>353</v>
      </c>
      <c r="B354">
        <v>61</v>
      </c>
      <c r="C354" t="s">
        <v>45</v>
      </c>
      <c r="D354">
        <v>120516</v>
      </c>
      <c r="E354">
        <v>100</v>
      </c>
      <c r="F354">
        <v>10</v>
      </c>
      <c r="G354">
        <v>47</v>
      </c>
      <c r="H354" t="s">
        <v>13</v>
      </c>
      <c r="I354">
        <v>475.52</v>
      </c>
    </row>
    <row r="355" spans="1:9" x14ac:dyDescent="0.25">
      <c r="A355">
        <v>354</v>
      </c>
      <c r="B355">
        <v>63</v>
      </c>
      <c r="C355" t="s">
        <v>45</v>
      </c>
      <c r="D355">
        <v>37003</v>
      </c>
      <c r="E355">
        <v>57</v>
      </c>
      <c r="F355">
        <v>4</v>
      </c>
      <c r="G355">
        <v>25</v>
      </c>
      <c r="H355" t="s">
        <v>15</v>
      </c>
      <c r="I355">
        <v>857.68</v>
      </c>
    </row>
    <row r="356" spans="1:9" x14ac:dyDescent="0.25">
      <c r="A356">
        <v>355</v>
      </c>
      <c r="B356">
        <v>38</v>
      </c>
      <c r="C356" t="s">
        <v>45</v>
      </c>
      <c r="D356">
        <v>81837</v>
      </c>
      <c r="E356">
        <v>68</v>
      </c>
      <c r="F356">
        <v>5</v>
      </c>
      <c r="G356">
        <v>6</v>
      </c>
      <c r="H356" t="s">
        <v>15</v>
      </c>
      <c r="I356">
        <v>349.35</v>
      </c>
    </row>
    <row r="357" spans="1:9" x14ac:dyDescent="0.25">
      <c r="A357">
        <v>356</v>
      </c>
      <c r="B357">
        <v>32</v>
      </c>
      <c r="C357" t="s">
        <v>45</v>
      </c>
      <c r="D357">
        <v>94627</v>
      </c>
      <c r="E357">
        <v>88</v>
      </c>
      <c r="F357">
        <v>9</v>
      </c>
      <c r="G357">
        <v>30</v>
      </c>
      <c r="H357" t="s">
        <v>17</v>
      </c>
      <c r="I357">
        <v>703.94</v>
      </c>
    </row>
    <row r="358" spans="1:9" x14ac:dyDescent="0.25">
      <c r="A358">
        <v>357</v>
      </c>
      <c r="B358">
        <v>49</v>
      </c>
      <c r="C358" t="s">
        <v>45</v>
      </c>
      <c r="D358">
        <v>103191</v>
      </c>
      <c r="E358">
        <v>34</v>
      </c>
      <c r="F358">
        <v>5</v>
      </c>
      <c r="G358">
        <v>41</v>
      </c>
      <c r="H358" t="s">
        <v>17</v>
      </c>
      <c r="I358">
        <v>253.63</v>
      </c>
    </row>
    <row r="359" spans="1:9" x14ac:dyDescent="0.25">
      <c r="A359">
        <v>358</v>
      </c>
      <c r="B359">
        <v>57</v>
      </c>
      <c r="C359" t="s">
        <v>12</v>
      </c>
      <c r="D359">
        <v>137205</v>
      </c>
      <c r="E359">
        <v>18</v>
      </c>
      <c r="F359">
        <v>1</v>
      </c>
      <c r="G359">
        <v>21</v>
      </c>
      <c r="H359" t="s">
        <v>14</v>
      </c>
      <c r="I359">
        <v>862.12</v>
      </c>
    </row>
    <row r="360" spans="1:9" x14ac:dyDescent="0.25">
      <c r="A360">
        <v>359</v>
      </c>
      <c r="B360">
        <v>50</v>
      </c>
      <c r="C360" t="s">
        <v>12</v>
      </c>
      <c r="D360">
        <v>85888</v>
      </c>
      <c r="E360">
        <v>19</v>
      </c>
      <c r="F360">
        <v>2</v>
      </c>
      <c r="G360">
        <v>25</v>
      </c>
      <c r="H360" t="s">
        <v>16</v>
      </c>
      <c r="I360">
        <v>910.52</v>
      </c>
    </row>
    <row r="361" spans="1:9" x14ac:dyDescent="0.25">
      <c r="A361">
        <v>360</v>
      </c>
      <c r="B361">
        <v>38</v>
      </c>
      <c r="C361" t="s">
        <v>12</v>
      </c>
      <c r="D361">
        <v>40590</v>
      </c>
      <c r="E361">
        <v>91</v>
      </c>
      <c r="F361">
        <v>7</v>
      </c>
      <c r="G361">
        <v>27</v>
      </c>
      <c r="H361" t="s">
        <v>14</v>
      </c>
      <c r="I361">
        <v>617.64</v>
      </c>
    </row>
    <row r="362" spans="1:9" x14ac:dyDescent="0.25">
      <c r="A362">
        <v>361</v>
      </c>
      <c r="B362">
        <v>28</v>
      </c>
      <c r="C362" t="s">
        <v>18</v>
      </c>
      <c r="D362">
        <v>130938</v>
      </c>
      <c r="E362">
        <v>98</v>
      </c>
      <c r="F362">
        <v>5</v>
      </c>
      <c r="G362">
        <v>37</v>
      </c>
      <c r="H362" t="s">
        <v>14</v>
      </c>
      <c r="I362">
        <v>612.09</v>
      </c>
    </row>
    <row r="363" spans="1:9" x14ac:dyDescent="0.25">
      <c r="A363">
        <v>362</v>
      </c>
      <c r="B363">
        <v>21</v>
      </c>
      <c r="C363" t="s">
        <v>12</v>
      </c>
      <c r="D363">
        <v>107934</v>
      </c>
      <c r="E363">
        <v>32</v>
      </c>
      <c r="F363">
        <v>5</v>
      </c>
      <c r="G363">
        <v>38</v>
      </c>
      <c r="H363" t="s">
        <v>13</v>
      </c>
      <c r="I363">
        <v>533.17999999999995</v>
      </c>
    </row>
    <row r="364" spans="1:9" x14ac:dyDescent="0.25">
      <c r="A364">
        <v>363</v>
      </c>
      <c r="B364">
        <v>26</v>
      </c>
      <c r="C364" t="s">
        <v>45</v>
      </c>
      <c r="D364">
        <v>149741</v>
      </c>
      <c r="E364">
        <v>51</v>
      </c>
      <c r="F364">
        <v>4</v>
      </c>
      <c r="G364">
        <v>37</v>
      </c>
      <c r="H364" t="s">
        <v>13</v>
      </c>
      <c r="I364">
        <v>685.36</v>
      </c>
    </row>
    <row r="365" spans="1:9" x14ac:dyDescent="0.25">
      <c r="A365">
        <v>364</v>
      </c>
      <c r="B365">
        <v>63</v>
      </c>
      <c r="C365" t="s">
        <v>45</v>
      </c>
      <c r="D365">
        <v>145117</v>
      </c>
      <c r="E365">
        <v>66</v>
      </c>
      <c r="F365">
        <v>7</v>
      </c>
      <c r="G365">
        <v>12</v>
      </c>
      <c r="H365" t="s">
        <v>15</v>
      </c>
      <c r="I365">
        <v>971.02</v>
      </c>
    </row>
    <row r="366" spans="1:9" x14ac:dyDescent="0.25">
      <c r="A366">
        <v>365</v>
      </c>
      <c r="B366">
        <v>21</v>
      </c>
      <c r="C366" t="s">
        <v>45</v>
      </c>
      <c r="D366">
        <v>90000</v>
      </c>
      <c r="E366">
        <v>42</v>
      </c>
      <c r="F366">
        <v>4</v>
      </c>
      <c r="G366">
        <v>23</v>
      </c>
      <c r="H366" t="s">
        <v>13</v>
      </c>
      <c r="I366">
        <v>278.14999999999998</v>
      </c>
    </row>
    <row r="367" spans="1:9" x14ac:dyDescent="0.25">
      <c r="A367">
        <v>366</v>
      </c>
      <c r="B367">
        <v>19</v>
      </c>
      <c r="C367" t="s">
        <v>45</v>
      </c>
      <c r="D367">
        <v>105019</v>
      </c>
      <c r="E367">
        <v>84</v>
      </c>
      <c r="F367">
        <v>8</v>
      </c>
      <c r="G367">
        <v>32</v>
      </c>
      <c r="H367" t="s">
        <v>17</v>
      </c>
      <c r="I367">
        <v>735.3</v>
      </c>
    </row>
    <row r="368" spans="1:9" x14ac:dyDescent="0.25">
      <c r="A368">
        <v>367</v>
      </c>
      <c r="B368">
        <v>65</v>
      </c>
      <c r="C368" t="s">
        <v>18</v>
      </c>
      <c r="D368">
        <v>65576</v>
      </c>
      <c r="E368">
        <v>91</v>
      </c>
      <c r="F368">
        <v>5</v>
      </c>
      <c r="G368">
        <v>12</v>
      </c>
      <c r="H368" t="s">
        <v>17</v>
      </c>
      <c r="I368">
        <v>782.55</v>
      </c>
    </row>
    <row r="369" spans="1:9" x14ac:dyDescent="0.25">
      <c r="A369">
        <v>368</v>
      </c>
      <c r="B369">
        <v>53</v>
      </c>
      <c r="C369" t="s">
        <v>18</v>
      </c>
      <c r="D369">
        <v>130474</v>
      </c>
      <c r="E369">
        <v>74</v>
      </c>
      <c r="F369">
        <v>10</v>
      </c>
      <c r="G369">
        <v>39</v>
      </c>
      <c r="H369" t="s">
        <v>13</v>
      </c>
      <c r="I369">
        <v>217.92</v>
      </c>
    </row>
    <row r="370" spans="1:9" x14ac:dyDescent="0.25">
      <c r="A370">
        <v>369</v>
      </c>
      <c r="B370">
        <v>63</v>
      </c>
      <c r="C370" t="s">
        <v>45</v>
      </c>
      <c r="D370">
        <v>77411</v>
      </c>
      <c r="E370">
        <v>20</v>
      </c>
      <c r="F370">
        <v>2</v>
      </c>
      <c r="G370">
        <v>37</v>
      </c>
      <c r="H370" t="s">
        <v>15</v>
      </c>
      <c r="I370">
        <v>648.38</v>
      </c>
    </row>
    <row r="371" spans="1:9" x14ac:dyDescent="0.25">
      <c r="A371">
        <v>370</v>
      </c>
      <c r="B371">
        <v>23</v>
      </c>
      <c r="C371" t="s">
        <v>18</v>
      </c>
      <c r="D371">
        <v>30751</v>
      </c>
      <c r="E371">
        <v>99</v>
      </c>
      <c r="F371">
        <v>9</v>
      </c>
      <c r="G371">
        <v>26</v>
      </c>
      <c r="H371" t="s">
        <v>14</v>
      </c>
      <c r="I371">
        <v>696.9</v>
      </c>
    </row>
    <row r="372" spans="1:9" x14ac:dyDescent="0.25">
      <c r="A372">
        <v>371</v>
      </c>
      <c r="B372">
        <v>20</v>
      </c>
      <c r="C372" t="s">
        <v>12</v>
      </c>
      <c r="D372">
        <v>87520</v>
      </c>
      <c r="E372">
        <v>93</v>
      </c>
      <c r="F372">
        <v>4</v>
      </c>
      <c r="G372">
        <v>3</v>
      </c>
      <c r="H372" t="s">
        <v>16</v>
      </c>
      <c r="I372">
        <v>459.87</v>
      </c>
    </row>
    <row r="373" spans="1:9" x14ac:dyDescent="0.25">
      <c r="A373">
        <v>372</v>
      </c>
      <c r="B373">
        <v>39</v>
      </c>
      <c r="C373" t="s">
        <v>18</v>
      </c>
      <c r="D373">
        <v>53805</v>
      </c>
      <c r="E373">
        <v>71</v>
      </c>
      <c r="F373">
        <v>5</v>
      </c>
      <c r="G373">
        <v>16</v>
      </c>
      <c r="H373" t="s">
        <v>15</v>
      </c>
      <c r="I373">
        <v>372.03</v>
      </c>
    </row>
    <row r="374" spans="1:9" x14ac:dyDescent="0.25">
      <c r="A374">
        <v>373</v>
      </c>
      <c r="B374">
        <v>30</v>
      </c>
      <c r="C374" t="s">
        <v>45</v>
      </c>
      <c r="D374">
        <v>80320</v>
      </c>
      <c r="E374">
        <v>91</v>
      </c>
      <c r="F374">
        <v>1</v>
      </c>
      <c r="G374">
        <v>31</v>
      </c>
      <c r="H374" t="s">
        <v>14</v>
      </c>
      <c r="I374">
        <v>930.97</v>
      </c>
    </row>
    <row r="375" spans="1:9" x14ac:dyDescent="0.25">
      <c r="A375">
        <v>374</v>
      </c>
      <c r="B375">
        <v>64</v>
      </c>
      <c r="C375" t="s">
        <v>45</v>
      </c>
      <c r="D375">
        <v>84380</v>
      </c>
      <c r="E375">
        <v>69</v>
      </c>
      <c r="F375">
        <v>10</v>
      </c>
      <c r="G375">
        <v>28</v>
      </c>
      <c r="H375" t="s">
        <v>15</v>
      </c>
      <c r="I375">
        <v>212.08</v>
      </c>
    </row>
    <row r="376" spans="1:9" x14ac:dyDescent="0.25">
      <c r="A376">
        <v>375</v>
      </c>
      <c r="B376">
        <v>33</v>
      </c>
      <c r="C376" t="s">
        <v>18</v>
      </c>
      <c r="D376">
        <v>58367</v>
      </c>
      <c r="E376">
        <v>11</v>
      </c>
      <c r="F376">
        <v>4</v>
      </c>
      <c r="G376">
        <v>29</v>
      </c>
      <c r="H376" t="s">
        <v>16</v>
      </c>
      <c r="I376">
        <v>826.87</v>
      </c>
    </row>
    <row r="377" spans="1:9" x14ac:dyDescent="0.25">
      <c r="A377">
        <v>376</v>
      </c>
      <c r="B377">
        <v>25</v>
      </c>
      <c r="C377" t="s">
        <v>18</v>
      </c>
      <c r="D377">
        <v>56110</v>
      </c>
      <c r="E377">
        <v>36</v>
      </c>
      <c r="F377">
        <v>5</v>
      </c>
      <c r="G377">
        <v>42</v>
      </c>
      <c r="H377" t="s">
        <v>14</v>
      </c>
      <c r="I377">
        <v>389.97</v>
      </c>
    </row>
    <row r="378" spans="1:9" x14ac:dyDescent="0.25">
      <c r="A378">
        <v>377</v>
      </c>
      <c r="B378">
        <v>46</v>
      </c>
      <c r="C378" t="s">
        <v>12</v>
      </c>
      <c r="D378">
        <v>123037</v>
      </c>
      <c r="E378">
        <v>100</v>
      </c>
      <c r="F378">
        <v>1</v>
      </c>
      <c r="G378">
        <v>9</v>
      </c>
      <c r="H378" t="s">
        <v>13</v>
      </c>
      <c r="I378">
        <v>617.74</v>
      </c>
    </row>
    <row r="379" spans="1:9" x14ac:dyDescent="0.25">
      <c r="A379">
        <v>378</v>
      </c>
      <c r="B379">
        <v>45</v>
      </c>
      <c r="C379" t="s">
        <v>18</v>
      </c>
      <c r="D379">
        <v>110174</v>
      </c>
      <c r="E379">
        <v>87</v>
      </c>
      <c r="F379">
        <v>5</v>
      </c>
      <c r="G379">
        <v>32</v>
      </c>
      <c r="H379" t="s">
        <v>13</v>
      </c>
      <c r="I379">
        <v>388.15</v>
      </c>
    </row>
    <row r="380" spans="1:9" x14ac:dyDescent="0.25">
      <c r="A380">
        <v>379</v>
      </c>
      <c r="B380">
        <v>41</v>
      </c>
      <c r="C380" t="s">
        <v>18</v>
      </c>
      <c r="D380">
        <v>30074</v>
      </c>
      <c r="E380">
        <v>95</v>
      </c>
      <c r="F380">
        <v>8</v>
      </c>
      <c r="G380">
        <v>19</v>
      </c>
      <c r="H380" t="s">
        <v>17</v>
      </c>
      <c r="I380">
        <v>78.819999999999993</v>
      </c>
    </row>
    <row r="381" spans="1:9" x14ac:dyDescent="0.25">
      <c r="A381">
        <v>380</v>
      </c>
      <c r="B381">
        <v>59</v>
      </c>
      <c r="C381" t="s">
        <v>45</v>
      </c>
      <c r="D381">
        <v>140349</v>
      </c>
      <c r="E381">
        <v>75</v>
      </c>
      <c r="F381">
        <v>2</v>
      </c>
      <c r="G381">
        <v>6</v>
      </c>
      <c r="H381" t="s">
        <v>15</v>
      </c>
      <c r="I381">
        <v>383.64</v>
      </c>
    </row>
    <row r="382" spans="1:9" x14ac:dyDescent="0.25">
      <c r="A382">
        <v>381</v>
      </c>
      <c r="B382">
        <v>67</v>
      </c>
      <c r="C382" t="s">
        <v>18</v>
      </c>
      <c r="D382">
        <v>104036</v>
      </c>
      <c r="E382">
        <v>56</v>
      </c>
      <c r="F382">
        <v>10</v>
      </c>
      <c r="G382">
        <v>37</v>
      </c>
      <c r="H382" t="s">
        <v>15</v>
      </c>
      <c r="I382">
        <v>998.98</v>
      </c>
    </row>
    <row r="383" spans="1:9" x14ac:dyDescent="0.25">
      <c r="A383">
        <v>382</v>
      </c>
      <c r="B383">
        <v>68</v>
      </c>
      <c r="C383" t="s">
        <v>45</v>
      </c>
      <c r="D383">
        <v>93926</v>
      </c>
      <c r="E383">
        <v>45</v>
      </c>
      <c r="F383">
        <v>5</v>
      </c>
      <c r="G383">
        <v>22</v>
      </c>
      <c r="H383" t="s">
        <v>14</v>
      </c>
      <c r="I383">
        <v>19.14</v>
      </c>
    </row>
    <row r="384" spans="1:9" x14ac:dyDescent="0.25">
      <c r="A384">
        <v>383</v>
      </c>
      <c r="B384">
        <v>65</v>
      </c>
      <c r="C384" t="s">
        <v>12</v>
      </c>
      <c r="D384">
        <v>124796</v>
      </c>
      <c r="E384">
        <v>4</v>
      </c>
      <c r="F384">
        <v>5</v>
      </c>
      <c r="G384">
        <v>38</v>
      </c>
      <c r="H384" t="s">
        <v>15</v>
      </c>
      <c r="I384">
        <v>247.96</v>
      </c>
    </row>
    <row r="385" spans="1:9" x14ac:dyDescent="0.25">
      <c r="A385">
        <v>384</v>
      </c>
      <c r="B385">
        <v>46</v>
      </c>
      <c r="C385" t="s">
        <v>12</v>
      </c>
      <c r="D385">
        <v>120914</v>
      </c>
      <c r="E385">
        <v>1</v>
      </c>
      <c r="F385">
        <v>1</v>
      </c>
      <c r="G385">
        <v>41</v>
      </c>
      <c r="H385" t="s">
        <v>13</v>
      </c>
      <c r="I385">
        <v>329.9</v>
      </c>
    </row>
    <row r="386" spans="1:9" x14ac:dyDescent="0.25">
      <c r="A386">
        <v>385</v>
      </c>
      <c r="B386">
        <v>38</v>
      </c>
      <c r="C386" t="s">
        <v>12</v>
      </c>
      <c r="D386">
        <v>78829</v>
      </c>
      <c r="E386">
        <v>73</v>
      </c>
      <c r="F386">
        <v>7</v>
      </c>
      <c r="G386">
        <v>20</v>
      </c>
      <c r="H386" t="s">
        <v>15</v>
      </c>
      <c r="I386">
        <v>665.25</v>
      </c>
    </row>
    <row r="387" spans="1:9" x14ac:dyDescent="0.25">
      <c r="A387">
        <v>386</v>
      </c>
      <c r="B387">
        <v>69</v>
      </c>
      <c r="C387" t="s">
        <v>12</v>
      </c>
      <c r="D387">
        <v>105810</v>
      </c>
      <c r="E387">
        <v>57</v>
      </c>
      <c r="F387">
        <v>6</v>
      </c>
      <c r="G387">
        <v>28</v>
      </c>
      <c r="H387" t="s">
        <v>16</v>
      </c>
      <c r="I387">
        <v>985.94</v>
      </c>
    </row>
    <row r="388" spans="1:9" x14ac:dyDescent="0.25">
      <c r="A388">
        <v>387</v>
      </c>
      <c r="B388">
        <v>51</v>
      </c>
      <c r="C388" t="s">
        <v>18</v>
      </c>
      <c r="D388">
        <v>105658</v>
      </c>
      <c r="E388">
        <v>49</v>
      </c>
      <c r="F388">
        <v>9</v>
      </c>
      <c r="G388">
        <v>9</v>
      </c>
      <c r="H388" t="s">
        <v>14</v>
      </c>
      <c r="I388">
        <v>785.55</v>
      </c>
    </row>
    <row r="389" spans="1:9" x14ac:dyDescent="0.25">
      <c r="A389">
        <v>388</v>
      </c>
      <c r="B389">
        <v>25</v>
      </c>
      <c r="C389" t="s">
        <v>18</v>
      </c>
      <c r="D389">
        <v>100053</v>
      </c>
      <c r="E389">
        <v>6</v>
      </c>
      <c r="F389">
        <v>5</v>
      </c>
      <c r="G389">
        <v>33</v>
      </c>
      <c r="H389" t="s">
        <v>14</v>
      </c>
      <c r="I389">
        <v>832.57</v>
      </c>
    </row>
    <row r="390" spans="1:9" x14ac:dyDescent="0.25">
      <c r="A390">
        <v>389</v>
      </c>
      <c r="B390">
        <v>34</v>
      </c>
      <c r="C390" t="s">
        <v>45</v>
      </c>
      <c r="D390">
        <v>118622</v>
      </c>
      <c r="E390">
        <v>99</v>
      </c>
      <c r="F390">
        <v>4</v>
      </c>
      <c r="G390">
        <v>47</v>
      </c>
      <c r="H390" t="s">
        <v>15</v>
      </c>
      <c r="I390">
        <v>122.21</v>
      </c>
    </row>
    <row r="391" spans="1:9" x14ac:dyDescent="0.25">
      <c r="A391">
        <v>390</v>
      </c>
      <c r="B391">
        <v>37</v>
      </c>
      <c r="C391" t="s">
        <v>12</v>
      </c>
      <c r="D391">
        <v>65343</v>
      </c>
      <c r="E391">
        <v>89</v>
      </c>
      <c r="F391">
        <v>3</v>
      </c>
      <c r="G391">
        <v>2</v>
      </c>
      <c r="H391" t="s">
        <v>14</v>
      </c>
      <c r="I391">
        <v>668.23</v>
      </c>
    </row>
    <row r="392" spans="1:9" x14ac:dyDescent="0.25">
      <c r="A392">
        <v>391</v>
      </c>
      <c r="B392">
        <v>67</v>
      </c>
      <c r="C392" t="s">
        <v>18</v>
      </c>
      <c r="D392">
        <v>101759</v>
      </c>
      <c r="E392">
        <v>57</v>
      </c>
      <c r="F392">
        <v>3</v>
      </c>
      <c r="G392">
        <v>19</v>
      </c>
      <c r="H392" t="s">
        <v>15</v>
      </c>
      <c r="I392">
        <v>670.51</v>
      </c>
    </row>
    <row r="393" spans="1:9" x14ac:dyDescent="0.25">
      <c r="A393">
        <v>392</v>
      </c>
      <c r="B393">
        <v>28</v>
      </c>
      <c r="C393" t="s">
        <v>12</v>
      </c>
      <c r="D393">
        <v>59278</v>
      </c>
      <c r="E393">
        <v>60</v>
      </c>
      <c r="F393">
        <v>2</v>
      </c>
      <c r="G393">
        <v>8</v>
      </c>
      <c r="H393" t="s">
        <v>13</v>
      </c>
      <c r="I393">
        <v>362.41</v>
      </c>
    </row>
    <row r="394" spans="1:9" x14ac:dyDescent="0.25">
      <c r="A394">
        <v>393</v>
      </c>
      <c r="B394">
        <v>55</v>
      </c>
      <c r="C394" t="s">
        <v>18</v>
      </c>
      <c r="D394">
        <v>127542</v>
      </c>
      <c r="E394">
        <v>79</v>
      </c>
      <c r="F394">
        <v>8</v>
      </c>
      <c r="G394">
        <v>12</v>
      </c>
      <c r="H394" t="s">
        <v>17</v>
      </c>
      <c r="I394">
        <v>632.6</v>
      </c>
    </row>
    <row r="395" spans="1:9" x14ac:dyDescent="0.25">
      <c r="A395">
        <v>394</v>
      </c>
      <c r="B395">
        <v>69</v>
      </c>
      <c r="C395" t="s">
        <v>18</v>
      </c>
      <c r="D395">
        <v>74331</v>
      </c>
      <c r="E395">
        <v>83</v>
      </c>
      <c r="F395">
        <v>9</v>
      </c>
      <c r="G395">
        <v>11</v>
      </c>
      <c r="H395" t="s">
        <v>17</v>
      </c>
      <c r="I395">
        <v>341.63</v>
      </c>
    </row>
    <row r="396" spans="1:9" x14ac:dyDescent="0.25">
      <c r="A396">
        <v>395</v>
      </c>
      <c r="B396">
        <v>69</v>
      </c>
      <c r="C396" t="s">
        <v>18</v>
      </c>
      <c r="D396">
        <v>119075</v>
      </c>
      <c r="E396">
        <v>40</v>
      </c>
      <c r="F396">
        <v>8</v>
      </c>
      <c r="G396">
        <v>44</v>
      </c>
      <c r="H396" t="s">
        <v>13</v>
      </c>
      <c r="I396">
        <v>866.72</v>
      </c>
    </row>
    <row r="397" spans="1:9" x14ac:dyDescent="0.25">
      <c r="A397">
        <v>396</v>
      </c>
      <c r="B397">
        <v>54</v>
      </c>
      <c r="C397" t="s">
        <v>45</v>
      </c>
      <c r="D397">
        <v>87418</v>
      </c>
      <c r="E397">
        <v>21</v>
      </c>
      <c r="F397">
        <v>2</v>
      </c>
      <c r="G397">
        <v>27</v>
      </c>
      <c r="H397" t="s">
        <v>16</v>
      </c>
      <c r="I397">
        <v>846.76</v>
      </c>
    </row>
    <row r="398" spans="1:9" x14ac:dyDescent="0.25">
      <c r="A398">
        <v>397</v>
      </c>
      <c r="B398">
        <v>23</v>
      </c>
      <c r="C398" t="s">
        <v>45</v>
      </c>
      <c r="D398">
        <v>37713</v>
      </c>
      <c r="E398">
        <v>11</v>
      </c>
      <c r="F398">
        <v>8</v>
      </c>
      <c r="G398">
        <v>31</v>
      </c>
      <c r="H398" t="s">
        <v>14</v>
      </c>
      <c r="I398">
        <v>481.24</v>
      </c>
    </row>
    <row r="399" spans="1:9" x14ac:dyDescent="0.25">
      <c r="A399">
        <v>398</v>
      </c>
      <c r="B399">
        <v>48</v>
      </c>
      <c r="C399" t="s">
        <v>12</v>
      </c>
      <c r="D399">
        <v>36282</v>
      </c>
      <c r="E399">
        <v>14</v>
      </c>
      <c r="F399">
        <v>10</v>
      </c>
      <c r="G399">
        <v>3</v>
      </c>
      <c r="H399" t="s">
        <v>15</v>
      </c>
      <c r="I399">
        <v>210.43</v>
      </c>
    </row>
    <row r="400" spans="1:9" x14ac:dyDescent="0.25">
      <c r="A400">
        <v>399</v>
      </c>
      <c r="B400">
        <v>19</v>
      </c>
      <c r="C400" t="s">
        <v>18</v>
      </c>
      <c r="D400">
        <v>69790</v>
      </c>
      <c r="E400">
        <v>3</v>
      </c>
      <c r="F400">
        <v>9</v>
      </c>
      <c r="G400">
        <v>38</v>
      </c>
      <c r="H400" t="s">
        <v>16</v>
      </c>
      <c r="I400">
        <v>596.63</v>
      </c>
    </row>
    <row r="401" spans="1:9" x14ac:dyDescent="0.25">
      <c r="A401">
        <v>400</v>
      </c>
      <c r="B401">
        <v>41</v>
      </c>
      <c r="C401" t="s">
        <v>18</v>
      </c>
      <c r="D401">
        <v>147962</v>
      </c>
      <c r="E401">
        <v>90</v>
      </c>
      <c r="F401">
        <v>2</v>
      </c>
      <c r="G401">
        <v>9</v>
      </c>
      <c r="H401" t="s">
        <v>17</v>
      </c>
      <c r="I401">
        <v>688.61</v>
      </c>
    </row>
    <row r="402" spans="1:9" x14ac:dyDescent="0.25">
      <c r="A402">
        <v>401</v>
      </c>
      <c r="B402">
        <v>32</v>
      </c>
      <c r="C402" t="s">
        <v>45</v>
      </c>
      <c r="D402">
        <v>86268</v>
      </c>
      <c r="E402">
        <v>96</v>
      </c>
      <c r="F402">
        <v>3</v>
      </c>
      <c r="G402">
        <v>21</v>
      </c>
      <c r="H402" t="s">
        <v>14</v>
      </c>
      <c r="I402">
        <v>643.36</v>
      </c>
    </row>
    <row r="403" spans="1:9" x14ac:dyDescent="0.25">
      <c r="A403">
        <v>402</v>
      </c>
      <c r="B403">
        <v>63</v>
      </c>
      <c r="C403" t="s">
        <v>12</v>
      </c>
      <c r="D403">
        <v>149062</v>
      </c>
      <c r="E403">
        <v>66</v>
      </c>
      <c r="F403">
        <v>9</v>
      </c>
      <c r="G403">
        <v>7</v>
      </c>
      <c r="H403" t="s">
        <v>17</v>
      </c>
      <c r="I403">
        <v>441.11</v>
      </c>
    </row>
    <row r="404" spans="1:9" x14ac:dyDescent="0.25">
      <c r="A404">
        <v>403</v>
      </c>
      <c r="B404">
        <v>40</v>
      </c>
      <c r="C404" t="s">
        <v>45</v>
      </c>
      <c r="D404">
        <v>127948</v>
      </c>
      <c r="E404">
        <v>29</v>
      </c>
      <c r="F404">
        <v>6</v>
      </c>
      <c r="G404">
        <v>26</v>
      </c>
      <c r="H404" t="s">
        <v>16</v>
      </c>
      <c r="I404">
        <v>144.78</v>
      </c>
    </row>
    <row r="405" spans="1:9" x14ac:dyDescent="0.25">
      <c r="A405">
        <v>404</v>
      </c>
      <c r="B405">
        <v>36</v>
      </c>
      <c r="C405" t="s">
        <v>12</v>
      </c>
      <c r="D405">
        <v>30121</v>
      </c>
      <c r="E405">
        <v>39</v>
      </c>
      <c r="F405">
        <v>10</v>
      </c>
      <c r="G405">
        <v>16</v>
      </c>
      <c r="H405" t="s">
        <v>16</v>
      </c>
      <c r="I405">
        <v>233.08</v>
      </c>
    </row>
    <row r="406" spans="1:9" x14ac:dyDescent="0.25">
      <c r="A406">
        <v>405</v>
      </c>
      <c r="B406">
        <v>21</v>
      </c>
      <c r="C406" t="s">
        <v>12</v>
      </c>
      <c r="D406">
        <v>42889</v>
      </c>
      <c r="E406">
        <v>12</v>
      </c>
      <c r="F406">
        <v>2</v>
      </c>
      <c r="G406">
        <v>20</v>
      </c>
      <c r="H406" t="s">
        <v>13</v>
      </c>
      <c r="I406">
        <v>789.92</v>
      </c>
    </row>
    <row r="407" spans="1:9" x14ac:dyDescent="0.25">
      <c r="A407">
        <v>406</v>
      </c>
      <c r="B407">
        <v>29</v>
      </c>
      <c r="C407" t="s">
        <v>45</v>
      </c>
      <c r="D407">
        <v>141369</v>
      </c>
      <c r="E407">
        <v>42</v>
      </c>
      <c r="F407">
        <v>10</v>
      </c>
      <c r="G407">
        <v>16</v>
      </c>
      <c r="H407" t="s">
        <v>13</v>
      </c>
      <c r="I407">
        <v>862.54</v>
      </c>
    </row>
    <row r="408" spans="1:9" x14ac:dyDescent="0.25">
      <c r="A408">
        <v>407</v>
      </c>
      <c r="B408">
        <v>24</v>
      </c>
      <c r="C408" t="s">
        <v>45</v>
      </c>
      <c r="D408">
        <v>119844</v>
      </c>
      <c r="E408">
        <v>78</v>
      </c>
      <c r="F408">
        <v>4</v>
      </c>
      <c r="G408">
        <v>6</v>
      </c>
      <c r="H408" t="s">
        <v>16</v>
      </c>
      <c r="I408">
        <v>572.30999999999995</v>
      </c>
    </row>
    <row r="409" spans="1:9" x14ac:dyDescent="0.25">
      <c r="A409">
        <v>408</v>
      </c>
      <c r="B409">
        <v>40</v>
      </c>
      <c r="C409" t="s">
        <v>45</v>
      </c>
      <c r="D409">
        <v>135305</v>
      </c>
      <c r="E409">
        <v>54</v>
      </c>
      <c r="F409">
        <v>8</v>
      </c>
      <c r="G409">
        <v>29</v>
      </c>
      <c r="H409" t="s">
        <v>17</v>
      </c>
      <c r="I409">
        <v>831.6</v>
      </c>
    </row>
    <row r="410" spans="1:9" x14ac:dyDescent="0.25">
      <c r="A410">
        <v>409</v>
      </c>
      <c r="B410">
        <v>63</v>
      </c>
      <c r="C410" t="s">
        <v>18</v>
      </c>
      <c r="D410">
        <v>70967</v>
      </c>
      <c r="E410">
        <v>59</v>
      </c>
      <c r="F410">
        <v>6</v>
      </c>
      <c r="G410">
        <v>10</v>
      </c>
      <c r="H410" t="s">
        <v>13</v>
      </c>
      <c r="I410">
        <v>954.05</v>
      </c>
    </row>
    <row r="411" spans="1:9" x14ac:dyDescent="0.25">
      <c r="A411">
        <v>410</v>
      </c>
      <c r="B411">
        <v>20</v>
      </c>
      <c r="C411" t="s">
        <v>18</v>
      </c>
      <c r="D411">
        <v>98213</v>
      </c>
      <c r="E411">
        <v>12</v>
      </c>
      <c r="F411">
        <v>5</v>
      </c>
      <c r="G411">
        <v>37</v>
      </c>
      <c r="H411" t="s">
        <v>13</v>
      </c>
      <c r="I411">
        <v>902.24</v>
      </c>
    </row>
    <row r="412" spans="1:9" x14ac:dyDescent="0.25">
      <c r="A412">
        <v>411</v>
      </c>
      <c r="B412">
        <v>43</v>
      </c>
      <c r="C412" t="s">
        <v>18</v>
      </c>
      <c r="D412">
        <v>89856</v>
      </c>
      <c r="E412">
        <v>96</v>
      </c>
      <c r="F412">
        <v>3</v>
      </c>
      <c r="G412">
        <v>2</v>
      </c>
      <c r="H412" t="s">
        <v>17</v>
      </c>
      <c r="I412">
        <v>114.47</v>
      </c>
    </row>
    <row r="413" spans="1:9" x14ac:dyDescent="0.25">
      <c r="A413">
        <v>412</v>
      </c>
      <c r="B413">
        <v>61</v>
      </c>
      <c r="C413" t="s">
        <v>45</v>
      </c>
      <c r="D413">
        <v>80988</v>
      </c>
      <c r="E413">
        <v>34</v>
      </c>
      <c r="F413">
        <v>8</v>
      </c>
      <c r="G413">
        <v>14</v>
      </c>
      <c r="H413" t="s">
        <v>17</v>
      </c>
      <c r="I413">
        <v>937.86</v>
      </c>
    </row>
    <row r="414" spans="1:9" x14ac:dyDescent="0.25">
      <c r="A414">
        <v>413</v>
      </c>
      <c r="B414">
        <v>19</v>
      </c>
      <c r="C414" t="s">
        <v>18</v>
      </c>
      <c r="D414">
        <v>105731</v>
      </c>
      <c r="E414">
        <v>9</v>
      </c>
      <c r="F414">
        <v>7</v>
      </c>
      <c r="G414">
        <v>10</v>
      </c>
      <c r="H414" t="s">
        <v>13</v>
      </c>
      <c r="I414">
        <v>421.08</v>
      </c>
    </row>
    <row r="415" spans="1:9" x14ac:dyDescent="0.25">
      <c r="A415">
        <v>414</v>
      </c>
      <c r="B415">
        <v>69</v>
      </c>
      <c r="C415" t="s">
        <v>18</v>
      </c>
      <c r="D415">
        <v>117737</v>
      </c>
      <c r="E415">
        <v>6</v>
      </c>
      <c r="F415">
        <v>4</v>
      </c>
      <c r="G415">
        <v>9</v>
      </c>
      <c r="H415" t="s">
        <v>16</v>
      </c>
      <c r="I415">
        <v>877.51</v>
      </c>
    </row>
    <row r="416" spans="1:9" x14ac:dyDescent="0.25">
      <c r="A416">
        <v>415</v>
      </c>
      <c r="B416">
        <v>57</v>
      </c>
      <c r="C416" t="s">
        <v>12</v>
      </c>
      <c r="D416">
        <v>52164</v>
      </c>
      <c r="E416">
        <v>53</v>
      </c>
      <c r="F416">
        <v>3</v>
      </c>
      <c r="G416">
        <v>36</v>
      </c>
      <c r="H416" t="s">
        <v>16</v>
      </c>
      <c r="I416">
        <v>710.84</v>
      </c>
    </row>
    <row r="417" spans="1:9" x14ac:dyDescent="0.25">
      <c r="A417">
        <v>416</v>
      </c>
      <c r="B417">
        <v>38</v>
      </c>
      <c r="C417" t="s">
        <v>45</v>
      </c>
      <c r="D417">
        <v>51327</v>
      </c>
      <c r="E417">
        <v>62</v>
      </c>
      <c r="F417">
        <v>5</v>
      </c>
      <c r="G417">
        <v>24</v>
      </c>
      <c r="H417" t="s">
        <v>15</v>
      </c>
      <c r="I417">
        <v>645.42999999999995</v>
      </c>
    </row>
    <row r="418" spans="1:9" x14ac:dyDescent="0.25">
      <c r="A418">
        <v>417</v>
      </c>
      <c r="B418">
        <v>52</v>
      </c>
      <c r="C418" t="s">
        <v>45</v>
      </c>
      <c r="D418">
        <v>101105</v>
      </c>
      <c r="E418">
        <v>11</v>
      </c>
      <c r="F418">
        <v>9</v>
      </c>
      <c r="G418">
        <v>2</v>
      </c>
      <c r="H418" t="s">
        <v>13</v>
      </c>
      <c r="I418">
        <v>714.72</v>
      </c>
    </row>
    <row r="419" spans="1:9" x14ac:dyDescent="0.25">
      <c r="A419">
        <v>418</v>
      </c>
      <c r="B419">
        <v>51</v>
      </c>
      <c r="C419" t="s">
        <v>18</v>
      </c>
      <c r="D419">
        <v>97565</v>
      </c>
      <c r="E419">
        <v>48</v>
      </c>
      <c r="F419">
        <v>10</v>
      </c>
      <c r="G419">
        <v>31</v>
      </c>
      <c r="H419" t="s">
        <v>17</v>
      </c>
      <c r="I419">
        <v>656.9</v>
      </c>
    </row>
    <row r="420" spans="1:9" x14ac:dyDescent="0.25">
      <c r="A420">
        <v>419</v>
      </c>
      <c r="B420">
        <v>64</v>
      </c>
      <c r="C420" t="s">
        <v>45</v>
      </c>
      <c r="D420">
        <v>71594</v>
      </c>
      <c r="E420">
        <v>40</v>
      </c>
      <c r="F420">
        <v>4</v>
      </c>
      <c r="G420">
        <v>42</v>
      </c>
      <c r="H420" t="s">
        <v>17</v>
      </c>
      <c r="I420">
        <v>487.73</v>
      </c>
    </row>
    <row r="421" spans="1:9" x14ac:dyDescent="0.25">
      <c r="A421">
        <v>420</v>
      </c>
      <c r="B421">
        <v>46</v>
      </c>
      <c r="C421" t="s">
        <v>12</v>
      </c>
      <c r="D421">
        <v>60671</v>
      </c>
      <c r="E421">
        <v>57</v>
      </c>
      <c r="F421">
        <v>5</v>
      </c>
      <c r="G421">
        <v>48</v>
      </c>
      <c r="H421" t="s">
        <v>13</v>
      </c>
      <c r="I421">
        <v>817.69</v>
      </c>
    </row>
    <row r="422" spans="1:9" x14ac:dyDescent="0.25">
      <c r="A422">
        <v>421</v>
      </c>
      <c r="B422">
        <v>46</v>
      </c>
      <c r="C422" t="s">
        <v>18</v>
      </c>
      <c r="D422">
        <v>90871</v>
      </c>
      <c r="E422">
        <v>56</v>
      </c>
      <c r="F422">
        <v>4</v>
      </c>
      <c r="G422">
        <v>39</v>
      </c>
      <c r="H422" t="s">
        <v>17</v>
      </c>
      <c r="I422">
        <v>592.97</v>
      </c>
    </row>
    <row r="423" spans="1:9" x14ac:dyDescent="0.25">
      <c r="A423">
        <v>422</v>
      </c>
      <c r="B423">
        <v>56</v>
      </c>
      <c r="C423" t="s">
        <v>45</v>
      </c>
      <c r="D423">
        <v>36843</v>
      </c>
      <c r="E423">
        <v>46</v>
      </c>
      <c r="F423">
        <v>7</v>
      </c>
      <c r="G423">
        <v>12</v>
      </c>
      <c r="H423" t="s">
        <v>13</v>
      </c>
      <c r="I423">
        <v>22.15</v>
      </c>
    </row>
    <row r="424" spans="1:9" x14ac:dyDescent="0.25">
      <c r="A424">
        <v>423</v>
      </c>
      <c r="B424">
        <v>62</v>
      </c>
      <c r="C424" t="s">
        <v>18</v>
      </c>
      <c r="D424">
        <v>96260</v>
      </c>
      <c r="E424">
        <v>30</v>
      </c>
      <c r="F424">
        <v>6</v>
      </c>
      <c r="G424">
        <v>45</v>
      </c>
      <c r="H424" t="s">
        <v>14</v>
      </c>
      <c r="I424">
        <v>159.13</v>
      </c>
    </row>
    <row r="425" spans="1:9" x14ac:dyDescent="0.25">
      <c r="A425">
        <v>424</v>
      </c>
      <c r="B425">
        <v>56</v>
      </c>
      <c r="C425" t="s">
        <v>12</v>
      </c>
      <c r="D425">
        <v>134502</v>
      </c>
      <c r="E425">
        <v>46</v>
      </c>
      <c r="F425">
        <v>5</v>
      </c>
      <c r="G425">
        <v>5</v>
      </c>
      <c r="H425" t="s">
        <v>16</v>
      </c>
      <c r="I425">
        <v>394.49</v>
      </c>
    </row>
    <row r="426" spans="1:9" x14ac:dyDescent="0.25">
      <c r="A426">
        <v>425</v>
      </c>
      <c r="B426">
        <v>41</v>
      </c>
      <c r="C426" t="s">
        <v>12</v>
      </c>
      <c r="D426">
        <v>67039</v>
      </c>
      <c r="E426">
        <v>100</v>
      </c>
      <c r="F426">
        <v>1</v>
      </c>
      <c r="G426">
        <v>36</v>
      </c>
      <c r="H426" t="s">
        <v>14</v>
      </c>
      <c r="I426">
        <v>178.68</v>
      </c>
    </row>
    <row r="427" spans="1:9" x14ac:dyDescent="0.25">
      <c r="A427">
        <v>426</v>
      </c>
      <c r="B427">
        <v>40</v>
      </c>
      <c r="C427" t="s">
        <v>45</v>
      </c>
      <c r="D427">
        <v>142251</v>
      </c>
      <c r="E427">
        <v>90</v>
      </c>
      <c r="F427">
        <v>10</v>
      </c>
      <c r="G427">
        <v>14</v>
      </c>
      <c r="H427" t="s">
        <v>14</v>
      </c>
      <c r="I427">
        <v>866.52</v>
      </c>
    </row>
    <row r="428" spans="1:9" x14ac:dyDescent="0.25">
      <c r="A428">
        <v>427</v>
      </c>
      <c r="B428">
        <v>47</v>
      </c>
      <c r="C428" t="s">
        <v>18</v>
      </c>
      <c r="D428">
        <v>49336</v>
      </c>
      <c r="E428">
        <v>11</v>
      </c>
      <c r="F428">
        <v>10</v>
      </c>
      <c r="G428">
        <v>11</v>
      </c>
      <c r="H428" t="s">
        <v>15</v>
      </c>
      <c r="I428">
        <v>877.17</v>
      </c>
    </row>
    <row r="429" spans="1:9" x14ac:dyDescent="0.25">
      <c r="A429">
        <v>428</v>
      </c>
      <c r="B429">
        <v>54</v>
      </c>
      <c r="C429" t="s">
        <v>45</v>
      </c>
      <c r="D429">
        <v>90780</v>
      </c>
      <c r="E429">
        <v>24</v>
      </c>
      <c r="F429">
        <v>3</v>
      </c>
      <c r="G429">
        <v>46</v>
      </c>
      <c r="H429" t="s">
        <v>16</v>
      </c>
      <c r="I429">
        <v>824.65</v>
      </c>
    </row>
    <row r="430" spans="1:9" x14ac:dyDescent="0.25">
      <c r="A430">
        <v>429</v>
      </c>
      <c r="B430">
        <v>20</v>
      </c>
      <c r="C430" t="s">
        <v>12</v>
      </c>
      <c r="D430">
        <v>49308</v>
      </c>
      <c r="E430">
        <v>29</v>
      </c>
      <c r="F430">
        <v>6</v>
      </c>
      <c r="G430">
        <v>19</v>
      </c>
      <c r="H430" t="s">
        <v>14</v>
      </c>
      <c r="I430">
        <v>351.64</v>
      </c>
    </row>
    <row r="431" spans="1:9" x14ac:dyDescent="0.25">
      <c r="A431">
        <v>430</v>
      </c>
      <c r="B431">
        <v>64</v>
      </c>
      <c r="C431" t="s">
        <v>45</v>
      </c>
      <c r="D431">
        <v>124369</v>
      </c>
      <c r="E431">
        <v>74</v>
      </c>
      <c r="F431">
        <v>2</v>
      </c>
      <c r="G431">
        <v>3</v>
      </c>
      <c r="H431" t="s">
        <v>13</v>
      </c>
      <c r="I431">
        <v>275.39999999999998</v>
      </c>
    </row>
    <row r="432" spans="1:9" x14ac:dyDescent="0.25">
      <c r="A432">
        <v>431</v>
      </c>
      <c r="B432">
        <v>40</v>
      </c>
      <c r="C432" t="s">
        <v>12</v>
      </c>
      <c r="D432">
        <v>99618</v>
      </c>
      <c r="E432">
        <v>80</v>
      </c>
      <c r="F432">
        <v>4</v>
      </c>
      <c r="G432">
        <v>22</v>
      </c>
      <c r="H432" t="s">
        <v>16</v>
      </c>
      <c r="I432">
        <v>15.04</v>
      </c>
    </row>
    <row r="433" spans="1:9" x14ac:dyDescent="0.25">
      <c r="A433">
        <v>432</v>
      </c>
      <c r="B433">
        <v>29</v>
      </c>
      <c r="C433" t="s">
        <v>18</v>
      </c>
      <c r="D433">
        <v>133291</v>
      </c>
      <c r="E433">
        <v>52</v>
      </c>
      <c r="F433">
        <v>4</v>
      </c>
      <c r="G433">
        <v>42</v>
      </c>
      <c r="H433" t="s">
        <v>17</v>
      </c>
      <c r="I433">
        <v>916.28</v>
      </c>
    </row>
    <row r="434" spans="1:9" x14ac:dyDescent="0.25">
      <c r="A434">
        <v>433</v>
      </c>
      <c r="B434">
        <v>44</v>
      </c>
      <c r="C434" t="s">
        <v>18</v>
      </c>
      <c r="D434">
        <v>100832</v>
      </c>
      <c r="E434">
        <v>90</v>
      </c>
      <c r="F434">
        <v>8</v>
      </c>
      <c r="G434">
        <v>39</v>
      </c>
      <c r="H434" t="s">
        <v>14</v>
      </c>
      <c r="I434">
        <v>769</v>
      </c>
    </row>
    <row r="435" spans="1:9" x14ac:dyDescent="0.25">
      <c r="A435">
        <v>434</v>
      </c>
      <c r="B435">
        <v>57</v>
      </c>
      <c r="C435" t="s">
        <v>12</v>
      </c>
      <c r="D435">
        <v>60668</v>
      </c>
      <c r="E435">
        <v>66</v>
      </c>
      <c r="F435">
        <v>6</v>
      </c>
      <c r="G435">
        <v>28</v>
      </c>
      <c r="H435" t="s">
        <v>14</v>
      </c>
      <c r="I435">
        <v>984.6</v>
      </c>
    </row>
    <row r="436" spans="1:9" x14ac:dyDescent="0.25">
      <c r="A436">
        <v>435</v>
      </c>
      <c r="B436">
        <v>32</v>
      </c>
      <c r="C436" t="s">
        <v>18</v>
      </c>
      <c r="D436">
        <v>69782</v>
      </c>
      <c r="E436">
        <v>76</v>
      </c>
      <c r="F436">
        <v>1</v>
      </c>
      <c r="G436">
        <v>9</v>
      </c>
      <c r="H436" t="s">
        <v>13</v>
      </c>
      <c r="I436">
        <v>803.28</v>
      </c>
    </row>
    <row r="437" spans="1:9" x14ac:dyDescent="0.25">
      <c r="A437">
        <v>436</v>
      </c>
      <c r="B437">
        <v>52</v>
      </c>
      <c r="C437" t="s">
        <v>45</v>
      </c>
      <c r="D437">
        <v>136827</v>
      </c>
      <c r="E437">
        <v>87</v>
      </c>
      <c r="F437">
        <v>5</v>
      </c>
      <c r="G437">
        <v>20</v>
      </c>
      <c r="H437" t="s">
        <v>15</v>
      </c>
      <c r="I437">
        <v>322.29000000000002</v>
      </c>
    </row>
    <row r="438" spans="1:9" x14ac:dyDescent="0.25">
      <c r="A438">
        <v>437</v>
      </c>
      <c r="B438">
        <v>48</v>
      </c>
      <c r="C438" t="s">
        <v>45</v>
      </c>
      <c r="D438">
        <v>51565</v>
      </c>
      <c r="E438">
        <v>44</v>
      </c>
      <c r="F438">
        <v>5</v>
      </c>
      <c r="G438">
        <v>20</v>
      </c>
      <c r="H438" t="s">
        <v>16</v>
      </c>
      <c r="I438">
        <v>552.48</v>
      </c>
    </row>
    <row r="439" spans="1:9" x14ac:dyDescent="0.25">
      <c r="A439">
        <v>438</v>
      </c>
      <c r="B439">
        <v>47</v>
      </c>
      <c r="C439" t="s">
        <v>18</v>
      </c>
      <c r="D439">
        <v>95033</v>
      </c>
      <c r="E439">
        <v>25</v>
      </c>
      <c r="F439">
        <v>3</v>
      </c>
      <c r="G439">
        <v>35</v>
      </c>
      <c r="H439" t="s">
        <v>14</v>
      </c>
      <c r="I439">
        <v>273.38</v>
      </c>
    </row>
    <row r="440" spans="1:9" x14ac:dyDescent="0.25">
      <c r="A440">
        <v>439</v>
      </c>
      <c r="B440">
        <v>63</v>
      </c>
      <c r="C440" t="s">
        <v>18</v>
      </c>
      <c r="D440">
        <v>118402</v>
      </c>
      <c r="E440">
        <v>74</v>
      </c>
      <c r="F440">
        <v>3</v>
      </c>
      <c r="G440">
        <v>12</v>
      </c>
      <c r="H440" t="s">
        <v>15</v>
      </c>
      <c r="I440">
        <v>828.04</v>
      </c>
    </row>
    <row r="441" spans="1:9" x14ac:dyDescent="0.25">
      <c r="A441">
        <v>440</v>
      </c>
      <c r="B441">
        <v>23</v>
      </c>
      <c r="C441" t="s">
        <v>18</v>
      </c>
      <c r="D441">
        <v>130546</v>
      </c>
      <c r="E441">
        <v>71</v>
      </c>
      <c r="F441">
        <v>9</v>
      </c>
      <c r="G441">
        <v>36</v>
      </c>
      <c r="H441" t="s">
        <v>15</v>
      </c>
      <c r="I441">
        <v>799.33</v>
      </c>
    </row>
    <row r="442" spans="1:9" x14ac:dyDescent="0.25">
      <c r="A442">
        <v>441</v>
      </c>
      <c r="B442">
        <v>46</v>
      </c>
      <c r="C442" t="s">
        <v>12</v>
      </c>
      <c r="D442">
        <v>68970</v>
      </c>
      <c r="E442">
        <v>50</v>
      </c>
      <c r="F442">
        <v>9</v>
      </c>
      <c r="G442">
        <v>46</v>
      </c>
      <c r="H442" t="s">
        <v>17</v>
      </c>
      <c r="I442">
        <v>392.35</v>
      </c>
    </row>
    <row r="443" spans="1:9" x14ac:dyDescent="0.25">
      <c r="A443">
        <v>442</v>
      </c>
      <c r="B443">
        <v>26</v>
      </c>
      <c r="C443" t="s">
        <v>18</v>
      </c>
      <c r="D443">
        <v>84460</v>
      </c>
      <c r="E443">
        <v>45</v>
      </c>
      <c r="F443">
        <v>1</v>
      </c>
      <c r="G443">
        <v>33</v>
      </c>
      <c r="H443" t="s">
        <v>17</v>
      </c>
      <c r="I443">
        <v>219.67</v>
      </c>
    </row>
    <row r="444" spans="1:9" x14ac:dyDescent="0.25">
      <c r="A444">
        <v>443</v>
      </c>
      <c r="B444">
        <v>47</v>
      </c>
      <c r="C444" t="s">
        <v>45</v>
      </c>
      <c r="D444">
        <v>138199</v>
      </c>
      <c r="E444">
        <v>79</v>
      </c>
      <c r="F444">
        <v>10</v>
      </c>
      <c r="G444">
        <v>43</v>
      </c>
      <c r="H444" t="s">
        <v>14</v>
      </c>
      <c r="I444">
        <v>171.38</v>
      </c>
    </row>
    <row r="445" spans="1:9" x14ac:dyDescent="0.25">
      <c r="A445">
        <v>444</v>
      </c>
      <c r="B445">
        <v>62</v>
      </c>
      <c r="C445" t="s">
        <v>45</v>
      </c>
      <c r="D445">
        <v>59481</v>
      </c>
      <c r="E445">
        <v>30</v>
      </c>
      <c r="F445">
        <v>4</v>
      </c>
      <c r="G445">
        <v>35</v>
      </c>
      <c r="H445" t="s">
        <v>17</v>
      </c>
      <c r="I445">
        <v>121</v>
      </c>
    </row>
    <row r="446" spans="1:9" x14ac:dyDescent="0.25">
      <c r="A446">
        <v>445</v>
      </c>
      <c r="B446">
        <v>62</v>
      </c>
      <c r="C446" t="s">
        <v>18</v>
      </c>
      <c r="D446">
        <v>75974</v>
      </c>
      <c r="E446">
        <v>68</v>
      </c>
      <c r="F446">
        <v>4</v>
      </c>
      <c r="G446">
        <v>46</v>
      </c>
      <c r="H446" t="s">
        <v>16</v>
      </c>
      <c r="I446">
        <v>180.09</v>
      </c>
    </row>
    <row r="447" spans="1:9" x14ac:dyDescent="0.25">
      <c r="A447">
        <v>446</v>
      </c>
      <c r="B447">
        <v>53</v>
      </c>
      <c r="C447" t="s">
        <v>12</v>
      </c>
      <c r="D447">
        <v>56570</v>
      </c>
      <c r="E447">
        <v>29</v>
      </c>
      <c r="F447">
        <v>7</v>
      </c>
      <c r="G447">
        <v>37</v>
      </c>
      <c r="H447" t="s">
        <v>14</v>
      </c>
      <c r="I447">
        <v>432.65</v>
      </c>
    </row>
    <row r="448" spans="1:9" x14ac:dyDescent="0.25">
      <c r="A448">
        <v>447</v>
      </c>
      <c r="B448">
        <v>27</v>
      </c>
      <c r="C448" t="s">
        <v>45</v>
      </c>
      <c r="D448">
        <v>68689</v>
      </c>
      <c r="E448">
        <v>83</v>
      </c>
      <c r="F448">
        <v>8</v>
      </c>
      <c r="G448">
        <v>33</v>
      </c>
      <c r="H448" t="s">
        <v>16</v>
      </c>
      <c r="I448">
        <v>782.58</v>
      </c>
    </row>
    <row r="449" spans="1:9" x14ac:dyDescent="0.25">
      <c r="A449">
        <v>448</v>
      </c>
      <c r="B449">
        <v>31</v>
      </c>
      <c r="C449" t="s">
        <v>18</v>
      </c>
      <c r="D449">
        <v>46106</v>
      </c>
      <c r="E449">
        <v>72</v>
      </c>
      <c r="F449">
        <v>7</v>
      </c>
      <c r="G449">
        <v>2</v>
      </c>
      <c r="H449" t="s">
        <v>15</v>
      </c>
      <c r="I449">
        <v>59.82</v>
      </c>
    </row>
    <row r="450" spans="1:9" x14ac:dyDescent="0.25">
      <c r="A450">
        <v>449</v>
      </c>
      <c r="B450">
        <v>50</v>
      </c>
      <c r="C450" t="s">
        <v>12</v>
      </c>
      <c r="D450">
        <v>46524</v>
      </c>
      <c r="E450">
        <v>1</v>
      </c>
      <c r="F450">
        <v>4</v>
      </c>
      <c r="G450">
        <v>7</v>
      </c>
      <c r="H450" t="s">
        <v>13</v>
      </c>
      <c r="I450">
        <v>371.62</v>
      </c>
    </row>
    <row r="451" spans="1:9" x14ac:dyDescent="0.25">
      <c r="A451">
        <v>450</v>
      </c>
      <c r="B451">
        <v>48</v>
      </c>
      <c r="C451" t="s">
        <v>12</v>
      </c>
      <c r="D451">
        <v>60382</v>
      </c>
      <c r="E451">
        <v>13</v>
      </c>
      <c r="F451">
        <v>3</v>
      </c>
      <c r="G451">
        <v>27</v>
      </c>
      <c r="H451" t="s">
        <v>14</v>
      </c>
      <c r="I451">
        <v>694.59</v>
      </c>
    </row>
    <row r="452" spans="1:9" x14ac:dyDescent="0.25">
      <c r="A452">
        <v>451</v>
      </c>
      <c r="B452">
        <v>24</v>
      </c>
      <c r="C452" t="s">
        <v>45</v>
      </c>
      <c r="D452">
        <v>147555</v>
      </c>
      <c r="E452">
        <v>65</v>
      </c>
      <c r="F452">
        <v>4</v>
      </c>
      <c r="G452">
        <v>28</v>
      </c>
      <c r="H452" t="s">
        <v>16</v>
      </c>
      <c r="I452">
        <v>434.84</v>
      </c>
    </row>
    <row r="453" spans="1:9" x14ac:dyDescent="0.25">
      <c r="A453">
        <v>452</v>
      </c>
      <c r="B453">
        <v>45</v>
      </c>
      <c r="C453" t="s">
        <v>18</v>
      </c>
      <c r="D453">
        <v>93800</v>
      </c>
      <c r="E453">
        <v>33</v>
      </c>
      <c r="F453">
        <v>10</v>
      </c>
      <c r="G453">
        <v>32</v>
      </c>
      <c r="H453" t="s">
        <v>15</v>
      </c>
      <c r="I453">
        <v>391.45</v>
      </c>
    </row>
    <row r="454" spans="1:9" x14ac:dyDescent="0.25">
      <c r="A454">
        <v>453</v>
      </c>
      <c r="B454">
        <v>30</v>
      </c>
      <c r="C454" t="s">
        <v>12</v>
      </c>
      <c r="D454">
        <v>35565</v>
      </c>
      <c r="E454">
        <v>83</v>
      </c>
      <c r="F454">
        <v>8</v>
      </c>
      <c r="G454">
        <v>17</v>
      </c>
      <c r="H454" t="s">
        <v>14</v>
      </c>
      <c r="I454">
        <v>238.79</v>
      </c>
    </row>
    <row r="455" spans="1:9" x14ac:dyDescent="0.25">
      <c r="A455">
        <v>454</v>
      </c>
      <c r="B455">
        <v>27</v>
      </c>
      <c r="C455" t="s">
        <v>12</v>
      </c>
      <c r="D455">
        <v>143992</v>
      </c>
      <c r="E455">
        <v>31</v>
      </c>
      <c r="F455">
        <v>2</v>
      </c>
      <c r="G455">
        <v>32</v>
      </c>
      <c r="H455" t="s">
        <v>13</v>
      </c>
      <c r="I455">
        <v>994.1</v>
      </c>
    </row>
    <row r="456" spans="1:9" x14ac:dyDescent="0.25">
      <c r="A456">
        <v>455</v>
      </c>
      <c r="B456">
        <v>28</v>
      </c>
      <c r="C456" t="s">
        <v>45</v>
      </c>
      <c r="D456">
        <v>126571</v>
      </c>
      <c r="E456">
        <v>82</v>
      </c>
      <c r="F456">
        <v>10</v>
      </c>
      <c r="G456">
        <v>8</v>
      </c>
      <c r="H456" t="s">
        <v>14</v>
      </c>
      <c r="I456">
        <v>26.12</v>
      </c>
    </row>
    <row r="457" spans="1:9" x14ac:dyDescent="0.25">
      <c r="A457">
        <v>456</v>
      </c>
      <c r="B457">
        <v>61</v>
      </c>
      <c r="C457" t="s">
        <v>45</v>
      </c>
      <c r="D457">
        <v>57851</v>
      </c>
      <c r="E457">
        <v>46</v>
      </c>
      <c r="F457">
        <v>3</v>
      </c>
      <c r="G457">
        <v>5</v>
      </c>
      <c r="H457" t="s">
        <v>17</v>
      </c>
      <c r="I457">
        <v>604.29</v>
      </c>
    </row>
    <row r="458" spans="1:9" x14ac:dyDescent="0.25">
      <c r="A458">
        <v>457</v>
      </c>
      <c r="B458">
        <v>30</v>
      </c>
      <c r="C458" t="s">
        <v>45</v>
      </c>
      <c r="D458">
        <v>120083</v>
      </c>
      <c r="E458">
        <v>47</v>
      </c>
      <c r="F458">
        <v>1</v>
      </c>
      <c r="G458">
        <v>49</v>
      </c>
      <c r="H458" t="s">
        <v>14</v>
      </c>
      <c r="I458">
        <v>443.12</v>
      </c>
    </row>
    <row r="459" spans="1:9" x14ac:dyDescent="0.25">
      <c r="A459">
        <v>458</v>
      </c>
      <c r="B459">
        <v>62</v>
      </c>
      <c r="C459" t="s">
        <v>12</v>
      </c>
      <c r="D459">
        <v>32827</v>
      </c>
      <c r="E459">
        <v>69</v>
      </c>
      <c r="F459">
        <v>8</v>
      </c>
      <c r="G459">
        <v>2</v>
      </c>
      <c r="H459" t="s">
        <v>16</v>
      </c>
      <c r="I459">
        <v>468.37</v>
      </c>
    </row>
    <row r="460" spans="1:9" x14ac:dyDescent="0.25">
      <c r="A460">
        <v>459</v>
      </c>
      <c r="B460">
        <v>30</v>
      </c>
      <c r="C460" t="s">
        <v>45</v>
      </c>
      <c r="D460">
        <v>100399</v>
      </c>
      <c r="E460">
        <v>96</v>
      </c>
      <c r="F460">
        <v>2</v>
      </c>
      <c r="G460">
        <v>5</v>
      </c>
      <c r="H460" t="s">
        <v>17</v>
      </c>
      <c r="I460">
        <v>705.64</v>
      </c>
    </row>
    <row r="461" spans="1:9" x14ac:dyDescent="0.25">
      <c r="A461">
        <v>460</v>
      </c>
      <c r="B461">
        <v>55</v>
      </c>
      <c r="C461" t="s">
        <v>18</v>
      </c>
      <c r="D461">
        <v>105647</v>
      </c>
      <c r="E461">
        <v>94</v>
      </c>
      <c r="F461">
        <v>1</v>
      </c>
      <c r="G461">
        <v>14</v>
      </c>
      <c r="H461" t="s">
        <v>15</v>
      </c>
      <c r="I461">
        <v>737.91</v>
      </c>
    </row>
    <row r="462" spans="1:9" x14ac:dyDescent="0.25">
      <c r="A462">
        <v>461</v>
      </c>
      <c r="B462">
        <v>41</v>
      </c>
      <c r="C462" t="s">
        <v>12</v>
      </c>
      <c r="D462">
        <v>141605</v>
      </c>
      <c r="E462">
        <v>100</v>
      </c>
      <c r="F462">
        <v>4</v>
      </c>
      <c r="G462">
        <v>20</v>
      </c>
      <c r="H462" t="s">
        <v>13</v>
      </c>
      <c r="I462">
        <v>693.02</v>
      </c>
    </row>
    <row r="463" spans="1:9" x14ac:dyDescent="0.25">
      <c r="A463">
        <v>462</v>
      </c>
      <c r="B463">
        <v>57</v>
      </c>
      <c r="C463" t="s">
        <v>18</v>
      </c>
      <c r="D463">
        <v>46563</v>
      </c>
      <c r="E463">
        <v>86</v>
      </c>
      <c r="F463">
        <v>4</v>
      </c>
      <c r="G463">
        <v>24</v>
      </c>
      <c r="H463" t="s">
        <v>14</v>
      </c>
      <c r="I463">
        <v>800.46</v>
      </c>
    </row>
    <row r="464" spans="1:9" x14ac:dyDescent="0.25">
      <c r="A464">
        <v>463</v>
      </c>
      <c r="B464">
        <v>53</v>
      </c>
      <c r="C464" t="s">
        <v>12</v>
      </c>
      <c r="D464">
        <v>37569</v>
      </c>
      <c r="E464">
        <v>18</v>
      </c>
      <c r="F464">
        <v>8</v>
      </c>
      <c r="G464">
        <v>50</v>
      </c>
      <c r="H464" t="s">
        <v>17</v>
      </c>
      <c r="I464">
        <v>634.91999999999996</v>
      </c>
    </row>
    <row r="465" spans="1:9" x14ac:dyDescent="0.25">
      <c r="A465">
        <v>464</v>
      </c>
      <c r="B465">
        <v>65</v>
      </c>
      <c r="C465" t="s">
        <v>18</v>
      </c>
      <c r="D465">
        <v>138529</v>
      </c>
      <c r="E465">
        <v>87</v>
      </c>
      <c r="F465">
        <v>10</v>
      </c>
      <c r="G465">
        <v>14</v>
      </c>
      <c r="H465" t="s">
        <v>15</v>
      </c>
      <c r="I465">
        <v>461.61</v>
      </c>
    </row>
    <row r="466" spans="1:9" x14ac:dyDescent="0.25">
      <c r="A466">
        <v>465</v>
      </c>
      <c r="B466">
        <v>54</v>
      </c>
      <c r="C466" t="s">
        <v>18</v>
      </c>
      <c r="D466">
        <v>40858</v>
      </c>
      <c r="E466">
        <v>48</v>
      </c>
      <c r="F466">
        <v>6</v>
      </c>
      <c r="G466">
        <v>20</v>
      </c>
      <c r="H466" t="s">
        <v>17</v>
      </c>
      <c r="I466">
        <v>34.880000000000003</v>
      </c>
    </row>
    <row r="467" spans="1:9" x14ac:dyDescent="0.25">
      <c r="A467">
        <v>466</v>
      </c>
      <c r="B467">
        <v>69</v>
      </c>
      <c r="C467" t="s">
        <v>45</v>
      </c>
      <c r="D467">
        <v>143640</v>
      </c>
      <c r="E467">
        <v>14</v>
      </c>
      <c r="F467">
        <v>8</v>
      </c>
      <c r="G467">
        <v>2</v>
      </c>
      <c r="H467" t="s">
        <v>17</v>
      </c>
      <c r="I467">
        <v>387.39</v>
      </c>
    </row>
    <row r="468" spans="1:9" x14ac:dyDescent="0.25">
      <c r="A468">
        <v>467</v>
      </c>
      <c r="B468">
        <v>25</v>
      </c>
      <c r="C468" t="s">
        <v>12</v>
      </c>
      <c r="D468">
        <v>99668</v>
      </c>
      <c r="E468">
        <v>1</v>
      </c>
      <c r="F468">
        <v>1</v>
      </c>
      <c r="G468">
        <v>50</v>
      </c>
      <c r="H468" t="s">
        <v>16</v>
      </c>
      <c r="I468">
        <v>937.86</v>
      </c>
    </row>
    <row r="469" spans="1:9" x14ac:dyDescent="0.25">
      <c r="A469">
        <v>468</v>
      </c>
      <c r="B469">
        <v>54</v>
      </c>
      <c r="C469" t="s">
        <v>12</v>
      </c>
      <c r="D469">
        <v>32276</v>
      </c>
      <c r="E469">
        <v>73</v>
      </c>
      <c r="F469">
        <v>2</v>
      </c>
      <c r="G469">
        <v>44</v>
      </c>
      <c r="H469" t="s">
        <v>17</v>
      </c>
      <c r="I469">
        <v>554.58000000000004</v>
      </c>
    </row>
    <row r="470" spans="1:9" x14ac:dyDescent="0.25">
      <c r="A470">
        <v>469</v>
      </c>
      <c r="B470">
        <v>32</v>
      </c>
      <c r="C470" t="s">
        <v>45</v>
      </c>
      <c r="D470">
        <v>100736</v>
      </c>
      <c r="E470">
        <v>84</v>
      </c>
      <c r="F470">
        <v>10</v>
      </c>
      <c r="G470">
        <v>32</v>
      </c>
      <c r="H470" t="s">
        <v>16</v>
      </c>
      <c r="I470">
        <v>863.93</v>
      </c>
    </row>
    <row r="471" spans="1:9" x14ac:dyDescent="0.25">
      <c r="A471">
        <v>470</v>
      </c>
      <c r="B471">
        <v>53</v>
      </c>
      <c r="C471" t="s">
        <v>45</v>
      </c>
      <c r="D471">
        <v>139508</v>
      </c>
      <c r="E471">
        <v>92</v>
      </c>
      <c r="F471">
        <v>6</v>
      </c>
      <c r="G471">
        <v>39</v>
      </c>
      <c r="H471" t="s">
        <v>17</v>
      </c>
      <c r="I471">
        <v>172.99</v>
      </c>
    </row>
    <row r="472" spans="1:9" x14ac:dyDescent="0.25">
      <c r="A472">
        <v>471</v>
      </c>
      <c r="B472">
        <v>32</v>
      </c>
      <c r="C472" t="s">
        <v>12</v>
      </c>
      <c r="D472">
        <v>38683</v>
      </c>
      <c r="E472">
        <v>59</v>
      </c>
      <c r="F472">
        <v>10</v>
      </c>
      <c r="G472">
        <v>47</v>
      </c>
      <c r="H472" t="s">
        <v>16</v>
      </c>
      <c r="I472">
        <v>846.85</v>
      </c>
    </row>
    <row r="473" spans="1:9" x14ac:dyDescent="0.25">
      <c r="A473">
        <v>472</v>
      </c>
      <c r="B473">
        <v>35</v>
      </c>
      <c r="C473" t="s">
        <v>45</v>
      </c>
      <c r="D473">
        <v>42390</v>
      </c>
      <c r="E473">
        <v>27</v>
      </c>
      <c r="F473">
        <v>3</v>
      </c>
      <c r="G473">
        <v>41</v>
      </c>
      <c r="H473" t="s">
        <v>14</v>
      </c>
      <c r="I473">
        <v>781.31</v>
      </c>
    </row>
    <row r="474" spans="1:9" x14ac:dyDescent="0.25">
      <c r="A474">
        <v>473</v>
      </c>
      <c r="B474">
        <v>53</v>
      </c>
      <c r="C474" t="s">
        <v>18</v>
      </c>
      <c r="D474">
        <v>104435</v>
      </c>
      <c r="E474">
        <v>42</v>
      </c>
      <c r="F474">
        <v>4</v>
      </c>
      <c r="G474">
        <v>34</v>
      </c>
      <c r="H474" t="s">
        <v>13</v>
      </c>
      <c r="I474">
        <v>795.81</v>
      </c>
    </row>
    <row r="475" spans="1:9" x14ac:dyDescent="0.25">
      <c r="A475">
        <v>474</v>
      </c>
      <c r="B475">
        <v>54</v>
      </c>
      <c r="C475" t="s">
        <v>18</v>
      </c>
      <c r="D475">
        <v>111261</v>
      </c>
      <c r="E475">
        <v>56</v>
      </c>
      <c r="F475">
        <v>1</v>
      </c>
      <c r="G475">
        <v>44</v>
      </c>
      <c r="H475" t="s">
        <v>16</v>
      </c>
      <c r="I475">
        <v>216.09</v>
      </c>
    </row>
    <row r="476" spans="1:9" x14ac:dyDescent="0.25">
      <c r="A476">
        <v>475</v>
      </c>
      <c r="B476">
        <v>36</v>
      </c>
      <c r="C476" t="s">
        <v>45</v>
      </c>
      <c r="D476">
        <v>112674</v>
      </c>
      <c r="E476">
        <v>12</v>
      </c>
      <c r="F476">
        <v>7</v>
      </c>
      <c r="G476">
        <v>35</v>
      </c>
      <c r="H476" t="s">
        <v>16</v>
      </c>
      <c r="I476">
        <v>590.32000000000005</v>
      </c>
    </row>
    <row r="477" spans="1:9" x14ac:dyDescent="0.25">
      <c r="A477">
        <v>476</v>
      </c>
      <c r="B477">
        <v>38</v>
      </c>
      <c r="C477" t="s">
        <v>12</v>
      </c>
      <c r="D477">
        <v>144083</v>
      </c>
      <c r="E477">
        <v>23</v>
      </c>
      <c r="F477">
        <v>1</v>
      </c>
      <c r="G477">
        <v>28</v>
      </c>
      <c r="H477" t="s">
        <v>16</v>
      </c>
      <c r="I477">
        <v>158.15</v>
      </c>
    </row>
    <row r="478" spans="1:9" x14ac:dyDescent="0.25">
      <c r="A478">
        <v>477</v>
      </c>
      <c r="B478">
        <v>42</v>
      </c>
      <c r="C478" t="s">
        <v>12</v>
      </c>
      <c r="D478">
        <v>115342</v>
      </c>
      <c r="E478">
        <v>19</v>
      </c>
      <c r="F478">
        <v>4</v>
      </c>
      <c r="G478">
        <v>47</v>
      </c>
      <c r="H478" t="s">
        <v>15</v>
      </c>
      <c r="I478">
        <v>13.69</v>
      </c>
    </row>
    <row r="479" spans="1:9" x14ac:dyDescent="0.25">
      <c r="A479">
        <v>478</v>
      </c>
      <c r="B479">
        <v>48</v>
      </c>
      <c r="C479" t="s">
        <v>45</v>
      </c>
      <c r="D479">
        <v>143424</v>
      </c>
      <c r="E479">
        <v>24</v>
      </c>
      <c r="F479">
        <v>3</v>
      </c>
      <c r="G479">
        <v>22</v>
      </c>
      <c r="H479" t="s">
        <v>13</v>
      </c>
      <c r="I479">
        <v>594.94000000000005</v>
      </c>
    </row>
    <row r="480" spans="1:9" x14ac:dyDescent="0.25">
      <c r="A480">
        <v>479</v>
      </c>
      <c r="B480">
        <v>58</v>
      </c>
      <c r="C480" t="s">
        <v>18</v>
      </c>
      <c r="D480">
        <v>137836</v>
      </c>
      <c r="E480">
        <v>19</v>
      </c>
      <c r="F480">
        <v>9</v>
      </c>
      <c r="G480">
        <v>21</v>
      </c>
      <c r="H480" t="s">
        <v>14</v>
      </c>
      <c r="I480">
        <v>172.39</v>
      </c>
    </row>
    <row r="481" spans="1:9" x14ac:dyDescent="0.25">
      <c r="A481">
        <v>480</v>
      </c>
      <c r="B481">
        <v>19</v>
      </c>
      <c r="C481" t="s">
        <v>18</v>
      </c>
      <c r="D481">
        <v>35529</v>
      </c>
      <c r="E481">
        <v>62</v>
      </c>
      <c r="F481">
        <v>4</v>
      </c>
      <c r="G481">
        <v>24</v>
      </c>
      <c r="H481" t="s">
        <v>17</v>
      </c>
      <c r="I481">
        <v>177.69</v>
      </c>
    </row>
    <row r="482" spans="1:9" x14ac:dyDescent="0.25">
      <c r="A482">
        <v>481</v>
      </c>
      <c r="B482">
        <v>54</v>
      </c>
      <c r="C482" t="s">
        <v>12</v>
      </c>
      <c r="D482">
        <v>105641</v>
      </c>
      <c r="E482">
        <v>17</v>
      </c>
      <c r="F482">
        <v>9</v>
      </c>
      <c r="G482">
        <v>37</v>
      </c>
      <c r="H482" t="s">
        <v>15</v>
      </c>
      <c r="I482">
        <v>173.81</v>
      </c>
    </row>
    <row r="483" spans="1:9" x14ac:dyDescent="0.25">
      <c r="A483">
        <v>482</v>
      </c>
      <c r="B483">
        <v>65</v>
      </c>
      <c r="C483" t="s">
        <v>45</v>
      </c>
      <c r="D483">
        <v>120542</v>
      </c>
      <c r="E483">
        <v>52</v>
      </c>
      <c r="F483">
        <v>3</v>
      </c>
      <c r="G483">
        <v>36</v>
      </c>
      <c r="H483" t="s">
        <v>17</v>
      </c>
      <c r="I483">
        <v>70.22</v>
      </c>
    </row>
    <row r="484" spans="1:9" x14ac:dyDescent="0.25">
      <c r="A484">
        <v>483</v>
      </c>
      <c r="B484">
        <v>44</v>
      </c>
      <c r="C484" t="s">
        <v>18</v>
      </c>
      <c r="D484">
        <v>43069</v>
      </c>
      <c r="E484">
        <v>55</v>
      </c>
      <c r="F484">
        <v>6</v>
      </c>
      <c r="G484">
        <v>33</v>
      </c>
      <c r="H484" t="s">
        <v>16</v>
      </c>
      <c r="I484">
        <v>501.34</v>
      </c>
    </row>
    <row r="485" spans="1:9" x14ac:dyDescent="0.25">
      <c r="A485">
        <v>484</v>
      </c>
      <c r="B485">
        <v>40</v>
      </c>
      <c r="C485" t="s">
        <v>12</v>
      </c>
      <c r="D485">
        <v>61052</v>
      </c>
      <c r="E485">
        <v>44</v>
      </c>
      <c r="F485">
        <v>4</v>
      </c>
      <c r="G485">
        <v>17</v>
      </c>
      <c r="H485" t="s">
        <v>16</v>
      </c>
      <c r="I485">
        <v>135.19</v>
      </c>
    </row>
    <row r="486" spans="1:9" x14ac:dyDescent="0.25">
      <c r="A486">
        <v>485</v>
      </c>
      <c r="B486">
        <v>65</v>
      </c>
      <c r="C486" t="s">
        <v>12</v>
      </c>
      <c r="D486">
        <v>39113</v>
      </c>
      <c r="E486">
        <v>85</v>
      </c>
      <c r="F486">
        <v>9</v>
      </c>
      <c r="G486">
        <v>42</v>
      </c>
      <c r="H486" t="s">
        <v>13</v>
      </c>
      <c r="I486">
        <v>964.87</v>
      </c>
    </row>
    <row r="487" spans="1:9" x14ac:dyDescent="0.25">
      <c r="A487">
        <v>486</v>
      </c>
      <c r="B487">
        <v>66</v>
      </c>
      <c r="C487" t="s">
        <v>45</v>
      </c>
      <c r="D487">
        <v>91672</v>
      </c>
      <c r="E487">
        <v>71</v>
      </c>
      <c r="F487">
        <v>5</v>
      </c>
      <c r="G487">
        <v>9</v>
      </c>
      <c r="H487" t="s">
        <v>17</v>
      </c>
      <c r="I487">
        <v>10.4</v>
      </c>
    </row>
    <row r="488" spans="1:9" x14ac:dyDescent="0.25">
      <c r="A488">
        <v>487</v>
      </c>
      <c r="B488">
        <v>22</v>
      </c>
      <c r="C488" t="s">
        <v>18</v>
      </c>
      <c r="D488">
        <v>104781</v>
      </c>
      <c r="E488">
        <v>64</v>
      </c>
      <c r="F488">
        <v>8</v>
      </c>
      <c r="G488">
        <v>38</v>
      </c>
      <c r="H488" t="s">
        <v>13</v>
      </c>
      <c r="I488">
        <v>151.47999999999999</v>
      </c>
    </row>
    <row r="489" spans="1:9" x14ac:dyDescent="0.25">
      <c r="A489">
        <v>488</v>
      </c>
      <c r="B489">
        <v>47</v>
      </c>
      <c r="C489" t="s">
        <v>45</v>
      </c>
      <c r="D489">
        <v>124597</v>
      </c>
      <c r="E489">
        <v>67</v>
      </c>
      <c r="F489">
        <v>9</v>
      </c>
      <c r="G489">
        <v>8</v>
      </c>
      <c r="H489" t="s">
        <v>17</v>
      </c>
      <c r="I489">
        <v>885.33</v>
      </c>
    </row>
    <row r="490" spans="1:9" x14ac:dyDescent="0.25">
      <c r="A490">
        <v>489</v>
      </c>
      <c r="B490">
        <v>26</v>
      </c>
      <c r="C490" t="s">
        <v>18</v>
      </c>
      <c r="D490">
        <v>96845</v>
      </c>
      <c r="E490">
        <v>19</v>
      </c>
      <c r="F490">
        <v>1</v>
      </c>
      <c r="G490">
        <v>5</v>
      </c>
      <c r="H490" t="s">
        <v>13</v>
      </c>
      <c r="I490">
        <v>154.88999999999999</v>
      </c>
    </row>
    <row r="491" spans="1:9" x14ac:dyDescent="0.25">
      <c r="A491">
        <v>490</v>
      </c>
      <c r="B491">
        <v>19</v>
      </c>
      <c r="C491" t="s">
        <v>18</v>
      </c>
      <c r="D491">
        <v>113254</v>
      </c>
      <c r="E491">
        <v>38</v>
      </c>
      <c r="F491">
        <v>5</v>
      </c>
      <c r="G491">
        <v>35</v>
      </c>
      <c r="H491" t="s">
        <v>17</v>
      </c>
      <c r="I491">
        <v>633.5</v>
      </c>
    </row>
    <row r="492" spans="1:9" x14ac:dyDescent="0.25">
      <c r="A492">
        <v>491</v>
      </c>
      <c r="B492">
        <v>22</v>
      </c>
      <c r="C492" t="s">
        <v>18</v>
      </c>
      <c r="D492">
        <v>46900</v>
      </c>
      <c r="E492">
        <v>70</v>
      </c>
      <c r="F492">
        <v>1</v>
      </c>
      <c r="G492">
        <v>24</v>
      </c>
      <c r="H492" t="s">
        <v>16</v>
      </c>
      <c r="I492">
        <v>325.45999999999998</v>
      </c>
    </row>
    <row r="493" spans="1:9" x14ac:dyDescent="0.25">
      <c r="A493">
        <v>492</v>
      </c>
      <c r="B493">
        <v>39</v>
      </c>
      <c r="C493" t="s">
        <v>12</v>
      </c>
      <c r="D493">
        <v>84725</v>
      </c>
      <c r="E493">
        <v>100</v>
      </c>
      <c r="F493">
        <v>8</v>
      </c>
      <c r="G493">
        <v>49</v>
      </c>
      <c r="H493" t="s">
        <v>15</v>
      </c>
      <c r="I493">
        <v>906.07</v>
      </c>
    </row>
    <row r="494" spans="1:9" x14ac:dyDescent="0.25">
      <c r="A494">
        <v>493</v>
      </c>
      <c r="B494">
        <v>51</v>
      </c>
      <c r="C494" t="s">
        <v>18</v>
      </c>
      <c r="D494">
        <v>120616</v>
      </c>
      <c r="E494">
        <v>71</v>
      </c>
      <c r="F494">
        <v>1</v>
      </c>
      <c r="G494">
        <v>16</v>
      </c>
      <c r="H494" t="s">
        <v>17</v>
      </c>
      <c r="I494">
        <v>542.03</v>
      </c>
    </row>
    <row r="495" spans="1:9" x14ac:dyDescent="0.25">
      <c r="A495">
        <v>494</v>
      </c>
      <c r="B495">
        <v>35</v>
      </c>
      <c r="C495" t="s">
        <v>12</v>
      </c>
      <c r="D495">
        <v>141134</v>
      </c>
      <c r="E495">
        <v>24</v>
      </c>
      <c r="F495">
        <v>4</v>
      </c>
      <c r="G495">
        <v>48</v>
      </c>
      <c r="H495" t="s">
        <v>15</v>
      </c>
      <c r="I495">
        <v>649.61</v>
      </c>
    </row>
    <row r="496" spans="1:9" x14ac:dyDescent="0.25">
      <c r="A496">
        <v>495</v>
      </c>
      <c r="B496">
        <v>59</v>
      </c>
      <c r="C496" t="s">
        <v>12</v>
      </c>
      <c r="D496">
        <v>140809</v>
      </c>
      <c r="E496">
        <v>45</v>
      </c>
      <c r="F496">
        <v>5</v>
      </c>
      <c r="G496">
        <v>45</v>
      </c>
      <c r="H496" t="s">
        <v>15</v>
      </c>
      <c r="I496">
        <v>917.5</v>
      </c>
    </row>
    <row r="497" spans="1:9" x14ac:dyDescent="0.25">
      <c r="A497">
        <v>496</v>
      </c>
      <c r="B497">
        <v>33</v>
      </c>
      <c r="C497" t="s">
        <v>18</v>
      </c>
      <c r="D497">
        <v>65486</v>
      </c>
      <c r="E497">
        <v>76</v>
      </c>
      <c r="F497">
        <v>2</v>
      </c>
      <c r="G497">
        <v>11</v>
      </c>
      <c r="H497" t="s">
        <v>15</v>
      </c>
      <c r="I497">
        <v>302.05</v>
      </c>
    </row>
    <row r="498" spans="1:9" x14ac:dyDescent="0.25">
      <c r="A498">
        <v>497</v>
      </c>
      <c r="B498">
        <v>56</v>
      </c>
      <c r="C498" t="s">
        <v>12</v>
      </c>
      <c r="D498">
        <v>145254</v>
      </c>
      <c r="E498">
        <v>48</v>
      </c>
      <c r="F498">
        <v>6</v>
      </c>
      <c r="G498">
        <v>43</v>
      </c>
      <c r="H498" t="s">
        <v>15</v>
      </c>
      <c r="I498">
        <v>422.32</v>
      </c>
    </row>
    <row r="499" spans="1:9" x14ac:dyDescent="0.25">
      <c r="A499">
        <v>498</v>
      </c>
      <c r="B499">
        <v>54</v>
      </c>
      <c r="C499" t="s">
        <v>18</v>
      </c>
      <c r="D499">
        <v>43308</v>
      </c>
      <c r="E499">
        <v>56</v>
      </c>
      <c r="F499">
        <v>5</v>
      </c>
      <c r="G499">
        <v>50</v>
      </c>
      <c r="H499" t="s">
        <v>14</v>
      </c>
      <c r="I499">
        <v>667.92</v>
      </c>
    </row>
    <row r="500" spans="1:9" x14ac:dyDescent="0.25">
      <c r="A500">
        <v>499</v>
      </c>
      <c r="B500">
        <v>25</v>
      </c>
      <c r="C500" t="s">
        <v>12</v>
      </c>
      <c r="D500">
        <v>33065</v>
      </c>
      <c r="E500">
        <v>61</v>
      </c>
      <c r="F500">
        <v>7</v>
      </c>
      <c r="G500">
        <v>40</v>
      </c>
      <c r="H500" t="s">
        <v>16</v>
      </c>
      <c r="I500">
        <v>317.98</v>
      </c>
    </row>
    <row r="501" spans="1:9" x14ac:dyDescent="0.25">
      <c r="A501">
        <v>500</v>
      </c>
      <c r="B501">
        <v>47</v>
      </c>
      <c r="C501" t="s">
        <v>12</v>
      </c>
      <c r="D501">
        <v>69168</v>
      </c>
      <c r="E501">
        <v>16</v>
      </c>
      <c r="F501">
        <v>7</v>
      </c>
      <c r="G501">
        <v>42</v>
      </c>
      <c r="H501" t="s">
        <v>17</v>
      </c>
      <c r="I501">
        <v>638.96</v>
      </c>
    </row>
    <row r="502" spans="1:9" x14ac:dyDescent="0.25">
      <c r="A502">
        <v>501</v>
      </c>
      <c r="B502">
        <v>42</v>
      </c>
      <c r="C502" t="s">
        <v>12</v>
      </c>
      <c r="D502">
        <v>129999</v>
      </c>
      <c r="E502">
        <v>73</v>
      </c>
      <c r="F502">
        <v>5</v>
      </c>
      <c r="G502">
        <v>2</v>
      </c>
      <c r="H502" t="s">
        <v>17</v>
      </c>
      <c r="I502">
        <v>942.97</v>
      </c>
    </row>
    <row r="503" spans="1:9" x14ac:dyDescent="0.25">
      <c r="A503">
        <v>502</v>
      </c>
      <c r="B503">
        <v>61</v>
      </c>
      <c r="C503" t="s">
        <v>18</v>
      </c>
      <c r="D503">
        <v>41730</v>
      </c>
      <c r="E503">
        <v>2</v>
      </c>
      <c r="F503">
        <v>9</v>
      </c>
      <c r="G503">
        <v>20</v>
      </c>
      <c r="H503" t="s">
        <v>14</v>
      </c>
      <c r="I503">
        <v>177.64</v>
      </c>
    </row>
    <row r="504" spans="1:9" x14ac:dyDescent="0.25">
      <c r="A504">
        <v>503</v>
      </c>
      <c r="B504">
        <v>22</v>
      </c>
      <c r="C504" t="s">
        <v>12</v>
      </c>
      <c r="D504">
        <v>75626</v>
      </c>
      <c r="E504">
        <v>52</v>
      </c>
      <c r="F504">
        <v>7</v>
      </c>
      <c r="G504">
        <v>34</v>
      </c>
      <c r="H504" t="s">
        <v>14</v>
      </c>
      <c r="I504">
        <v>154.66999999999999</v>
      </c>
    </row>
    <row r="505" spans="1:9" x14ac:dyDescent="0.25">
      <c r="A505">
        <v>504</v>
      </c>
      <c r="B505">
        <v>18</v>
      </c>
      <c r="C505" t="s">
        <v>45</v>
      </c>
      <c r="D505">
        <v>142641</v>
      </c>
      <c r="E505">
        <v>40</v>
      </c>
      <c r="F505">
        <v>7</v>
      </c>
      <c r="G505">
        <v>31</v>
      </c>
      <c r="H505" t="s">
        <v>14</v>
      </c>
      <c r="I505">
        <v>240.64</v>
      </c>
    </row>
    <row r="506" spans="1:9" x14ac:dyDescent="0.25">
      <c r="A506">
        <v>505</v>
      </c>
      <c r="B506">
        <v>22</v>
      </c>
      <c r="C506" t="s">
        <v>12</v>
      </c>
      <c r="D506">
        <v>53863</v>
      </c>
      <c r="E506">
        <v>96</v>
      </c>
      <c r="F506">
        <v>10</v>
      </c>
      <c r="G506">
        <v>41</v>
      </c>
      <c r="H506" t="s">
        <v>14</v>
      </c>
      <c r="I506">
        <v>491.64</v>
      </c>
    </row>
    <row r="507" spans="1:9" x14ac:dyDescent="0.25">
      <c r="A507">
        <v>506</v>
      </c>
      <c r="B507">
        <v>66</v>
      </c>
      <c r="C507" t="s">
        <v>12</v>
      </c>
      <c r="D507">
        <v>149505</v>
      </c>
      <c r="E507">
        <v>79</v>
      </c>
      <c r="F507">
        <v>4</v>
      </c>
      <c r="G507">
        <v>8</v>
      </c>
      <c r="H507" t="s">
        <v>15</v>
      </c>
      <c r="I507">
        <v>334.95</v>
      </c>
    </row>
    <row r="508" spans="1:9" x14ac:dyDescent="0.25">
      <c r="A508">
        <v>507</v>
      </c>
      <c r="B508">
        <v>58</v>
      </c>
      <c r="C508" t="s">
        <v>12</v>
      </c>
      <c r="D508">
        <v>132215</v>
      </c>
      <c r="E508">
        <v>91</v>
      </c>
      <c r="F508">
        <v>8</v>
      </c>
      <c r="G508">
        <v>6</v>
      </c>
      <c r="H508" t="s">
        <v>15</v>
      </c>
      <c r="I508">
        <v>275.70999999999998</v>
      </c>
    </row>
    <row r="509" spans="1:9" x14ac:dyDescent="0.25">
      <c r="A509">
        <v>508</v>
      </c>
      <c r="B509">
        <v>48</v>
      </c>
      <c r="C509" t="s">
        <v>45</v>
      </c>
      <c r="D509">
        <v>72108</v>
      </c>
      <c r="E509">
        <v>85</v>
      </c>
      <c r="F509">
        <v>8</v>
      </c>
      <c r="G509">
        <v>13</v>
      </c>
      <c r="H509" t="s">
        <v>15</v>
      </c>
      <c r="I509">
        <v>486.58</v>
      </c>
    </row>
    <row r="510" spans="1:9" x14ac:dyDescent="0.25">
      <c r="A510">
        <v>509</v>
      </c>
      <c r="B510">
        <v>68</v>
      </c>
      <c r="C510" t="s">
        <v>45</v>
      </c>
      <c r="D510">
        <v>113760</v>
      </c>
      <c r="E510">
        <v>64</v>
      </c>
      <c r="F510">
        <v>2</v>
      </c>
      <c r="G510">
        <v>37</v>
      </c>
      <c r="H510" t="s">
        <v>15</v>
      </c>
      <c r="I510">
        <v>462.62</v>
      </c>
    </row>
    <row r="511" spans="1:9" x14ac:dyDescent="0.25">
      <c r="A511">
        <v>510</v>
      </c>
      <c r="B511">
        <v>19</v>
      </c>
      <c r="C511" t="s">
        <v>12</v>
      </c>
      <c r="D511">
        <v>111238</v>
      </c>
      <c r="E511">
        <v>7</v>
      </c>
      <c r="F511">
        <v>2</v>
      </c>
      <c r="G511">
        <v>30</v>
      </c>
      <c r="H511" t="s">
        <v>15</v>
      </c>
      <c r="I511">
        <v>813.37</v>
      </c>
    </row>
    <row r="512" spans="1:9" x14ac:dyDescent="0.25">
      <c r="A512">
        <v>511</v>
      </c>
      <c r="B512">
        <v>24</v>
      </c>
      <c r="C512" t="s">
        <v>45</v>
      </c>
      <c r="D512">
        <v>109039</v>
      </c>
      <c r="E512">
        <v>71</v>
      </c>
      <c r="F512">
        <v>9</v>
      </c>
      <c r="G512">
        <v>41</v>
      </c>
      <c r="H512" t="s">
        <v>15</v>
      </c>
      <c r="I512">
        <v>606.17999999999995</v>
      </c>
    </row>
    <row r="513" spans="1:9" x14ac:dyDescent="0.25">
      <c r="A513">
        <v>512</v>
      </c>
      <c r="B513">
        <v>33</v>
      </c>
      <c r="C513" t="s">
        <v>12</v>
      </c>
      <c r="D513">
        <v>132968</v>
      </c>
      <c r="E513">
        <v>49</v>
      </c>
      <c r="F513">
        <v>10</v>
      </c>
      <c r="G513">
        <v>45</v>
      </c>
      <c r="H513" t="s">
        <v>15</v>
      </c>
      <c r="I513">
        <v>641.53</v>
      </c>
    </row>
    <row r="514" spans="1:9" x14ac:dyDescent="0.25">
      <c r="A514">
        <v>513</v>
      </c>
      <c r="B514">
        <v>19</v>
      </c>
      <c r="C514" t="s">
        <v>12</v>
      </c>
      <c r="D514">
        <v>82506</v>
      </c>
      <c r="E514">
        <v>10</v>
      </c>
      <c r="F514">
        <v>5</v>
      </c>
      <c r="G514">
        <v>41</v>
      </c>
      <c r="H514" t="s">
        <v>15</v>
      </c>
      <c r="I514">
        <v>406.32</v>
      </c>
    </row>
    <row r="515" spans="1:9" x14ac:dyDescent="0.25">
      <c r="A515">
        <v>514</v>
      </c>
      <c r="B515">
        <v>69</v>
      </c>
      <c r="C515" t="s">
        <v>18</v>
      </c>
      <c r="D515">
        <v>58668</v>
      </c>
      <c r="E515">
        <v>40</v>
      </c>
      <c r="F515">
        <v>2</v>
      </c>
      <c r="G515">
        <v>15</v>
      </c>
      <c r="H515" t="s">
        <v>13</v>
      </c>
      <c r="I515">
        <v>626.35</v>
      </c>
    </row>
    <row r="516" spans="1:9" x14ac:dyDescent="0.25">
      <c r="A516">
        <v>515</v>
      </c>
      <c r="B516">
        <v>28</v>
      </c>
      <c r="C516" t="s">
        <v>12</v>
      </c>
      <c r="D516">
        <v>66961</v>
      </c>
      <c r="E516">
        <v>8</v>
      </c>
      <c r="F516">
        <v>10</v>
      </c>
      <c r="G516">
        <v>22</v>
      </c>
      <c r="H516" t="s">
        <v>16</v>
      </c>
      <c r="I516">
        <v>179.82</v>
      </c>
    </row>
    <row r="517" spans="1:9" x14ac:dyDescent="0.25">
      <c r="A517">
        <v>516</v>
      </c>
      <c r="B517">
        <v>32</v>
      </c>
      <c r="C517" t="s">
        <v>45</v>
      </c>
      <c r="D517">
        <v>137280</v>
      </c>
      <c r="E517">
        <v>95</v>
      </c>
      <c r="F517">
        <v>6</v>
      </c>
      <c r="G517">
        <v>3</v>
      </c>
      <c r="H517" t="s">
        <v>14</v>
      </c>
      <c r="I517">
        <v>31.72</v>
      </c>
    </row>
    <row r="518" spans="1:9" x14ac:dyDescent="0.25">
      <c r="A518">
        <v>517</v>
      </c>
      <c r="B518">
        <v>18</v>
      </c>
      <c r="C518" t="s">
        <v>45</v>
      </c>
      <c r="D518">
        <v>112021</v>
      </c>
      <c r="E518">
        <v>9</v>
      </c>
      <c r="F518">
        <v>3</v>
      </c>
      <c r="G518">
        <v>11</v>
      </c>
      <c r="H518" t="s">
        <v>16</v>
      </c>
      <c r="I518">
        <v>588.37</v>
      </c>
    </row>
    <row r="519" spans="1:9" x14ac:dyDescent="0.25">
      <c r="A519">
        <v>518</v>
      </c>
      <c r="B519">
        <v>45</v>
      </c>
      <c r="C519" t="s">
        <v>18</v>
      </c>
      <c r="D519">
        <v>110280</v>
      </c>
      <c r="E519">
        <v>85</v>
      </c>
      <c r="F519">
        <v>4</v>
      </c>
      <c r="G519">
        <v>21</v>
      </c>
      <c r="H519" t="s">
        <v>16</v>
      </c>
      <c r="I519">
        <v>944.07</v>
      </c>
    </row>
    <row r="520" spans="1:9" x14ac:dyDescent="0.25">
      <c r="A520">
        <v>519</v>
      </c>
      <c r="B520">
        <v>45</v>
      </c>
      <c r="C520" t="s">
        <v>18</v>
      </c>
      <c r="D520">
        <v>67753</v>
      </c>
      <c r="E520">
        <v>64</v>
      </c>
      <c r="F520">
        <v>4</v>
      </c>
      <c r="G520">
        <v>48</v>
      </c>
      <c r="H520" t="s">
        <v>15</v>
      </c>
      <c r="I520">
        <v>926.69</v>
      </c>
    </row>
    <row r="521" spans="1:9" x14ac:dyDescent="0.25">
      <c r="A521">
        <v>520</v>
      </c>
      <c r="B521">
        <v>38</v>
      </c>
      <c r="C521" t="s">
        <v>12</v>
      </c>
      <c r="D521">
        <v>54918</v>
      </c>
      <c r="E521">
        <v>1</v>
      </c>
      <c r="F521">
        <v>6</v>
      </c>
      <c r="G521">
        <v>6</v>
      </c>
      <c r="H521" t="s">
        <v>14</v>
      </c>
      <c r="I521">
        <v>979.26</v>
      </c>
    </row>
    <row r="522" spans="1:9" x14ac:dyDescent="0.25">
      <c r="A522">
        <v>521</v>
      </c>
      <c r="B522">
        <v>69</v>
      </c>
      <c r="C522" t="s">
        <v>45</v>
      </c>
      <c r="D522">
        <v>78534</v>
      </c>
      <c r="E522">
        <v>100</v>
      </c>
      <c r="F522">
        <v>2</v>
      </c>
      <c r="G522">
        <v>9</v>
      </c>
      <c r="H522" t="s">
        <v>13</v>
      </c>
      <c r="I522">
        <v>75.03</v>
      </c>
    </row>
    <row r="523" spans="1:9" x14ac:dyDescent="0.25">
      <c r="A523">
        <v>522</v>
      </c>
      <c r="B523">
        <v>29</v>
      </c>
      <c r="C523" t="s">
        <v>18</v>
      </c>
      <c r="D523">
        <v>51471</v>
      </c>
      <c r="E523">
        <v>96</v>
      </c>
      <c r="F523">
        <v>3</v>
      </c>
      <c r="G523">
        <v>13</v>
      </c>
      <c r="H523" t="s">
        <v>13</v>
      </c>
      <c r="I523">
        <v>668.21</v>
      </c>
    </row>
    <row r="524" spans="1:9" x14ac:dyDescent="0.25">
      <c r="A524">
        <v>523</v>
      </c>
      <c r="B524">
        <v>32</v>
      </c>
      <c r="C524" t="s">
        <v>18</v>
      </c>
      <c r="D524">
        <v>58144</v>
      </c>
      <c r="E524">
        <v>4</v>
      </c>
      <c r="F524">
        <v>5</v>
      </c>
      <c r="G524">
        <v>16</v>
      </c>
      <c r="H524" t="s">
        <v>14</v>
      </c>
      <c r="I524">
        <v>923.37</v>
      </c>
    </row>
    <row r="525" spans="1:9" x14ac:dyDescent="0.25">
      <c r="A525">
        <v>524</v>
      </c>
      <c r="B525">
        <v>47</v>
      </c>
      <c r="C525" t="s">
        <v>45</v>
      </c>
      <c r="D525">
        <v>100338</v>
      </c>
      <c r="E525">
        <v>13</v>
      </c>
      <c r="F525">
        <v>9</v>
      </c>
      <c r="G525">
        <v>40</v>
      </c>
      <c r="H525" t="s">
        <v>14</v>
      </c>
      <c r="I525">
        <v>48.65</v>
      </c>
    </row>
    <row r="526" spans="1:9" x14ac:dyDescent="0.25">
      <c r="A526">
        <v>525</v>
      </c>
      <c r="B526">
        <v>33</v>
      </c>
      <c r="C526" t="s">
        <v>18</v>
      </c>
      <c r="D526">
        <v>90232</v>
      </c>
      <c r="E526">
        <v>19</v>
      </c>
      <c r="F526">
        <v>2</v>
      </c>
      <c r="G526">
        <v>8</v>
      </c>
      <c r="H526" t="s">
        <v>17</v>
      </c>
      <c r="I526">
        <v>255.08</v>
      </c>
    </row>
    <row r="527" spans="1:9" x14ac:dyDescent="0.25">
      <c r="A527">
        <v>526</v>
      </c>
      <c r="B527">
        <v>52</v>
      </c>
      <c r="C527" t="s">
        <v>12</v>
      </c>
      <c r="D527">
        <v>133701</v>
      </c>
      <c r="E527">
        <v>64</v>
      </c>
      <c r="F527">
        <v>1</v>
      </c>
      <c r="G527">
        <v>34</v>
      </c>
      <c r="H527" t="s">
        <v>17</v>
      </c>
      <c r="I527">
        <v>534.25</v>
      </c>
    </row>
    <row r="528" spans="1:9" x14ac:dyDescent="0.25">
      <c r="A528">
        <v>527</v>
      </c>
      <c r="B528">
        <v>62</v>
      </c>
      <c r="C528" t="s">
        <v>18</v>
      </c>
      <c r="D528">
        <v>117704</v>
      </c>
      <c r="E528">
        <v>37</v>
      </c>
      <c r="F528">
        <v>3</v>
      </c>
      <c r="G528">
        <v>48</v>
      </c>
      <c r="H528" t="s">
        <v>15</v>
      </c>
      <c r="I528">
        <v>112.11</v>
      </c>
    </row>
    <row r="529" spans="1:9" x14ac:dyDescent="0.25">
      <c r="A529">
        <v>528</v>
      </c>
      <c r="B529">
        <v>23</v>
      </c>
      <c r="C529" t="s">
        <v>18</v>
      </c>
      <c r="D529">
        <v>144577</v>
      </c>
      <c r="E529">
        <v>75</v>
      </c>
      <c r="F529">
        <v>1</v>
      </c>
      <c r="G529">
        <v>9</v>
      </c>
      <c r="H529" t="s">
        <v>17</v>
      </c>
      <c r="I529">
        <v>826.02</v>
      </c>
    </row>
    <row r="530" spans="1:9" x14ac:dyDescent="0.25">
      <c r="A530">
        <v>529</v>
      </c>
      <c r="B530">
        <v>57</v>
      </c>
      <c r="C530" t="s">
        <v>12</v>
      </c>
      <c r="D530">
        <v>139366</v>
      </c>
      <c r="E530">
        <v>39</v>
      </c>
      <c r="F530">
        <v>5</v>
      </c>
      <c r="G530">
        <v>50</v>
      </c>
      <c r="H530" t="s">
        <v>15</v>
      </c>
      <c r="I530">
        <v>34.5</v>
      </c>
    </row>
    <row r="531" spans="1:9" x14ac:dyDescent="0.25">
      <c r="A531">
        <v>530</v>
      </c>
      <c r="B531">
        <v>27</v>
      </c>
      <c r="C531" t="s">
        <v>12</v>
      </c>
      <c r="D531">
        <v>106944</v>
      </c>
      <c r="E531">
        <v>63</v>
      </c>
      <c r="F531">
        <v>1</v>
      </c>
      <c r="G531">
        <v>28</v>
      </c>
      <c r="H531" t="s">
        <v>15</v>
      </c>
      <c r="I531">
        <v>36.39</v>
      </c>
    </row>
    <row r="532" spans="1:9" x14ac:dyDescent="0.25">
      <c r="A532">
        <v>531</v>
      </c>
      <c r="B532">
        <v>61</v>
      </c>
      <c r="C532" t="s">
        <v>12</v>
      </c>
      <c r="D532">
        <v>92031</v>
      </c>
      <c r="E532">
        <v>44</v>
      </c>
      <c r="F532">
        <v>7</v>
      </c>
      <c r="G532">
        <v>11</v>
      </c>
      <c r="H532" t="s">
        <v>15</v>
      </c>
      <c r="I532">
        <v>573.30999999999995</v>
      </c>
    </row>
    <row r="533" spans="1:9" x14ac:dyDescent="0.25">
      <c r="A533">
        <v>532</v>
      </c>
      <c r="B533">
        <v>19</v>
      </c>
      <c r="C533" t="s">
        <v>12</v>
      </c>
      <c r="D533">
        <v>146165</v>
      </c>
      <c r="E533">
        <v>38</v>
      </c>
      <c r="F533">
        <v>9</v>
      </c>
      <c r="G533">
        <v>45</v>
      </c>
      <c r="H533" t="s">
        <v>13</v>
      </c>
      <c r="I533">
        <v>819.92</v>
      </c>
    </row>
    <row r="534" spans="1:9" x14ac:dyDescent="0.25">
      <c r="A534">
        <v>533</v>
      </c>
      <c r="B534">
        <v>36</v>
      </c>
      <c r="C534" t="s">
        <v>45</v>
      </c>
      <c r="D534">
        <v>113794</v>
      </c>
      <c r="E534">
        <v>74</v>
      </c>
      <c r="F534">
        <v>1</v>
      </c>
      <c r="G534">
        <v>27</v>
      </c>
      <c r="H534" t="s">
        <v>15</v>
      </c>
      <c r="I534">
        <v>377.75</v>
      </c>
    </row>
    <row r="535" spans="1:9" x14ac:dyDescent="0.25">
      <c r="A535">
        <v>534</v>
      </c>
      <c r="B535">
        <v>28</v>
      </c>
      <c r="C535" t="s">
        <v>12</v>
      </c>
      <c r="D535">
        <v>121073</v>
      </c>
      <c r="E535">
        <v>44</v>
      </c>
      <c r="F535">
        <v>3</v>
      </c>
      <c r="G535">
        <v>16</v>
      </c>
      <c r="H535" t="s">
        <v>15</v>
      </c>
      <c r="I535">
        <v>482.35</v>
      </c>
    </row>
    <row r="536" spans="1:9" x14ac:dyDescent="0.25">
      <c r="A536">
        <v>535</v>
      </c>
      <c r="B536">
        <v>46</v>
      </c>
      <c r="C536" t="s">
        <v>45</v>
      </c>
      <c r="D536">
        <v>61090</v>
      </c>
      <c r="E536">
        <v>3</v>
      </c>
      <c r="F536">
        <v>4</v>
      </c>
      <c r="G536">
        <v>3</v>
      </c>
      <c r="H536" t="s">
        <v>15</v>
      </c>
      <c r="I536">
        <v>213.68</v>
      </c>
    </row>
    <row r="537" spans="1:9" x14ac:dyDescent="0.25">
      <c r="A537">
        <v>536</v>
      </c>
      <c r="B537">
        <v>62</v>
      </c>
      <c r="C537" t="s">
        <v>18</v>
      </c>
      <c r="D537">
        <v>74474</v>
      </c>
      <c r="E537">
        <v>49</v>
      </c>
      <c r="F537">
        <v>2</v>
      </c>
      <c r="G537">
        <v>18</v>
      </c>
      <c r="H537" t="s">
        <v>15</v>
      </c>
      <c r="I537">
        <v>933.65</v>
      </c>
    </row>
    <row r="538" spans="1:9" x14ac:dyDescent="0.25">
      <c r="A538">
        <v>537</v>
      </c>
      <c r="B538">
        <v>48</v>
      </c>
      <c r="C538" t="s">
        <v>18</v>
      </c>
      <c r="D538">
        <v>57932</v>
      </c>
      <c r="E538">
        <v>70</v>
      </c>
      <c r="F538">
        <v>9</v>
      </c>
      <c r="G538">
        <v>44</v>
      </c>
      <c r="H538" t="s">
        <v>13</v>
      </c>
      <c r="I538">
        <v>192.46</v>
      </c>
    </row>
    <row r="539" spans="1:9" x14ac:dyDescent="0.25">
      <c r="A539">
        <v>538</v>
      </c>
      <c r="B539">
        <v>39</v>
      </c>
      <c r="C539" t="s">
        <v>12</v>
      </c>
      <c r="D539">
        <v>49970</v>
      </c>
      <c r="E539">
        <v>53</v>
      </c>
      <c r="F539">
        <v>5</v>
      </c>
      <c r="G539">
        <v>24</v>
      </c>
      <c r="H539" t="s">
        <v>16</v>
      </c>
      <c r="I539">
        <v>728.58</v>
      </c>
    </row>
    <row r="540" spans="1:9" x14ac:dyDescent="0.25">
      <c r="A540">
        <v>539</v>
      </c>
      <c r="B540">
        <v>27</v>
      </c>
      <c r="C540" t="s">
        <v>12</v>
      </c>
      <c r="D540">
        <v>73823</v>
      </c>
      <c r="E540">
        <v>11</v>
      </c>
      <c r="F540">
        <v>8</v>
      </c>
      <c r="G540">
        <v>23</v>
      </c>
      <c r="H540" t="s">
        <v>14</v>
      </c>
      <c r="I540">
        <v>27.4</v>
      </c>
    </row>
    <row r="541" spans="1:9" x14ac:dyDescent="0.25">
      <c r="A541">
        <v>540</v>
      </c>
      <c r="B541">
        <v>36</v>
      </c>
      <c r="C541" t="s">
        <v>12</v>
      </c>
      <c r="D541">
        <v>37595</v>
      </c>
      <c r="E541">
        <v>88</v>
      </c>
      <c r="F541">
        <v>8</v>
      </c>
      <c r="G541">
        <v>49</v>
      </c>
      <c r="H541" t="s">
        <v>16</v>
      </c>
      <c r="I541">
        <v>600.48</v>
      </c>
    </row>
    <row r="542" spans="1:9" x14ac:dyDescent="0.25">
      <c r="A542">
        <v>541</v>
      </c>
      <c r="B542">
        <v>33</v>
      </c>
      <c r="C542" t="s">
        <v>18</v>
      </c>
      <c r="D542">
        <v>103063</v>
      </c>
      <c r="E542">
        <v>16</v>
      </c>
      <c r="F542">
        <v>3</v>
      </c>
      <c r="G542">
        <v>4</v>
      </c>
      <c r="H542" t="s">
        <v>14</v>
      </c>
      <c r="I542">
        <v>998.51</v>
      </c>
    </row>
    <row r="543" spans="1:9" x14ac:dyDescent="0.25">
      <c r="A543">
        <v>542</v>
      </c>
      <c r="B543">
        <v>69</v>
      </c>
      <c r="C543" t="s">
        <v>45</v>
      </c>
      <c r="D543">
        <v>86860</v>
      </c>
      <c r="E543">
        <v>70</v>
      </c>
      <c r="F543">
        <v>1</v>
      </c>
      <c r="G543">
        <v>1</v>
      </c>
      <c r="H543" t="s">
        <v>17</v>
      </c>
      <c r="I543">
        <v>812.25</v>
      </c>
    </row>
    <row r="544" spans="1:9" x14ac:dyDescent="0.25">
      <c r="A544">
        <v>543</v>
      </c>
      <c r="B544">
        <v>68</v>
      </c>
      <c r="C544" t="s">
        <v>18</v>
      </c>
      <c r="D544">
        <v>40478</v>
      </c>
      <c r="E544">
        <v>22</v>
      </c>
      <c r="F544">
        <v>4</v>
      </c>
      <c r="G544">
        <v>46</v>
      </c>
      <c r="H544" t="s">
        <v>16</v>
      </c>
      <c r="I544">
        <v>954.91</v>
      </c>
    </row>
    <row r="545" spans="1:9" x14ac:dyDescent="0.25">
      <c r="A545">
        <v>544</v>
      </c>
      <c r="B545">
        <v>66</v>
      </c>
      <c r="C545" t="s">
        <v>18</v>
      </c>
      <c r="D545">
        <v>126893</v>
      </c>
      <c r="E545">
        <v>3</v>
      </c>
      <c r="F545">
        <v>1</v>
      </c>
      <c r="G545">
        <v>32</v>
      </c>
      <c r="H545" t="s">
        <v>17</v>
      </c>
      <c r="I545">
        <v>199.17</v>
      </c>
    </row>
    <row r="546" spans="1:9" x14ac:dyDescent="0.25">
      <c r="A546">
        <v>545</v>
      </c>
      <c r="B546">
        <v>23</v>
      </c>
      <c r="C546" t="s">
        <v>18</v>
      </c>
      <c r="D546">
        <v>123168</v>
      </c>
      <c r="E546">
        <v>80</v>
      </c>
      <c r="F546">
        <v>4</v>
      </c>
      <c r="G546">
        <v>19</v>
      </c>
      <c r="H546" t="s">
        <v>17</v>
      </c>
      <c r="I546">
        <v>860.95</v>
      </c>
    </row>
    <row r="547" spans="1:9" x14ac:dyDescent="0.25">
      <c r="A547">
        <v>546</v>
      </c>
      <c r="B547">
        <v>44</v>
      </c>
      <c r="C547" t="s">
        <v>45</v>
      </c>
      <c r="D547">
        <v>112137</v>
      </c>
      <c r="E547">
        <v>37</v>
      </c>
      <c r="F547">
        <v>7</v>
      </c>
      <c r="G547">
        <v>18</v>
      </c>
      <c r="H547" t="s">
        <v>16</v>
      </c>
      <c r="I547">
        <v>769.16</v>
      </c>
    </row>
    <row r="548" spans="1:9" x14ac:dyDescent="0.25">
      <c r="A548">
        <v>547</v>
      </c>
      <c r="B548">
        <v>60</v>
      </c>
      <c r="C548" t="s">
        <v>45</v>
      </c>
      <c r="D548">
        <v>108533</v>
      </c>
      <c r="E548">
        <v>23</v>
      </c>
      <c r="F548">
        <v>9</v>
      </c>
      <c r="G548">
        <v>24</v>
      </c>
      <c r="H548" t="s">
        <v>14</v>
      </c>
      <c r="I548">
        <v>506.98</v>
      </c>
    </row>
    <row r="549" spans="1:9" x14ac:dyDescent="0.25">
      <c r="A549">
        <v>548</v>
      </c>
      <c r="B549">
        <v>22</v>
      </c>
      <c r="C549" t="s">
        <v>18</v>
      </c>
      <c r="D549">
        <v>93861</v>
      </c>
      <c r="E549">
        <v>42</v>
      </c>
      <c r="F549">
        <v>6</v>
      </c>
      <c r="G549">
        <v>6</v>
      </c>
      <c r="H549" t="s">
        <v>13</v>
      </c>
      <c r="I549">
        <v>73.13</v>
      </c>
    </row>
    <row r="550" spans="1:9" x14ac:dyDescent="0.25">
      <c r="A550">
        <v>549</v>
      </c>
      <c r="B550">
        <v>39</v>
      </c>
      <c r="C550" t="s">
        <v>12</v>
      </c>
      <c r="D550">
        <v>30004</v>
      </c>
      <c r="E550">
        <v>32</v>
      </c>
      <c r="F550">
        <v>6</v>
      </c>
      <c r="G550">
        <v>48</v>
      </c>
      <c r="H550" t="s">
        <v>15</v>
      </c>
      <c r="I550">
        <v>863.47</v>
      </c>
    </row>
    <row r="551" spans="1:9" x14ac:dyDescent="0.25">
      <c r="A551">
        <v>550</v>
      </c>
      <c r="B551">
        <v>53</v>
      </c>
      <c r="C551" t="s">
        <v>12</v>
      </c>
      <c r="D551">
        <v>47499</v>
      </c>
      <c r="E551">
        <v>85</v>
      </c>
      <c r="F551">
        <v>2</v>
      </c>
      <c r="G551">
        <v>45</v>
      </c>
      <c r="H551" t="s">
        <v>15</v>
      </c>
      <c r="I551">
        <v>338.69</v>
      </c>
    </row>
    <row r="552" spans="1:9" x14ac:dyDescent="0.25">
      <c r="A552">
        <v>551</v>
      </c>
      <c r="B552">
        <v>50</v>
      </c>
      <c r="C552" t="s">
        <v>12</v>
      </c>
      <c r="D552">
        <v>43965</v>
      </c>
      <c r="E552">
        <v>83</v>
      </c>
      <c r="F552">
        <v>3</v>
      </c>
      <c r="G552">
        <v>17</v>
      </c>
      <c r="H552" t="s">
        <v>14</v>
      </c>
      <c r="I552">
        <v>83.38</v>
      </c>
    </row>
    <row r="553" spans="1:9" x14ac:dyDescent="0.25">
      <c r="A553">
        <v>552</v>
      </c>
      <c r="B553">
        <v>20</v>
      </c>
      <c r="C553" t="s">
        <v>12</v>
      </c>
      <c r="D553">
        <v>51199</v>
      </c>
      <c r="E553">
        <v>100</v>
      </c>
      <c r="F553">
        <v>5</v>
      </c>
      <c r="G553">
        <v>5</v>
      </c>
      <c r="H553" t="s">
        <v>17</v>
      </c>
      <c r="I553">
        <v>889.83</v>
      </c>
    </row>
    <row r="554" spans="1:9" x14ac:dyDescent="0.25">
      <c r="A554">
        <v>553</v>
      </c>
      <c r="B554">
        <v>69</v>
      </c>
      <c r="C554" t="s">
        <v>12</v>
      </c>
      <c r="D554">
        <v>51759</v>
      </c>
      <c r="E554">
        <v>18</v>
      </c>
      <c r="F554">
        <v>9</v>
      </c>
      <c r="G554">
        <v>14</v>
      </c>
      <c r="H554" t="s">
        <v>15</v>
      </c>
      <c r="I554">
        <v>563.48</v>
      </c>
    </row>
    <row r="555" spans="1:9" x14ac:dyDescent="0.25">
      <c r="A555">
        <v>554</v>
      </c>
      <c r="B555">
        <v>61</v>
      </c>
      <c r="C555" t="s">
        <v>18</v>
      </c>
      <c r="D555">
        <v>54256</v>
      </c>
      <c r="E555">
        <v>78</v>
      </c>
      <c r="F555">
        <v>3</v>
      </c>
      <c r="G555">
        <v>3</v>
      </c>
      <c r="H555" t="s">
        <v>13</v>
      </c>
      <c r="I555">
        <v>886.44</v>
      </c>
    </row>
    <row r="556" spans="1:9" x14ac:dyDescent="0.25">
      <c r="A556">
        <v>555</v>
      </c>
      <c r="B556">
        <v>66</v>
      </c>
      <c r="C556" t="s">
        <v>45</v>
      </c>
      <c r="D556">
        <v>53345</v>
      </c>
      <c r="E556">
        <v>100</v>
      </c>
      <c r="F556">
        <v>4</v>
      </c>
      <c r="G556">
        <v>22</v>
      </c>
      <c r="H556" t="s">
        <v>15</v>
      </c>
      <c r="I556">
        <v>221.75</v>
      </c>
    </row>
    <row r="557" spans="1:9" x14ac:dyDescent="0.25">
      <c r="A557">
        <v>556</v>
      </c>
      <c r="B557">
        <v>25</v>
      </c>
      <c r="C557" t="s">
        <v>18</v>
      </c>
      <c r="D557">
        <v>52403</v>
      </c>
      <c r="E557">
        <v>53</v>
      </c>
      <c r="F557">
        <v>1</v>
      </c>
      <c r="G557">
        <v>14</v>
      </c>
      <c r="H557" t="s">
        <v>16</v>
      </c>
      <c r="I557">
        <v>73.34</v>
      </c>
    </row>
    <row r="558" spans="1:9" x14ac:dyDescent="0.25">
      <c r="A558">
        <v>557</v>
      </c>
      <c r="B558">
        <v>45</v>
      </c>
      <c r="C558" t="s">
        <v>12</v>
      </c>
      <c r="D558">
        <v>95367</v>
      </c>
      <c r="E558">
        <v>83</v>
      </c>
      <c r="F558">
        <v>5</v>
      </c>
      <c r="G558">
        <v>30</v>
      </c>
      <c r="H558" t="s">
        <v>13</v>
      </c>
      <c r="I558">
        <v>845.33</v>
      </c>
    </row>
    <row r="559" spans="1:9" x14ac:dyDescent="0.25">
      <c r="A559">
        <v>558</v>
      </c>
      <c r="B559">
        <v>40</v>
      </c>
      <c r="C559" t="s">
        <v>12</v>
      </c>
      <c r="D559">
        <v>62536</v>
      </c>
      <c r="E559">
        <v>84</v>
      </c>
      <c r="F559">
        <v>4</v>
      </c>
      <c r="G559">
        <v>28</v>
      </c>
      <c r="H559" t="s">
        <v>15</v>
      </c>
      <c r="I559">
        <v>149.07</v>
      </c>
    </row>
    <row r="560" spans="1:9" x14ac:dyDescent="0.25">
      <c r="A560">
        <v>559</v>
      </c>
      <c r="B560">
        <v>33</v>
      </c>
      <c r="C560" t="s">
        <v>12</v>
      </c>
      <c r="D560">
        <v>121639</v>
      </c>
      <c r="E560">
        <v>17</v>
      </c>
      <c r="F560">
        <v>7</v>
      </c>
      <c r="G560">
        <v>28</v>
      </c>
      <c r="H560" t="s">
        <v>13</v>
      </c>
      <c r="I560">
        <v>422.14</v>
      </c>
    </row>
    <row r="561" spans="1:9" x14ac:dyDescent="0.25">
      <c r="A561">
        <v>560</v>
      </c>
      <c r="B561">
        <v>63</v>
      </c>
      <c r="C561" t="s">
        <v>12</v>
      </c>
      <c r="D561">
        <v>82296</v>
      </c>
      <c r="E561">
        <v>61</v>
      </c>
      <c r="F561">
        <v>4</v>
      </c>
      <c r="G561">
        <v>43</v>
      </c>
      <c r="H561" t="s">
        <v>13</v>
      </c>
      <c r="I561">
        <v>390.89</v>
      </c>
    </row>
    <row r="562" spans="1:9" x14ac:dyDescent="0.25">
      <c r="A562">
        <v>561</v>
      </c>
      <c r="B562">
        <v>61</v>
      </c>
      <c r="C562" t="s">
        <v>45</v>
      </c>
      <c r="D562">
        <v>137276</v>
      </c>
      <c r="E562">
        <v>92</v>
      </c>
      <c r="F562">
        <v>5</v>
      </c>
      <c r="G562">
        <v>8</v>
      </c>
      <c r="H562" t="s">
        <v>16</v>
      </c>
      <c r="I562">
        <v>482.77</v>
      </c>
    </row>
    <row r="563" spans="1:9" x14ac:dyDescent="0.25">
      <c r="A563">
        <v>562</v>
      </c>
      <c r="B563">
        <v>18</v>
      </c>
      <c r="C563" t="s">
        <v>12</v>
      </c>
      <c r="D563">
        <v>143235</v>
      </c>
      <c r="E563">
        <v>46</v>
      </c>
      <c r="F563">
        <v>10</v>
      </c>
      <c r="G563">
        <v>31</v>
      </c>
      <c r="H563" t="s">
        <v>16</v>
      </c>
      <c r="I563">
        <v>143.75</v>
      </c>
    </row>
    <row r="564" spans="1:9" x14ac:dyDescent="0.25">
      <c r="A564">
        <v>563</v>
      </c>
      <c r="B564">
        <v>23</v>
      </c>
      <c r="C564" t="s">
        <v>12</v>
      </c>
      <c r="D564">
        <v>143899</v>
      </c>
      <c r="E564">
        <v>10</v>
      </c>
      <c r="F564">
        <v>3</v>
      </c>
      <c r="G564">
        <v>47</v>
      </c>
      <c r="H564" t="s">
        <v>16</v>
      </c>
      <c r="I564">
        <v>361.81</v>
      </c>
    </row>
    <row r="565" spans="1:9" x14ac:dyDescent="0.25">
      <c r="A565">
        <v>564</v>
      </c>
      <c r="B565">
        <v>56</v>
      </c>
      <c r="C565" t="s">
        <v>45</v>
      </c>
      <c r="D565">
        <v>134923</v>
      </c>
      <c r="E565">
        <v>18</v>
      </c>
      <c r="F565">
        <v>3</v>
      </c>
      <c r="G565">
        <v>31</v>
      </c>
      <c r="H565" t="s">
        <v>14</v>
      </c>
      <c r="I565">
        <v>515.16</v>
      </c>
    </row>
    <row r="566" spans="1:9" x14ac:dyDescent="0.25">
      <c r="A566">
        <v>565</v>
      </c>
      <c r="B566">
        <v>68</v>
      </c>
      <c r="C566" t="s">
        <v>45</v>
      </c>
      <c r="D566">
        <v>106635</v>
      </c>
      <c r="E566">
        <v>85</v>
      </c>
      <c r="F566">
        <v>10</v>
      </c>
      <c r="G566">
        <v>30</v>
      </c>
      <c r="H566" t="s">
        <v>14</v>
      </c>
      <c r="I566">
        <v>854.95</v>
      </c>
    </row>
    <row r="567" spans="1:9" x14ac:dyDescent="0.25">
      <c r="A567">
        <v>566</v>
      </c>
      <c r="B567">
        <v>29</v>
      </c>
      <c r="C567" t="s">
        <v>12</v>
      </c>
      <c r="D567">
        <v>60262</v>
      </c>
      <c r="E567">
        <v>56</v>
      </c>
      <c r="F567">
        <v>4</v>
      </c>
      <c r="G567">
        <v>27</v>
      </c>
      <c r="H567" t="s">
        <v>17</v>
      </c>
      <c r="I567">
        <v>452.32</v>
      </c>
    </row>
    <row r="568" spans="1:9" x14ac:dyDescent="0.25">
      <c r="A568">
        <v>567</v>
      </c>
      <c r="B568">
        <v>22</v>
      </c>
      <c r="C568" t="s">
        <v>45</v>
      </c>
      <c r="D568">
        <v>92601</v>
      </c>
      <c r="E568">
        <v>75</v>
      </c>
      <c r="F568">
        <v>7</v>
      </c>
      <c r="G568">
        <v>49</v>
      </c>
      <c r="H568" t="s">
        <v>14</v>
      </c>
      <c r="I568">
        <v>120.76</v>
      </c>
    </row>
    <row r="569" spans="1:9" x14ac:dyDescent="0.25">
      <c r="A569">
        <v>568</v>
      </c>
      <c r="B569">
        <v>45</v>
      </c>
      <c r="C569" t="s">
        <v>18</v>
      </c>
      <c r="D569">
        <v>41917</v>
      </c>
      <c r="E569">
        <v>58</v>
      </c>
      <c r="F569">
        <v>8</v>
      </c>
      <c r="G569">
        <v>5</v>
      </c>
      <c r="H569" t="s">
        <v>13</v>
      </c>
      <c r="I569">
        <v>870.38</v>
      </c>
    </row>
    <row r="570" spans="1:9" x14ac:dyDescent="0.25">
      <c r="A570">
        <v>569</v>
      </c>
      <c r="B570">
        <v>29</v>
      </c>
      <c r="C570" t="s">
        <v>18</v>
      </c>
      <c r="D570">
        <v>59815</v>
      </c>
      <c r="E570">
        <v>43</v>
      </c>
      <c r="F570">
        <v>6</v>
      </c>
      <c r="G570">
        <v>24</v>
      </c>
      <c r="H570" t="s">
        <v>16</v>
      </c>
      <c r="I570">
        <v>105.48</v>
      </c>
    </row>
    <row r="571" spans="1:9" x14ac:dyDescent="0.25">
      <c r="A571">
        <v>570</v>
      </c>
      <c r="B571">
        <v>18</v>
      </c>
      <c r="C571" t="s">
        <v>45</v>
      </c>
      <c r="D571">
        <v>94701</v>
      </c>
      <c r="E571">
        <v>69</v>
      </c>
      <c r="F571">
        <v>8</v>
      </c>
      <c r="G571">
        <v>48</v>
      </c>
      <c r="H571" t="s">
        <v>17</v>
      </c>
      <c r="I571">
        <v>760.34</v>
      </c>
    </row>
    <row r="572" spans="1:9" x14ac:dyDescent="0.25">
      <c r="A572">
        <v>571</v>
      </c>
      <c r="B572">
        <v>36</v>
      </c>
      <c r="C572" t="s">
        <v>18</v>
      </c>
      <c r="D572">
        <v>31458</v>
      </c>
      <c r="E572">
        <v>40</v>
      </c>
      <c r="F572">
        <v>4</v>
      </c>
      <c r="G572">
        <v>6</v>
      </c>
      <c r="H572" t="s">
        <v>14</v>
      </c>
      <c r="I572">
        <v>371.77</v>
      </c>
    </row>
    <row r="573" spans="1:9" x14ac:dyDescent="0.25">
      <c r="A573">
        <v>572</v>
      </c>
      <c r="B573">
        <v>19</v>
      </c>
      <c r="C573" t="s">
        <v>12</v>
      </c>
      <c r="D573">
        <v>134193</v>
      </c>
      <c r="E573">
        <v>95</v>
      </c>
      <c r="F573">
        <v>7</v>
      </c>
      <c r="G573">
        <v>44</v>
      </c>
      <c r="H573" t="s">
        <v>14</v>
      </c>
      <c r="I573">
        <v>97.65</v>
      </c>
    </row>
    <row r="574" spans="1:9" x14ac:dyDescent="0.25">
      <c r="A574">
        <v>573</v>
      </c>
      <c r="B574">
        <v>40</v>
      </c>
      <c r="C574" t="s">
        <v>18</v>
      </c>
      <c r="D574">
        <v>143338</v>
      </c>
      <c r="E574">
        <v>6</v>
      </c>
      <c r="F574">
        <v>8</v>
      </c>
      <c r="G574">
        <v>26</v>
      </c>
      <c r="H574" t="s">
        <v>16</v>
      </c>
      <c r="I574">
        <v>491.07</v>
      </c>
    </row>
    <row r="575" spans="1:9" x14ac:dyDescent="0.25">
      <c r="A575">
        <v>574</v>
      </c>
      <c r="B575">
        <v>48</v>
      </c>
      <c r="C575" t="s">
        <v>45</v>
      </c>
      <c r="D575">
        <v>93084</v>
      </c>
      <c r="E575">
        <v>30</v>
      </c>
      <c r="F575">
        <v>7</v>
      </c>
      <c r="G575">
        <v>5</v>
      </c>
      <c r="H575" t="s">
        <v>17</v>
      </c>
      <c r="I575">
        <v>480.55</v>
      </c>
    </row>
    <row r="576" spans="1:9" x14ac:dyDescent="0.25">
      <c r="A576">
        <v>575</v>
      </c>
      <c r="B576">
        <v>49</v>
      </c>
      <c r="C576" t="s">
        <v>12</v>
      </c>
      <c r="D576">
        <v>55027</v>
      </c>
      <c r="E576">
        <v>62</v>
      </c>
      <c r="F576">
        <v>2</v>
      </c>
      <c r="G576">
        <v>1</v>
      </c>
      <c r="H576" t="s">
        <v>17</v>
      </c>
      <c r="I576">
        <v>962.9</v>
      </c>
    </row>
    <row r="577" spans="1:9" x14ac:dyDescent="0.25">
      <c r="A577">
        <v>576</v>
      </c>
      <c r="B577">
        <v>51</v>
      </c>
      <c r="C577" t="s">
        <v>18</v>
      </c>
      <c r="D577">
        <v>149256</v>
      </c>
      <c r="E577">
        <v>96</v>
      </c>
      <c r="F577">
        <v>1</v>
      </c>
      <c r="G577">
        <v>31</v>
      </c>
      <c r="H577" t="s">
        <v>14</v>
      </c>
      <c r="I577">
        <v>266.83</v>
      </c>
    </row>
    <row r="578" spans="1:9" x14ac:dyDescent="0.25">
      <c r="A578">
        <v>577</v>
      </c>
      <c r="B578">
        <v>32</v>
      </c>
      <c r="C578" t="s">
        <v>18</v>
      </c>
      <c r="D578">
        <v>46610</v>
      </c>
      <c r="E578">
        <v>92</v>
      </c>
      <c r="F578">
        <v>5</v>
      </c>
      <c r="G578">
        <v>9</v>
      </c>
      <c r="H578" t="s">
        <v>16</v>
      </c>
      <c r="I578">
        <v>409.85</v>
      </c>
    </row>
    <row r="579" spans="1:9" x14ac:dyDescent="0.25">
      <c r="A579">
        <v>578</v>
      </c>
      <c r="B579">
        <v>64</v>
      </c>
      <c r="C579" t="s">
        <v>12</v>
      </c>
      <c r="D579">
        <v>43175</v>
      </c>
      <c r="E579">
        <v>59</v>
      </c>
      <c r="F579">
        <v>10</v>
      </c>
      <c r="G579">
        <v>35</v>
      </c>
      <c r="H579" t="s">
        <v>14</v>
      </c>
      <c r="I579">
        <v>363.86</v>
      </c>
    </row>
    <row r="580" spans="1:9" x14ac:dyDescent="0.25">
      <c r="A580">
        <v>579</v>
      </c>
      <c r="B580">
        <v>21</v>
      </c>
      <c r="C580" t="s">
        <v>18</v>
      </c>
      <c r="D580">
        <v>71227</v>
      </c>
      <c r="E580">
        <v>17</v>
      </c>
      <c r="F580">
        <v>10</v>
      </c>
      <c r="G580">
        <v>12</v>
      </c>
      <c r="H580" t="s">
        <v>14</v>
      </c>
      <c r="I580">
        <v>101.48</v>
      </c>
    </row>
    <row r="581" spans="1:9" x14ac:dyDescent="0.25">
      <c r="A581">
        <v>580</v>
      </c>
      <c r="B581">
        <v>51</v>
      </c>
      <c r="C581" t="s">
        <v>18</v>
      </c>
      <c r="D581">
        <v>149744</v>
      </c>
      <c r="E581">
        <v>99</v>
      </c>
      <c r="F581">
        <v>1</v>
      </c>
      <c r="G581">
        <v>12</v>
      </c>
      <c r="H581" t="s">
        <v>16</v>
      </c>
      <c r="I581">
        <v>215.92</v>
      </c>
    </row>
    <row r="582" spans="1:9" x14ac:dyDescent="0.25">
      <c r="A582">
        <v>581</v>
      </c>
      <c r="B582">
        <v>46</v>
      </c>
      <c r="C582" t="s">
        <v>12</v>
      </c>
      <c r="D582">
        <v>129568</v>
      </c>
      <c r="E582">
        <v>56</v>
      </c>
      <c r="F582">
        <v>10</v>
      </c>
      <c r="G582">
        <v>27</v>
      </c>
      <c r="H582" t="s">
        <v>17</v>
      </c>
      <c r="I582">
        <v>766.26</v>
      </c>
    </row>
    <row r="583" spans="1:9" x14ac:dyDescent="0.25">
      <c r="A583">
        <v>582</v>
      </c>
      <c r="B583">
        <v>19</v>
      </c>
      <c r="C583" t="s">
        <v>12</v>
      </c>
      <c r="D583">
        <v>135968</v>
      </c>
      <c r="E583">
        <v>50</v>
      </c>
      <c r="F583">
        <v>4</v>
      </c>
      <c r="G583">
        <v>49</v>
      </c>
      <c r="H583" t="s">
        <v>14</v>
      </c>
      <c r="I583">
        <v>174.43</v>
      </c>
    </row>
    <row r="584" spans="1:9" x14ac:dyDescent="0.25">
      <c r="A584">
        <v>583</v>
      </c>
      <c r="B584">
        <v>33</v>
      </c>
      <c r="C584" t="s">
        <v>12</v>
      </c>
      <c r="D584">
        <v>38240</v>
      </c>
      <c r="E584">
        <v>92</v>
      </c>
      <c r="F584">
        <v>3</v>
      </c>
      <c r="G584">
        <v>37</v>
      </c>
      <c r="H584" t="s">
        <v>13</v>
      </c>
      <c r="I584">
        <v>626.82000000000005</v>
      </c>
    </row>
    <row r="585" spans="1:9" x14ac:dyDescent="0.25">
      <c r="A585">
        <v>584</v>
      </c>
      <c r="B585">
        <v>30</v>
      </c>
      <c r="C585" t="s">
        <v>12</v>
      </c>
      <c r="D585">
        <v>114808</v>
      </c>
      <c r="E585">
        <v>23</v>
      </c>
      <c r="F585">
        <v>9</v>
      </c>
      <c r="G585">
        <v>6</v>
      </c>
      <c r="H585" t="s">
        <v>17</v>
      </c>
      <c r="I585">
        <v>74.08</v>
      </c>
    </row>
    <row r="586" spans="1:9" x14ac:dyDescent="0.25">
      <c r="A586">
        <v>585</v>
      </c>
      <c r="B586">
        <v>51</v>
      </c>
      <c r="C586" t="s">
        <v>18</v>
      </c>
      <c r="D586">
        <v>37310</v>
      </c>
      <c r="E586">
        <v>6</v>
      </c>
      <c r="F586">
        <v>5</v>
      </c>
      <c r="G586">
        <v>14</v>
      </c>
      <c r="H586" t="s">
        <v>15</v>
      </c>
      <c r="I586">
        <v>706.18</v>
      </c>
    </row>
    <row r="587" spans="1:9" x14ac:dyDescent="0.25">
      <c r="A587">
        <v>586</v>
      </c>
      <c r="B587">
        <v>62</v>
      </c>
      <c r="C587" t="s">
        <v>45</v>
      </c>
      <c r="D587">
        <v>147903</v>
      </c>
      <c r="E587">
        <v>79</v>
      </c>
      <c r="F587">
        <v>5</v>
      </c>
      <c r="G587">
        <v>22</v>
      </c>
      <c r="H587" t="s">
        <v>14</v>
      </c>
      <c r="I587">
        <v>203.15</v>
      </c>
    </row>
    <row r="588" spans="1:9" x14ac:dyDescent="0.25">
      <c r="A588">
        <v>587</v>
      </c>
      <c r="B588">
        <v>20</v>
      </c>
      <c r="C588" t="s">
        <v>45</v>
      </c>
      <c r="D588">
        <v>61541</v>
      </c>
      <c r="E588">
        <v>80</v>
      </c>
      <c r="F588">
        <v>2</v>
      </c>
      <c r="G588">
        <v>14</v>
      </c>
      <c r="H588" t="s">
        <v>16</v>
      </c>
      <c r="I588">
        <v>48.5</v>
      </c>
    </row>
    <row r="589" spans="1:9" x14ac:dyDescent="0.25">
      <c r="A589">
        <v>588</v>
      </c>
      <c r="B589">
        <v>47</v>
      </c>
      <c r="C589" t="s">
        <v>45</v>
      </c>
      <c r="D589">
        <v>55753</v>
      </c>
      <c r="E589">
        <v>69</v>
      </c>
      <c r="F589">
        <v>5</v>
      </c>
      <c r="G589">
        <v>40</v>
      </c>
      <c r="H589" t="s">
        <v>13</v>
      </c>
      <c r="I589">
        <v>772.89</v>
      </c>
    </row>
    <row r="590" spans="1:9" x14ac:dyDescent="0.25">
      <c r="A590">
        <v>589</v>
      </c>
      <c r="B590">
        <v>29</v>
      </c>
      <c r="C590" t="s">
        <v>45</v>
      </c>
      <c r="D590">
        <v>80868</v>
      </c>
      <c r="E590">
        <v>33</v>
      </c>
      <c r="F590">
        <v>6</v>
      </c>
      <c r="G590">
        <v>15</v>
      </c>
      <c r="H590" t="s">
        <v>17</v>
      </c>
      <c r="I590">
        <v>865.65</v>
      </c>
    </row>
    <row r="591" spans="1:9" x14ac:dyDescent="0.25">
      <c r="A591">
        <v>590</v>
      </c>
      <c r="B591">
        <v>33</v>
      </c>
      <c r="C591" t="s">
        <v>12</v>
      </c>
      <c r="D591">
        <v>93599</v>
      </c>
      <c r="E591">
        <v>22</v>
      </c>
      <c r="F591">
        <v>4</v>
      </c>
      <c r="G591">
        <v>37</v>
      </c>
      <c r="H591" t="s">
        <v>15</v>
      </c>
      <c r="I591">
        <v>274.95999999999998</v>
      </c>
    </row>
    <row r="592" spans="1:9" x14ac:dyDescent="0.25">
      <c r="A592">
        <v>591</v>
      </c>
      <c r="B592">
        <v>53</v>
      </c>
      <c r="C592" t="s">
        <v>12</v>
      </c>
      <c r="D592">
        <v>108263</v>
      </c>
      <c r="E592">
        <v>21</v>
      </c>
      <c r="F592">
        <v>1</v>
      </c>
      <c r="G592">
        <v>47</v>
      </c>
      <c r="H592" t="s">
        <v>14</v>
      </c>
      <c r="I592">
        <v>734.48</v>
      </c>
    </row>
    <row r="593" spans="1:9" x14ac:dyDescent="0.25">
      <c r="A593">
        <v>592</v>
      </c>
      <c r="B593">
        <v>22</v>
      </c>
      <c r="C593" t="s">
        <v>12</v>
      </c>
      <c r="D593">
        <v>100730</v>
      </c>
      <c r="E593">
        <v>4</v>
      </c>
      <c r="F593">
        <v>5</v>
      </c>
      <c r="G593">
        <v>10</v>
      </c>
      <c r="H593" t="s">
        <v>15</v>
      </c>
      <c r="I593">
        <v>459.58</v>
      </c>
    </row>
    <row r="594" spans="1:9" x14ac:dyDescent="0.25">
      <c r="A594">
        <v>593</v>
      </c>
      <c r="B594">
        <v>62</v>
      </c>
      <c r="C594" t="s">
        <v>18</v>
      </c>
      <c r="D594">
        <v>148501</v>
      </c>
      <c r="E594">
        <v>41</v>
      </c>
      <c r="F594">
        <v>9</v>
      </c>
      <c r="G594">
        <v>32</v>
      </c>
      <c r="H594" t="s">
        <v>15</v>
      </c>
      <c r="I594">
        <v>980.47</v>
      </c>
    </row>
    <row r="595" spans="1:9" x14ac:dyDescent="0.25">
      <c r="A595">
        <v>594</v>
      </c>
      <c r="B595">
        <v>29</v>
      </c>
      <c r="C595" t="s">
        <v>45</v>
      </c>
      <c r="D595">
        <v>98150</v>
      </c>
      <c r="E595">
        <v>42</v>
      </c>
      <c r="F595">
        <v>9</v>
      </c>
      <c r="G595">
        <v>34</v>
      </c>
      <c r="H595" t="s">
        <v>15</v>
      </c>
      <c r="I595">
        <v>324.11</v>
      </c>
    </row>
    <row r="596" spans="1:9" x14ac:dyDescent="0.25">
      <c r="A596">
        <v>595</v>
      </c>
      <c r="B596">
        <v>28</v>
      </c>
      <c r="C596" t="s">
        <v>45</v>
      </c>
      <c r="D596">
        <v>61870</v>
      </c>
      <c r="E596">
        <v>100</v>
      </c>
      <c r="F596">
        <v>6</v>
      </c>
      <c r="G596">
        <v>3</v>
      </c>
      <c r="H596" t="s">
        <v>16</v>
      </c>
      <c r="I596">
        <v>728.67</v>
      </c>
    </row>
    <row r="597" spans="1:9" x14ac:dyDescent="0.25">
      <c r="A597">
        <v>596</v>
      </c>
      <c r="B597">
        <v>46</v>
      </c>
      <c r="C597" t="s">
        <v>12</v>
      </c>
      <c r="D597">
        <v>73370</v>
      </c>
      <c r="E597">
        <v>2</v>
      </c>
      <c r="F597">
        <v>4</v>
      </c>
      <c r="G597">
        <v>29</v>
      </c>
      <c r="H597" t="s">
        <v>13</v>
      </c>
      <c r="I597">
        <v>486.5</v>
      </c>
    </row>
    <row r="598" spans="1:9" x14ac:dyDescent="0.25">
      <c r="A598">
        <v>597</v>
      </c>
      <c r="B598">
        <v>50</v>
      </c>
      <c r="C598" t="s">
        <v>12</v>
      </c>
      <c r="D598">
        <v>132598</v>
      </c>
      <c r="E598">
        <v>57</v>
      </c>
      <c r="F598">
        <v>7</v>
      </c>
      <c r="G598">
        <v>21</v>
      </c>
      <c r="H598" t="s">
        <v>13</v>
      </c>
      <c r="I598">
        <v>930.91</v>
      </c>
    </row>
    <row r="599" spans="1:9" x14ac:dyDescent="0.25">
      <c r="A599">
        <v>598</v>
      </c>
      <c r="B599">
        <v>56</v>
      </c>
      <c r="C599" t="s">
        <v>45</v>
      </c>
      <c r="D599">
        <v>55695</v>
      </c>
      <c r="E599">
        <v>58</v>
      </c>
      <c r="F599">
        <v>7</v>
      </c>
      <c r="G599">
        <v>30</v>
      </c>
      <c r="H599" t="s">
        <v>14</v>
      </c>
      <c r="I599">
        <v>435.76</v>
      </c>
    </row>
    <row r="600" spans="1:9" x14ac:dyDescent="0.25">
      <c r="A600">
        <v>599</v>
      </c>
      <c r="B600">
        <v>41</v>
      </c>
      <c r="C600" t="s">
        <v>45</v>
      </c>
      <c r="D600">
        <v>69204</v>
      </c>
      <c r="E600">
        <v>95</v>
      </c>
      <c r="F600">
        <v>4</v>
      </c>
      <c r="G600">
        <v>28</v>
      </c>
      <c r="H600" t="s">
        <v>17</v>
      </c>
      <c r="I600">
        <v>936.04</v>
      </c>
    </row>
    <row r="601" spans="1:9" x14ac:dyDescent="0.25">
      <c r="A601">
        <v>600</v>
      </c>
      <c r="B601">
        <v>52</v>
      </c>
      <c r="C601" t="s">
        <v>12</v>
      </c>
      <c r="D601">
        <v>127010</v>
      </c>
      <c r="E601">
        <v>76</v>
      </c>
      <c r="F601">
        <v>8</v>
      </c>
      <c r="G601">
        <v>26</v>
      </c>
      <c r="H601" t="s">
        <v>15</v>
      </c>
      <c r="I601">
        <v>13.46</v>
      </c>
    </row>
    <row r="602" spans="1:9" x14ac:dyDescent="0.25">
      <c r="A602">
        <v>601</v>
      </c>
      <c r="B602">
        <v>53</v>
      </c>
      <c r="C602" t="s">
        <v>18</v>
      </c>
      <c r="D602">
        <v>137854</v>
      </c>
      <c r="E602">
        <v>33</v>
      </c>
      <c r="F602">
        <v>10</v>
      </c>
      <c r="G602">
        <v>47</v>
      </c>
      <c r="H602" t="s">
        <v>16</v>
      </c>
      <c r="I602">
        <v>523.27</v>
      </c>
    </row>
    <row r="603" spans="1:9" x14ac:dyDescent="0.25">
      <c r="A603">
        <v>602</v>
      </c>
      <c r="B603">
        <v>20</v>
      </c>
      <c r="C603" t="s">
        <v>12</v>
      </c>
      <c r="D603">
        <v>145924</v>
      </c>
      <c r="E603">
        <v>64</v>
      </c>
      <c r="F603">
        <v>5</v>
      </c>
      <c r="G603">
        <v>18</v>
      </c>
      <c r="H603" t="s">
        <v>14</v>
      </c>
      <c r="I603">
        <v>495.49</v>
      </c>
    </row>
    <row r="604" spans="1:9" x14ac:dyDescent="0.25">
      <c r="A604">
        <v>603</v>
      </c>
      <c r="B604">
        <v>33</v>
      </c>
      <c r="C604" t="s">
        <v>18</v>
      </c>
      <c r="D604">
        <v>53219</v>
      </c>
      <c r="E604">
        <v>33</v>
      </c>
      <c r="F604">
        <v>4</v>
      </c>
      <c r="G604">
        <v>47</v>
      </c>
      <c r="H604" t="s">
        <v>17</v>
      </c>
      <c r="I604">
        <v>251.23</v>
      </c>
    </row>
    <row r="605" spans="1:9" x14ac:dyDescent="0.25">
      <c r="A605">
        <v>604</v>
      </c>
      <c r="B605">
        <v>47</v>
      </c>
      <c r="C605" t="s">
        <v>12</v>
      </c>
      <c r="D605">
        <v>64592</v>
      </c>
      <c r="E605">
        <v>25</v>
      </c>
      <c r="F605">
        <v>4</v>
      </c>
      <c r="G605">
        <v>12</v>
      </c>
      <c r="H605" t="s">
        <v>13</v>
      </c>
      <c r="I605">
        <v>237.34</v>
      </c>
    </row>
    <row r="606" spans="1:9" x14ac:dyDescent="0.25">
      <c r="A606">
        <v>605</v>
      </c>
      <c r="B606">
        <v>18</v>
      </c>
      <c r="C606" t="s">
        <v>18</v>
      </c>
      <c r="D606">
        <v>144275</v>
      </c>
      <c r="E606">
        <v>69</v>
      </c>
      <c r="F606">
        <v>9</v>
      </c>
      <c r="G606">
        <v>27</v>
      </c>
      <c r="H606" t="s">
        <v>14</v>
      </c>
      <c r="I606">
        <v>141.72</v>
      </c>
    </row>
    <row r="607" spans="1:9" x14ac:dyDescent="0.25">
      <c r="A607">
        <v>606</v>
      </c>
      <c r="B607">
        <v>39</v>
      </c>
      <c r="C607" t="s">
        <v>12</v>
      </c>
      <c r="D607">
        <v>48641</v>
      </c>
      <c r="E607">
        <v>45</v>
      </c>
      <c r="F607">
        <v>3</v>
      </c>
      <c r="G607">
        <v>46</v>
      </c>
      <c r="H607" t="s">
        <v>13</v>
      </c>
      <c r="I607">
        <v>415.19</v>
      </c>
    </row>
    <row r="608" spans="1:9" x14ac:dyDescent="0.25">
      <c r="A608">
        <v>607</v>
      </c>
      <c r="B608">
        <v>30</v>
      </c>
      <c r="C608" t="s">
        <v>12</v>
      </c>
      <c r="D608">
        <v>102200</v>
      </c>
      <c r="E608">
        <v>88</v>
      </c>
      <c r="F608">
        <v>5</v>
      </c>
      <c r="G608">
        <v>47</v>
      </c>
      <c r="H608" t="s">
        <v>13</v>
      </c>
      <c r="I608">
        <v>131.84</v>
      </c>
    </row>
    <row r="609" spans="1:9" x14ac:dyDescent="0.25">
      <c r="A609">
        <v>608</v>
      </c>
      <c r="B609">
        <v>41</v>
      </c>
      <c r="C609" t="s">
        <v>45</v>
      </c>
      <c r="D609">
        <v>67215</v>
      </c>
      <c r="E609">
        <v>34</v>
      </c>
      <c r="F609">
        <v>3</v>
      </c>
      <c r="G609">
        <v>30</v>
      </c>
      <c r="H609" t="s">
        <v>13</v>
      </c>
      <c r="I609">
        <v>460.25</v>
      </c>
    </row>
    <row r="610" spans="1:9" x14ac:dyDescent="0.25">
      <c r="A610">
        <v>609</v>
      </c>
      <c r="B610">
        <v>53</v>
      </c>
      <c r="C610" t="s">
        <v>45</v>
      </c>
      <c r="D610">
        <v>96499</v>
      </c>
      <c r="E610">
        <v>29</v>
      </c>
      <c r="F610">
        <v>4</v>
      </c>
      <c r="G610">
        <v>5</v>
      </c>
      <c r="H610" t="s">
        <v>14</v>
      </c>
      <c r="I610">
        <v>744.11</v>
      </c>
    </row>
    <row r="611" spans="1:9" x14ac:dyDescent="0.25">
      <c r="A611">
        <v>610</v>
      </c>
      <c r="B611">
        <v>23</v>
      </c>
      <c r="C611" t="s">
        <v>18</v>
      </c>
      <c r="D611">
        <v>83912</v>
      </c>
      <c r="E611">
        <v>28</v>
      </c>
      <c r="F611">
        <v>6</v>
      </c>
      <c r="G611">
        <v>31</v>
      </c>
      <c r="H611" t="s">
        <v>13</v>
      </c>
      <c r="I611">
        <v>98.32</v>
      </c>
    </row>
    <row r="612" spans="1:9" x14ac:dyDescent="0.25">
      <c r="A612">
        <v>611</v>
      </c>
      <c r="B612">
        <v>42</v>
      </c>
      <c r="C612" t="s">
        <v>18</v>
      </c>
      <c r="D612">
        <v>63444</v>
      </c>
      <c r="E612">
        <v>72</v>
      </c>
      <c r="F612">
        <v>4</v>
      </c>
      <c r="G612">
        <v>40</v>
      </c>
      <c r="H612" t="s">
        <v>13</v>
      </c>
      <c r="I612">
        <v>166.45</v>
      </c>
    </row>
    <row r="613" spans="1:9" x14ac:dyDescent="0.25">
      <c r="A613">
        <v>612</v>
      </c>
      <c r="B613">
        <v>33</v>
      </c>
      <c r="C613" t="s">
        <v>18</v>
      </c>
      <c r="D613">
        <v>38271</v>
      </c>
      <c r="E613">
        <v>39</v>
      </c>
      <c r="F613">
        <v>10</v>
      </c>
      <c r="G613">
        <v>43</v>
      </c>
      <c r="H613" t="s">
        <v>14</v>
      </c>
      <c r="I613">
        <v>99.52</v>
      </c>
    </row>
    <row r="614" spans="1:9" x14ac:dyDescent="0.25">
      <c r="A614">
        <v>613</v>
      </c>
      <c r="B614">
        <v>60</v>
      </c>
      <c r="C614" t="s">
        <v>45</v>
      </c>
      <c r="D614">
        <v>53295</v>
      </c>
      <c r="E614">
        <v>73</v>
      </c>
      <c r="F614">
        <v>3</v>
      </c>
      <c r="G614">
        <v>5</v>
      </c>
      <c r="H614" t="s">
        <v>13</v>
      </c>
      <c r="I614">
        <v>642.29999999999995</v>
      </c>
    </row>
    <row r="615" spans="1:9" x14ac:dyDescent="0.25">
      <c r="A615">
        <v>614</v>
      </c>
      <c r="B615">
        <v>64</v>
      </c>
      <c r="C615" t="s">
        <v>18</v>
      </c>
      <c r="D615">
        <v>116106</v>
      </c>
      <c r="E615">
        <v>5</v>
      </c>
      <c r="F615">
        <v>1</v>
      </c>
      <c r="G615">
        <v>5</v>
      </c>
      <c r="H615" t="s">
        <v>17</v>
      </c>
      <c r="I615">
        <v>25.86</v>
      </c>
    </row>
    <row r="616" spans="1:9" x14ac:dyDescent="0.25">
      <c r="A616">
        <v>615</v>
      </c>
      <c r="B616">
        <v>69</v>
      </c>
      <c r="C616" t="s">
        <v>12</v>
      </c>
      <c r="D616">
        <v>141965</v>
      </c>
      <c r="E616">
        <v>98</v>
      </c>
      <c r="F616">
        <v>5</v>
      </c>
      <c r="G616">
        <v>35</v>
      </c>
      <c r="H616" t="s">
        <v>14</v>
      </c>
      <c r="I616">
        <v>616.66</v>
      </c>
    </row>
    <row r="617" spans="1:9" x14ac:dyDescent="0.25">
      <c r="A617">
        <v>616</v>
      </c>
      <c r="B617">
        <v>43</v>
      </c>
      <c r="C617" t="s">
        <v>12</v>
      </c>
      <c r="D617">
        <v>38012</v>
      </c>
      <c r="E617">
        <v>55</v>
      </c>
      <c r="F617">
        <v>3</v>
      </c>
      <c r="G617">
        <v>24</v>
      </c>
      <c r="H617" t="s">
        <v>16</v>
      </c>
      <c r="I617">
        <v>943.37</v>
      </c>
    </row>
    <row r="618" spans="1:9" x14ac:dyDescent="0.25">
      <c r="A618">
        <v>617</v>
      </c>
      <c r="B618">
        <v>29</v>
      </c>
      <c r="C618" t="s">
        <v>45</v>
      </c>
      <c r="D618">
        <v>83172</v>
      </c>
      <c r="E618">
        <v>51</v>
      </c>
      <c r="F618">
        <v>8</v>
      </c>
      <c r="G618">
        <v>1</v>
      </c>
      <c r="H618" t="s">
        <v>17</v>
      </c>
      <c r="I618">
        <v>906.75</v>
      </c>
    </row>
    <row r="619" spans="1:9" x14ac:dyDescent="0.25">
      <c r="A619">
        <v>618</v>
      </c>
      <c r="B619">
        <v>53</v>
      </c>
      <c r="C619" t="s">
        <v>45</v>
      </c>
      <c r="D619">
        <v>62024</v>
      </c>
      <c r="E619">
        <v>13</v>
      </c>
      <c r="F619">
        <v>2</v>
      </c>
      <c r="G619">
        <v>39</v>
      </c>
      <c r="H619" t="s">
        <v>15</v>
      </c>
      <c r="I619">
        <v>66.599999999999994</v>
      </c>
    </row>
    <row r="620" spans="1:9" x14ac:dyDescent="0.25">
      <c r="A620">
        <v>619</v>
      </c>
      <c r="B620">
        <v>29</v>
      </c>
      <c r="C620" t="s">
        <v>45</v>
      </c>
      <c r="D620">
        <v>88288</v>
      </c>
      <c r="E620">
        <v>39</v>
      </c>
      <c r="F620">
        <v>5</v>
      </c>
      <c r="G620">
        <v>50</v>
      </c>
      <c r="H620" t="s">
        <v>16</v>
      </c>
      <c r="I620">
        <v>803.87</v>
      </c>
    </row>
    <row r="621" spans="1:9" x14ac:dyDescent="0.25">
      <c r="A621">
        <v>620</v>
      </c>
      <c r="B621">
        <v>53</v>
      </c>
      <c r="C621" t="s">
        <v>45</v>
      </c>
      <c r="D621">
        <v>50215</v>
      </c>
      <c r="E621">
        <v>92</v>
      </c>
      <c r="F621">
        <v>6</v>
      </c>
      <c r="G621">
        <v>48</v>
      </c>
      <c r="H621" t="s">
        <v>15</v>
      </c>
      <c r="I621">
        <v>814.52</v>
      </c>
    </row>
    <row r="622" spans="1:9" x14ac:dyDescent="0.25">
      <c r="A622">
        <v>621</v>
      </c>
      <c r="B622">
        <v>20</v>
      </c>
      <c r="C622" t="s">
        <v>12</v>
      </c>
      <c r="D622">
        <v>122028</v>
      </c>
      <c r="E622">
        <v>40</v>
      </c>
      <c r="F622">
        <v>3</v>
      </c>
      <c r="G622">
        <v>6</v>
      </c>
      <c r="H622" t="s">
        <v>14</v>
      </c>
      <c r="I622">
        <v>777.44</v>
      </c>
    </row>
    <row r="623" spans="1:9" x14ac:dyDescent="0.25">
      <c r="A623">
        <v>622</v>
      </c>
      <c r="B623">
        <v>33</v>
      </c>
      <c r="C623" t="s">
        <v>45</v>
      </c>
      <c r="D623">
        <v>102269</v>
      </c>
      <c r="E623">
        <v>26</v>
      </c>
      <c r="F623">
        <v>8</v>
      </c>
      <c r="G623">
        <v>47</v>
      </c>
      <c r="H623" t="s">
        <v>15</v>
      </c>
      <c r="I623">
        <v>356.67</v>
      </c>
    </row>
    <row r="624" spans="1:9" x14ac:dyDescent="0.25">
      <c r="A624">
        <v>623</v>
      </c>
      <c r="B624">
        <v>30</v>
      </c>
      <c r="C624" t="s">
        <v>18</v>
      </c>
      <c r="D624">
        <v>97829</v>
      </c>
      <c r="E624">
        <v>99</v>
      </c>
      <c r="F624">
        <v>4</v>
      </c>
      <c r="G624">
        <v>27</v>
      </c>
      <c r="H624" t="s">
        <v>17</v>
      </c>
      <c r="I624">
        <v>320.95</v>
      </c>
    </row>
    <row r="625" spans="1:9" x14ac:dyDescent="0.25">
      <c r="A625">
        <v>624</v>
      </c>
      <c r="B625">
        <v>59</v>
      </c>
      <c r="C625" t="s">
        <v>45</v>
      </c>
      <c r="D625">
        <v>66196</v>
      </c>
      <c r="E625">
        <v>37</v>
      </c>
      <c r="F625">
        <v>9</v>
      </c>
      <c r="G625">
        <v>44</v>
      </c>
      <c r="H625" t="s">
        <v>17</v>
      </c>
      <c r="I625">
        <v>483.66</v>
      </c>
    </row>
    <row r="626" spans="1:9" x14ac:dyDescent="0.25">
      <c r="A626">
        <v>625</v>
      </c>
      <c r="B626">
        <v>41</v>
      </c>
      <c r="C626" t="s">
        <v>12</v>
      </c>
      <c r="D626">
        <v>36763</v>
      </c>
      <c r="E626">
        <v>50</v>
      </c>
      <c r="F626">
        <v>5</v>
      </c>
      <c r="G626">
        <v>36</v>
      </c>
      <c r="H626" t="s">
        <v>13</v>
      </c>
      <c r="I626">
        <v>490.62</v>
      </c>
    </row>
    <row r="627" spans="1:9" x14ac:dyDescent="0.25">
      <c r="A627">
        <v>626</v>
      </c>
      <c r="B627">
        <v>19</v>
      </c>
      <c r="C627" t="s">
        <v>12</v>
      </c>
      <c r="D627">
        <v>138008</v>
      </c>
      <c r="E627">
        <v>8</v>
      </c>
      <c r="F627">
        <v>9</v>
      </c>
      <c r="G627">
        <v>15</v>
      </c>
      <c r="H627" t="s">
        <v>16</v>
      </c>
      <c r="I627">
        <v>116.8</v>
      </c>
    </row>
    <row r="628" spans="1:9" x14ac:dyDescent="0.25">
      <c r="A628">
        <v>627</v>
      </c>
      <c r="B628">
        <v>27</v>
      </c>
      <c r="C628" t="s">
        <v>18</v>
      </c>
      <c r="D628">
        <v>96762</v>
      </c>
      <c r="E628">
        <v>22</v>
      </c>
      <c r="F628">
        <v>3</v>
      </c>
      <c r="G628">
        <v>10</v>
      </c>
      <c r="H628" t="s">
        <v>14</v>
      </c>
      <c r="I628">
        <v>551.42999999999995</v>
      </c>
    </row>
    <row r="629" spans="1:9" x14ac:dyDescent="0.25">
      <c r="A629">
        <v>628</v>
      </c>
      <c r="B629">
        <v>39</v>
      </c>
      <c r="C629" t="s">
        <v>45</v>
      </c>
      <c r="D629">
        <v>108744</v>
      </c>
      <c r="E629">
        <v>63</v>
      </c>
      <c r="F629">
        <v>2</v>
      </c>
      <c r="G629">
        <v>23</v>
      </c>
      <c r="H629" t="s">
        <v>15</v>
      </c>
      <c r="I629">
        <v>411.86</v>
      </c>
    </row>
    <row r="630" spans="1:9" x14ac:dyDescent="0.25">
      <c r="A630">
        <v>629</v>
      </c>
      <c r="B630">
        <v>65</v>
      </c>
      <c r="C630" t="s">
        <v>12</v>
      </c>
      <c r="D630">
        <v>84223</v>
      </c>
      <c r="E630">
        <v>83</v>
      </c>
      <c r="F630">
        <v>7</v>
      </c>
      <c r="G630">
        <v>46</v>
      </c>
      <c r="H630" t="s">
        <v>16</v>
      </c>
      <c r="I630">
        <v>971.93</v>
      </c>
    </row>
    <row r="631" spans="1:9" x14ac:dyDescent="0.25">
      <c r="A631">
        <v>630</v>
      </c>
      <c r="B631">
        <v>64</v>
      </c>
      <c r="C631" t="s">
        <v>18</v>
      </c>
      <c r="D631">
        <v>145746</v>
      </c>
      <c r="E631">
        <v>76</v>
      </c>
      <c r="F631">
        <v>2</v>
      </c>
      <c r="G631">
        <v>48</v>
      </c>
      <c r="H631" t="s">
        <v>13</v>
      </c>
      <c r="I631">
        <v>49.06</v>
      </c>
    </row>
    <row r="632" spans="1:9" x14ac:dyDescent="0.25">
      <c r="A632">
        <v>631</v>
      </c>
      <c r="B632">
        <v>47</v>
      </c>
      <c r="C632" t="s">
        <v>18</v>
      </c>
      <c r="D632">
        <v>108766</v>
      </c>
      <c r="E632">
        <v>37</v>
      </c>
      <c r="F632">
        <v>7</v>
      </c>
      <c r="G632">
        <v>38</v>
      </c>
      <c r="H632" t="s">
        <v>16</v>
      </c>
      <c r="I632">
        <v>640.54999999999995</v>
      </c>
    </row>
    <row r="633" spans="1:9" x14ac:dyDescent="0.25">
      <c r="A633">
        <v>632</v>
      </c>
      <c r="B633">
        <v>29</v>
      </c>
      <c r="C633" t="s">
        <v>18</v>
      </c>
      <c r="D633">
        <v>72125</v>
      </c>
      <c r="E633">
        <v>41</v>
      </c>
      <c r="F633">
        <v>5</v>
      </c>
      <c r="G633">
        <v>31</v>
      </c>
      <c r="H633" t="s">
        <v>15</v>
      </c>
      <c r="I633">
        <v>507.62</v>
      </c>
    </row>
    <row r="634" spans="1:9" x14ac:dyDescent="0.25">
      <c r="A634">
        <v>633</v>
      </c>
      <c r="B634">
        <v>43</v>
      </c>
      <c r="C634" t="s">
        <v>18</v>
      </c>
      <c r="D634">
        <v>97989</v>
      </c>
      <c r="E634">
        <v>14</v>
      </c>
      <c r="F634">
        <v>6</v>
      </c>
      <c r="G634">
        <v>49</v>
      </c>
      <c r="H634" t="s">
        <v>14</v>
      </c>
      <c r="I634">
        <v>886.61</v>
      </c>
    </row>
    <row r="635" spans="1:9" x14ac:dyDescent="0.25">
      <c r="A635">
        <v>634</v>
      </c>
      <c r="B635">
        <v>51</v>
      </c>
      <c r="C635" t="s">
        <v>45</v>
      </c>
      <c r="D635">
        <v>143678</v>
      </c>
      <c r="E635">
        <v>50</v>
      </c>
      <c r="F635">
        <v>8</v>
      </c>
      <c r="G635">
        <v>23</v>
      </c>
      <c r="H635" t="s">
        <v>14</v>
      </c>
      <c r="I635">
        <v>916.04</v>
      </c>
    </row>
    <row r="636" spans="1:9" x14ac:dyDescent="0.25">
      <c r="A636">
        <v>635</v>
      </c>
      <c r="B636">
        <v>23</v>
      </c>
      <c r="C636" t="s">
        <v>18</v>
      </c>
      <c r="D636">
        <v>122669</v>
      </c>
      <c r="E636">
        <v>15</v>
      </c>
      <c r="F636">
        <v>3</v>
      </c>
      <c r="G636">
        <v>4</v>
      </c>
      <c r="H636" t="s">
        <v>14</v>
      </c>
      <c r="I636">
        <v>248.68</v>
      </c>
    </row>
    <row r="637" spans="1:9" x14ac:dyDescent="0.25">
      <c r="A637">
        <v>636</v>
      </c>
      <c r="B637">
        <v>24</v>
      </c>
      <c r="C637" t="s">
        <v>18</v>
      </c>
      <c r="D637">
        <v>93266</v>
      </c>
      <c r="E637">
        <v>20</v>
      </c>
      <c r="F637">
        <v>1</v>
      </c>
      <c r="G637">
        <v>4</v>
      </c>
      <c r="H637" t="s">
        <v>17</v>
      </c>
      <c r="I637">
        <v>636.29</v>
      </c>
    </row>
    <row r="638" spans="1:9" x14ac:dyDescent="0.25">
      <c r="A638">
        <v>637</v>
      </c>
      <c r="B638">
        <v>52</v>
      </c>
      <c r="C638" t="s">
        <v>45</v>
      </c>
      <c r="D638">
        <v>85267</v>
      </c>
      <c r="E638">
        <v>6</v>
      </c>
      <c r="F638">
        <v>5</v>
      </c>
      <c r="G638">
        <v>2</v>
      </c>
      <c r="H638" t="s">
        <v>13</v>
      </c>
      <c r="I638">
        <v>704.32</v>
      </c>
    </row>
    <row r="639" spans="1:9" x14ac:dyDescent="0.25">
      <c r="A639">
        <v>638</v>
      </c>
      <c r="B639">
        <v>34</v>
      </c>
      <c r="C639" t="s">
        <v>18</v>
      </c>
      <c r="D639">
        <v>60489</v>
      </c>
      <c r="E639">
        <v>95</v>
      </c>
      <c r="F639">
        <v>3</v>
      </c>
      <c r="G639">
        <v>38</v>
      </c>
      <c r="H639" t="s">
        <v>13</v>
      </c>
      <c r="I639">
        <v>304.86</v>
      </c>
    </row>
    <row r="640" spans="1:9" x14ac:dyDescent="0.25">
      <c r="A640">
        <v>639</v>
      </c>
      <c r="B640">
        <v>68</v>
      </c>
      <c r="C640" t="s">
        <v>12</v>
      </c>
      <c r="D640">
        <v>57700</v>
      </c>
      <c r="E640">
        <v>70</v>
      </c>
      <c r="F640">
        <v>8</v>
      </c>
      <c r="G640">
        <v>46</v>
      </c>
      <c r="H640" t="s">
        <v>16</v>
      </c>
      <c r="I640">
        <v>178.21</v>
      </c>
    </row>
    <row r="641" spans="1:9" x14ac:dyDescent="0.25">
      <c r="A641">
        <v>640</v>
      </c>
      <c r="B641">
        <v>57</v>
      </c>
      <c r="C641" t="s">
        <v>12</v>
      </c>
      <c r="D641">
        <v>97035</v>
      </c>
      <c r="E641">
        <v>28</v>
      </c>
      <c r="F641">
        <v>6</v>
      </c>
      <c r="G641">
        <v>42</v>
      </c>
      <c r="H641" t="s">
        <v>13</v>
      </c>
      <c r="I641">
        <v>741.41</v>
      </c>
    </row>
    <row r="642" spans="1:9" x14ac:dyDescent="0.25">
      <c r="A642">
        <v>641</v>
      </c>
      <c r="B642">
        <v>59</v>
      </c>
      <c r="C642" t="s">
        <v>45</v>
      </c>
      <c r="D642">
        <v>141667</v>
      </c>
      <c r="E642">
        <v>28</v>
      </c>
      <c r="F642">
        <v>4</v>
      </c>
      <c r="G642">
        <v>5</v>
      </c>
      <c r="H642" t="s">
        <v>15</v>
      </c>
      <c r="I642">
        <v>204.25</v>
      </c>
    </row>
    <row r="643" spans="1:9" x14ac:dyDescent="0.25">
      <c r="A643">
        <v>642</v>
      </c>
      <c r="B643">
        <v>34</v>
      </c>
      <c r="C643" t="s">
        <v>18</v>
      </c>
      <c r="D643">
        <v>114408</v>
      </c>
      <c r="E643">
        <v>38</v>
      </c>
      <c r="F643">
        <v>7</v>
      </c>
      <c r="G643">
        <v>28</v>
      </c>
      <c r="H643" t="s">
        <v>14</v>
      </c>
      <c r="I643">
        <v>647.35</v>
      </c>
    </row>
    <row r="644" spans="1:9" x14ac:dyDescent="0.25">
      <c r="A644">
        <v>643</v>
      </c>
      <c r="B644">
        <v>64</v>
      </c>
      <c r="C644" t="s">
        <v>18</v>
      </c>
      <c r="D644">
        <v>92888</v>
      </c>
      <c r="E644">
        <v>2</v>
      </c>
      <c r="F644">
        <v>7</v>
      </c>
      <c r="G644">
        <v>50</v>
      </c>
      <c r="H644" t="s">
        <v>15</v>
      </c>
      <c r="I644">
        <v>84.98</v>
      </c>
    </row>
    <row r="645" spans="1:9" x14ac:dyDescent="0.25">
      <c r="A645">
        <v>644</v>
      </c>
      <c r="B645">
        <v>54</v>
      </c>
      <c r="C645" t="s">
        <v>12</v>
      </c>
      <c r="D645">
        <v>132403</v>
      </c>
      <c r="E645">
        <v>83</v>
      </c>
      <c r="F645">
        <v>3</v>
      </c>
      <c r="G645">
        <v>2</v>
      </c>
      <c r="H645" t="s">
        <v>15</v>
      </c>
      <c r="I645">
        <v>45.2</v>
      </c>
    </row>
    <row r="646" spans="1:9" x14ac:dyDescent="0.25">
      <c r="A646">
        <v>645</v>
      </c>
      <c r="B646">
        <v>67</v>
      </c>
      <c r="C646" t="s">
        <v>45</v>
      </c>
      <c r="D646">
        <v>115578</v>
      </c>
      <c r="E646">
        <v>10</v>
      </c>
      <c r="F646">
        <v>1</v>
      </c>
      <c r="G646">
        <v>36</v>
      </c>
      <c r="H646" t="s">
        <v>16</v>
      </c>
      <c r="I646">
        <v>646.16</v>
      </c>
    </row>
    <row r="647" spans="1:9" x14ac:dyDescent="0.25">
      <c r="A647">
        <v>646</v>
      </c>
      <c r="B647">
        <v>62</v>
      </c>
      <c r="C647" t="s">
        <v>12</v>
      </c>
      <c r="D647">
        <v>113856</v>
      </c>
      <c r="E647">
        <v>78</v>
      </c>
      <c r="F647">
        <v>6</v>
      </c>
      <c r="G647">
        <v>50</v>
      </c>
      <c r="H647" t="s">
        <v>14</v>
      </c>
      <c r="I647">
        <v>720.47</v>
      </c>
    </row>
    <row r="648" spans="1:9" x14ac:dyDescent="0.25">
      <c r="A648">
        <v>647</v>
      </c>
      <c r="B648">
        <v>24</v>
      </c>
      <c r="C648" t="s">
        <v>45</v>
      </c>
      <c r="D648">
        <v>122371</v>
      </c>
      <c r="E648">
        <v>11</v>
      </c>
      <c r="F648">
        <v>2</v>
      </c>
      <c r="G648">
        <v>4</v>
      </c>
      <c r="H648" t="s">
        <v>14</v>
      </c>
      <c r="I648">
        <v>838.19</v>
      </c>
    </row>
    <row r="649" spans="1:9" x14ac:dyDescent="0.25">
      <c r="A649">
        <v>648</v>
      </c>
      <c r="B649">
        <v>43</v>
      </c>
      <c r="C649" t="s">
        <v>18</v>
      </c>
      <c r="D649">
        <v>67979</v>
      </c>
      <c r="E649">
        <v>49</v>
      </c>
      <c r="F649">
        <v>2</v>
      </c>
      <c r="G649">
        <v>6</v>
      </c>
      <c r="H649" t="s">
        <v>16</v>
      </c>
      <c r="I649">
        <v>420.03</v>
      </c>
    </row>
    <row r="650" spans="1:9" x14ac:dyDescent="0.25">
      <c r="A650">
        <v>649</v>
      </c>
      <c r="B650">
        <v>27</v>
      </c>
      <c r="C650" t="s">
        <v>12</v>
      </c>
      <c r="D650">
        <v>147360</v>
      </c>
      <c r="E650">
        <v>96</v>
      </c>
      <c r="F650">
        <v>3</v>
      </c>
      <c r="G650">
        <v>26</v>
      </c>
      <c r="H650" t="s">
        <v>15</v>
      </c>
      <c r="I650">
        <v>26.1</v>
      </c>
    </row>
    <row r="651" spans="1:9" x14ac:dyDescent="0.25">
      <c r="A651">
        <v>650</v>
      </c>
      <c r="B651">
        <v>47</v>
      </c>
      <c r="C651" t="s">
        <v>45</v>
      </c>
      <c r="D651">
        <v>88268</v>
      </c>
      <c r="E651">
        <v>32</v>
      </c>
      <c r="F651">
        <v>8</v>
      </c>
      <c r="G651">
        <v>27</v>
      </c>
      <c r="H651" t="s">
        <v>16</v>
      </c>
      <c r="I651">
        <v>686.5</v>
      </c>
    </row>
    <row r="652" spans="1:9" x14ac:dyDescent="0.25">
      <c r="A652">
        <v>651</v>
      </c>
      <c r="B652">
        <v>27</v>
      </c>
      <c r="C652" t="s">
        <v>18</v>
      </c>
      <c r="D652">
        <v>113174</v>
      </c>
      <c r="E652">
        <v>36</v>
      </c>
      <c r="F652">
        <v>3</v>
      </c>
      <c r="G652">
        <v>46</v>
      </c>
      <c r="H652" t="s">
        <v>14</v>
      </c>
      <c r="I652">
        <v>499.07</v>
      </c>
    </row>
    <row r="653" spans="1:9" x14ac:dyDescent="0.25">
      <c r="A653">
        <v>652</v>
      </c>
      <c r="B653">
        <v>32</v>
      </c>
      <c r="C653" t="s">
        <v>45</v>
      </c>
      <c r="D653">
        <v>95862</v>
      </c>
      <c r="E653">
        <v>34</v>
      </c>
      <c r="F653">
        <v>6</v>
      </c>
      <c r="G653">
        <v>41</v>
      </c>
      <c r="H653" t="s">
        <v>14</v>
      </c>
      <c r="I653">
        <v>65.150000000000006</v>
      </c>
    </row>
    <row r="654" spans="1:9" x14ac:dyDescent="0.25">
      <c r="A654">
        <v>653</v>
      </c>
      <c r="B654">
        <v>41</v>
      </c>
      <c r="C654" t="s">
        <v>12</v>
      </c>
      <c r="D654">
        <v>140959</v>
      </c>
      <c r="E654">
        <v>35</v>
      </c>
      <c r="F654">
        <v>7</v>
      </c>
      <c r="G654">
        <v>14</v>
      </c>
      <c r="H654" t="s">
        <v>13</v>
      </c>
      <c r="I654">
        <v>232.42</v>
      </c>
    </row>
    <row r="655" spans="1:9" x14ac:dyDescent="0.25">
      <c r="A655">
        <v>654</v>
      </c>
      <c r="B655">
        <v>48</v>
      </c>
      <c r="C655" t="s">
        <v>12</v>
      </c>
      <c r="D655">
        <v>82356</v>
      </c>
      <c r="E655">
        <v>97</v>
      </c>
      <c r="F655">
        <v>1</v>
      </c>
      <c r="G655">
        <v>35</v>
      </c>
      <c r="H655" t="s">
        <v>15</v>
      </c>
      <c r="I655">
        <v>204.55</v>
      </c>
    </row>
    <row r="656" spans="1:9" x14ac:dyDescent="0.25">
      <c r="A656">
        <v>655</v>
      </c>
      <c r="B656">
        <v>45</v>
      </c>
      <c r="C656" t="s">
        <v>45</v>
      </c>
      <c r="D656">
        <v>47989</v>
      </c>
      <c r="E656">
        <v>70</v>
      </c>
      <c r="F656">
        <v>6</v>
      </c>
      <c r="G656">
        <v>9</v>
      </c>
      <c r="H656" t="s">
        <v>16</v>
      </c>
      <c r="I656">
        <v>218.77</v>
      </c>
    </row>
    <row r="657" spans="1:9" x14ac:dyDescent="0.25">
      <c r="A657">
        <v>656</v>
      </c>
      <c r="B657">
        <v>33</v>
      </c>
      <c r="C657" t="s">
        <v>45</v>
      </c>
      <c r="D657">
        <v>65142</v>
      </c>
      <c r="E657">
        <v>45</v>
      </c>
      <c r="F657">
        <v>10</v>
      </c>
      <c r="G657">
        <v>42</v>
      </c>
      <c r="H657" t="s">
        <v>17</v>
      </c>
      <c r="I657">
        <v>132.6</v>
      </c>
    </row>
    <row r="658" spans="1:9" x14ac:dyDescent="0.25">
      <c r="A658">
        <v>657</v>
      </c>
      <c r="B658">
        <v>27</v>
      </c>
      <c r="C658" t="s">
        <v>12</v>
      </c>
      <c r="D658">
        <v>81110</v>
      </c>
      <c r="E658">
        <v>44</v>
      </c>
      <c r="F658">
        <v>6</v>
      </c>
      <c r="G658">
        <v>8</v>
      </c>
      <c r="H658" t="s">
        <v>14</v>
      </c>
      <c r="I658">
        <v>654.04999999999995</v>
      </c>
    </row>
    <row r="659" spans="1:9" x14ac:dyDescent="0.25">
      <c r="A659">
        <v>658</v>
      </c>
      <c r="B659">
        <v>61</v>
      </c>
      <c r="C659" t="s">
        <v>12</v>
      </c>
      <c r="D659">
        <v>145578</v>
      </c>
      <c r="E659">
        <v>79</v>
      </c>
      <c r="F659">
        <v>2</v>
      </c>
      <c r="G659">
        <v>34</v>
      </c>
      <c r="H659" t="s">
        <v>17</v>
      </c>
      <c r="I659">
        <v>762.06</v>
      </c>
    </row>
    <row r="660" spans="1:9" x14ac:dyDescent="0.25">
      <c r="A660">
        <v>659</v>
      </c>
      <c r="B660">
        <v>35</v>
      </c>
      <c r="C660" t="s">
        <v>45</v>
      </c>
      <c r="D660">
        <v>116378</v>
      </c>
      <c r="E660">
        <v>38</v>
      </c>
      <c r="F660">
        <v>10</v>
      </c>
      <c r="G660">
        <v>11</v>
      </c>
      <c r="H660" t="s">
        <v>17</v>
      </c>
      <c r="I660">
        <v>79.27</v>
      </c>
    </row>
    <row r="661" spans="1:9" x14ac:dyDescent="0.25">
      <c r="A661">
        <v>660</v>
      </c>
      <c r="B661">
        <v>54</v>
      </c>
      <c r="C661" t="s">
        <v>18</v>
      </c>
      <c r="D661">
        <v>89035</v>
      </c>
      <c r="E661">
        <v>14</v>
      </c>
      <c r="F661">
        <v>4</v>
      </c>
      <c r="G661">
        <v>11</v>
      </c>
      <c r="H661" t="s">
        <v>15</v>
      </c>
      <c r="I661">
        <v>138.81</v>
      </c>
    </row>
    <row r="662" spans="1:9" x14ac:dyDescent="0.25">
      <c r="A662">
        <v>661</v>
      </c>
      <c r="B662">
        <v>69</v>
      </c>
      <c r="C662" t="s">
        <v>18</v>
      </c>
      <c r="D662">
        <v>34122</v>
      </c>
      <c r="E662">
        <v>50</v>
      </c>
      <c r="F662">
        <v>4</v>
      </c>
      <c r="G662">
        <v>27</v>
      </c>
      <c r="H662" t="s">
        <v>15</v>
      </c>
      <c r="I662">
        <v>758.44</v>
      </c>
    </row>
    <row r="663" spans="1:9" x14ac:dyDescent="0.25">
      <c r="A663">
        <v>662</v>
      </c>
      <c r="B663">
        <v>66</v>
      </c>
      <c r="C663" t="s">
        <v>45</v>
      </c>
      <c r="D663">
        <v>38652</v>
      </c>
      <c r="E663">
        <v>40</v>
      </c>
      <c r="F663">
        <v>10</v>
      </c>
      <c r="G663">
        <v>7</v>
      </c>
      <c r="H663" t="s">
        <v>13</v>
      </c>
      <c r="I663">
        <v>566.59</v>
      </c>
    </row>
    <row r="664" spans="1:9" x14ac:dyDescent="0.25">
      <c r="A664">
        <v>663</v>
      </c>
      <c r="B664">
        <v>30</v>
      </c>
      <c r="C664" t="s">
        <v>18</v>
      </c>
      <c r="D664">
        <v>76658</v>
      </c>
      <c r="E664">
        <v>70</v>
      </c>
      <c r="F664">
        <v>3</v>
      </c>
      <c r="G664">
        <v>32</v>
      </c>
      <c r="H664" t="s">
        <v>16</v>
      </c>
      <c r="I664">
        <v>760.27</v>
      </c>
    </row>
    <row r="665" spans="1:9" x14ac:dyDescent="0.25">
      <c r="A665">
        <v>664</v>
      </c>
      <c r="B665">
        <v>56</v>
      </c>
      <c r="C665" t="s">
        <v>45</v>
      </c>
      <c r="D665">
        <v>30492</v>
      </c>
      <c r="E665">
        <v>47</v>
      </c>
      <c r="F665">
        <v>5</v>
      </c>
      <c r="G665">
        <v>6</v>
      </c>
      <c r="H665" t="s">
        <v>16</v>
      </c>
      <c r="I665">
        <v>725.26</v>
      </c>
    </row>
    <row r="666" spans="1:9" x14ac:dyDescent="0.25">
      <c r="A666">
        <v>665</v>
      </c>
      <c r="B666">
        <v>37</v>
      </c>
      <c r="C666" t="s">
        <v>12</v>
      </c>
      <c r="D666">
        <v>105623</v>
      </c>
      <c r="E666">
        <v>26</v>
      </c>
      <c r="F666">
        <v>5</v>
      </c>
      <c r="G666">
        <v>47</v>
      </c>
      <c r="H666" t="s">
        <v>13</v>
      </c>
      <c r="I666">
        <v>94.79</v>
      </c>
    </row>
    <row r="667" spans="1:9" x14ac:dyDescent="0.25">
      <c r="A667">
        <v>666</v>
      </c>
      <c r="B667">
        <v>31</v>
      </c>
      <c r="C667" t="s">
        <v>45</v>
      </c>
      <c r="D667">
        <v>85972</v>
      </c>
      <c r="E667">
        <v>62</v>
      </c>
      <c r="F667">
        <v>9</v>
      </c>
      <c r="G667">
        <v>25</v>
      </c>
      <c r="H667" t="s">
        <v>15</v>
      </c>
      <c r="I667">
        <v>914.63</v>
      </c>
    </row>
    <row r="668" spans="1:9" x14ac:dyDescent="0.25">
      <c r="A668">
        <v>667</v>
      </c>
      <c r="B668">
        <v>29</v>
      </c>
      <c r="C668" t="s">
        <v>18</v>
      </c>
      <c r="D668">
        <v>135394</v>
      </c>
      <c r="E668">
        <v>53</v>
      </c>
      <c r="F668">
        <v>9</v>
      </c>
      <c r="G668">
        <v>36</v>
      </c>
      <c r="H668" t="s">
        <v>17</v>
      </c>
      <c r="I668">
        <v>30.13</v>
      </c>
    </row>
    <row r="669" spans="1:9" x14ac:dyDescent="0.25">
      <c r="A669">
        <v>668</v>
      </c>
      <c r="B669">
        <v>27</v>
      </c>
      <c r="C669" t="s">
        <v>18</v>
      </c>
      <c r="D669">
        <v>48576</v>
      </c>
      <c r="E669">
        <v>29</v>
      </c>
      <c r="F669">
        <v>7</v>
      </c>
      <c r="G669">
        <v>29</v>
      </c>
      <c r="H669" t="s">
        <v>15</v>
      </c>
      <c r="I669">
        <v>976.83</v>
      </c>
    </row>
    <row r="670" spans="1:9" x14ac:dyDescent="0.25">
      <c r="A670">
        <v>669</v>
      </c>
      <c r="B670">
        <v>52</v>
      </c>
      <c r="C670" t="s">
        <v>12</v>
      </c>
      <c r="D670">
        <v>87717</v>
      </c>
      <c r="E670">
        <v>79</v>
      </c>
      <c r="F670">
        <v>6</v>
      </c>
      <c r="G670">
        <v>44</v>
      </c>
      <c r="H670" t="s">
        <v>17</v>
      </c>
      <c r="I670">
        <v>95.17</v>
      </c>
    </row>
    <row r="671" spans="1:9" x14ac:dyDescent="0.25">
      <c r="A671">
        <v>670</v>
      </c>
      <c r="B671">
        <v>55</v>
      </c>
      <c r="C671" t="s">
        <v>45</v>
      </c>
      <c r="D671">
        <v>59108</v>
      </c>
      <c r="E671">
        <v>36</v>
      </c>
      <c r="F671">
        <v>6</v>
      </c>
      <c r="G671">
        <v>31</v>
      </c>
      <c r="H671" t="s">
        <v>13</v>
      </c>
      <c r="I671">
        <v>900.16</v>
      </c>
    </row>
    <row r="672" spans="1:9" x14ac:dyDescent="0.25">
      <c r="A672">
        <v>671</v>
      </c>
      <c r="B672">
        <v>34</v>
      </c>
      <c r="C672" t="s">
        <v>12</v>
      </c>
      <c r="D672">
        <v>54274</v>
      </c>
      <c r="E672">
        <v>27</v>
      </c>
      <c r="F672">
        <v>2</v>
      </c>
      <c r="G672">
        <v>17</v>
      </c>
      <c r="H672" t="s">
        <v>13</v>
      </c>
      <c r="I672">
        <v>954.46</v>
      </c>
    </row>
    <row r="673" spans="1:9" x14ac:dyDescent="0.25">
      <c r="A673">
        <v>672</v>
      </c>
      <c r="B673">
        <v>30</v>
      </c>
      <c r="C673" t="s">
        <v>12</v>
      </c>
      <c r="D673">
        <v>94803</v>
      </c>
      <c r="E673">
        <v>76</v>
      </c>
      <c r="F673">
        <v>6</v>
      </c>
      <c r="G673">
        <v>33</v>
      </c>
      <c r="H673" t="s">
        <v>13</v>
      </c>
      <c r="I673">
        <v>596.98</v>
      </c>
    </row>
    <row r="674" spans="1:9" x14ac:dyDescent="0.25">
      <c r="A674">
        <v>673</v>
      </c>
      <c r="B674">
        <v>47</v>
      </c>
      <c r="C674" t="s">
        <v>18</v>
      </c>
      <c r="D674">
        <v>40790</v>
      </c>
      <c r="E674">
        <v>36</v>
      </c>
      <c r="F674">
        <v>1</v>
      </c>
      <c r="G674">
        <v>4</v>
      </c>
      <c r="H674" t="s">
        <v>17</v>
      </c>
      <c r="I674">
        <v>913.84</v>
      </c>
    </row>
    <row r="675" spans="1:9" x14ac:dyDescent="0.25">
      <c r="A675">
        <v>674</v>
      </c>
      <c r="B675">
        <v>32</v>
      </c>
      <c r="C675" t="s">
        <v>45</v>
      </c>
      <c r="D675">
        <v>41072</v>
      </c>
      <c r="E675">
        <v>14</v>
      </c>
      <c r="F675">
        <v>5</v>
      </c>
      <c r="G675">
        <v>39</v>
      </c>
      <c r="H675" t="s">
        <v>14</v>
      </c>
      <c r="I675">
        <v>981.04</v>
      </c>
    </row>
    <row r="676" spans="1:9" x14ac:dyDescent="0.25">
      <c r="A676">
        <v>675</v>
      </c>
      <c r="B676">
        <v>64</v>
      </c>
      <c r="C676" t="s">
        <v>18</v>
      </c>
      <c r="D676">
        <v>67704</v>
      </c>
      <c r="E676">
        <v>12</v>
      </c>
      <c r="F676">
        <v>6</v>
      </c>
      <c r="G676">
        <v>17</v>
      </c>
      <c r="H676" t="s">
        <v>13</v>
      </c>
      <c r="I676">
        <v>126.15</v>
      </c>
    </row>
    <row r="677" spans="1:9" x14ac:dyDescent="0.25">
      <c r="A677">
        <v>676</v>
      </c>
      <c r="B677">
        <v>64</v>
      </c>
      <c r="C677" t="s">
        <v>18</v>
      </c>
      <c r="D677">
        <v>48169</v>
      </c>
      <c r="E677">
        <v>39</v>
      </c>
      <c r="F677">
        <v>5</v>
      </c>
      <c r="G677">
        <v>33</v>
      </c>
      <c r="H677" t="s">
        <v>16</v>
      </c>
      <c r="I677">
        <v>451.86</v>
      </c>
    </row>
    <row r="678" spans="1:9" x14ac:dyDescent="0.25">
      <c r="A678">
        <v>677</v>
      </c>
      <c r="B678">
        <v>51</v>
      </c>
      <c r="C678" t="s">
        <v>18</v>
      </c>
      <c r="D678">
        <v>146159</v>
      </c>
      <c r="E678">
        <v>99</v>
      </c>
      <c r="F678">
        <v>7</v>
      </c>
      <c r="G678">
        <v>38</v>
      </c>
      <c r="H678" t="s">
        <v>16</v>
      </c>
      <c r="I678">
        <v>808.89</v>
      </c>
    </row>
    <row r="679" spans="1:9" x14ac:dyDescent="0.25">
      <c r="A679">
        <v>678</v>
      </c>
      <c r="B679">
        <v>63</v>
      </c>
      <c r="C679" t="s">
        <v>45</v>
      </c>
      <c r="D679">
        <v>56374</v>
      </c>
      <c r="E679">
        <v>60</v>
      </c>
      <c r="F679">
        <v>4</v>
      </c>
      <c r="G679">
        <v>45</v>
      </c>
      <c r="H679" t="s">
        <v>13</v>
      </c>
      <c r="I679">
        <v>943.5</v>
      </c>
    </row>
    <row r="680" spans="1:9" x14ac:dyDescent="0.25">
      <c r="A680">
        <v>679</v>
      </c>
      <c r="B680">
        <v>46</v>
      </c>
      <c r="C680" t="s">
        <v>18</v>
      </c>
      <c r="D680">
        <v>112770</v>
      </c>
      <c r="E680">
        <v>6</v>
      </c>
      <c r="F680">
        <v>10</v>
      </c>
      <c r="G680">
        <v>27</v>
      </c>
      <c r="H680" t="s">
        <v>15</v>
      </c>
      <c r="I680">
        <v>559.73</v>
      </c>
    </row>
    <row r="681" spans="1:9" x14ac:dyDescent="0.25">
      <c r="A681">
        <v>680</v>
      </c>
      <c r="B681">
        <v>36</v>
      </c>
      <c r="C681" t="s">
        <v>45</v>
      </c>
      <c r="D681">
        <v>106345</v>
      </c>
      <c r="E681">
        <v>98</v>
      </c>
      <c r="F681">
        <v>7</v>
      </c>
      <c r="G681">
        <v>49</v>
      </c>
      <c r="H681" t="s">
        <v>17</v>
      </c>
      <c r="I681">
        <v>55.21</v>
      </c>
    </row>
    <row r="682" spans="1:9" x14ac:dyDescent="0.25">
      <c r="A682">
        <v>681</v>
      </c>
      <c r="B682">
        <v>49</v>
      </c>
      <c r="C682" t="s">
        <v>45</v>
      </c>
      <c r="D682">
        <v>115974</v>
      </c>
      <c r="E682">
        <v>95</v>
      </c>
      <c r="F682">
        <v>8</v>
      </c>
      <c r="G682">
        <v>22</v>
      </c>
      <c r="H682" t="s">
        <v>14</v>
      </c>
      <c r="I682">
        <v>143</v>
      </c>
    </row>
    <row r="683" spans="1:9" x14ac:dyDescent="0.25">
      <c r="A683">
        <v>682</v>
      </c>
      <c r="B683">
        <v>61</v>
      </c>
      <c r="C683" t="s">
        <v>12</v>
      </c>
      <c r="D683">
        <v>136973</v>
      </c>
      <c r="E683">
        <v>27</v>
      </c>
      <c r="F683">
        <v>7</v>
      </c>
      <c r="G683">
        <v>2</v>
      </c>
      <c r="H683" t="s">
        <v>14</v>
      </c>
      <c r="I683">
        <v>269.2</v>
      </c>
    </row>
    <row r="684" spans="1:9" x14ac:dyDescent="0.25">
      <c r="A684">
        <v>683</v>
      </c>
      <c r="B684">
        <v>27</v>
      </c>
      <c r="C684" t="s">
        <v>18</v>
      </c>
      <c r="D684">
        <v>89855</v>
      </c>
      <c r="E684">
        <v>54</v>
      </c>
      <c r="F684">
        <v>10</v>
      </c>
      <c r="G684">
        <v>37</v>
      </c>
      <c r="H684" t="s">
        <v>13</v>
      </c>
      <c r="I684">
        <v>750.51</v>
      </c>
    </row>
    <row r="685" spans="1:9" x14ac:dyDescent="0.25">
      <c r="A685">
        <v>684</v>
      </c>
      <c r="B685">
        <v>42</v>
      </c>
      <c r="C685" t="s">
        <v>12</v>
      </c>
      <c r="D685">
        <v>56378</v>
      </c>
      <c r="E685">
        <v>8</v>
      </c>
      <c r="F685">
        <v>9</v>
      </c>
      <c r="G685">
        <v>18</v>
      </c>
      <c r="H685" t="s">
        <v>17</v>
      </c>
      <c r="I685">
        <v>880.45</v>
      </c>
    </row>
    <row r="686" spans="1:9" x14ac:dyDescent="0.25">
      <c r="A686">
        <v>685</v>
      </c>
      <c r="B686">
        <v>37</v>
      </c>
      <c r="C686" t="s">
        <v>12</v>
      </c>
      <c r="D686">
        <v>104041</v>
      </c>
      <c r="E686">
        <v>64</v>
      </c>
      <c r="F686">
        <v>9</v>
      </c>
      <c r="G686">
        <v>49</v>
      </c>
      <c r="H686" t="s">
        <v>13</v>
      </c>
      <c r="I686">
        <v>117.52</v>
      </c>
    </row>
    <row r="687" spans="1:9" x14ac:dyDescent="0.25">
      <c r="A687">
        <v>686</v>
      </c>
      <c r="B687">
        <v>30</v>
      </c>
      <c r="C687" t="s">
        <v>12</v>
      </c>
      <c r="D687">
        <v>115674</v>
      </c>
      <c r="E687">
        <v>78</v>
      </c>
      <c r="F687">
        <v>2</v>
      </c>
      <c r="G687">
        <v>48</v>
      </c>
      <c r="H687" t="s">
        <v>17</v>
      </c>
      <c r="I687">
        <v>621.73</v>
      </c>
    </row>
    <row r="688" spans="1:9" x14ac:dyDescent="0.25">
      <c r="A688">
        <v>687</v>
      </c>
      <c r="B688">
        <v>59</v>
      </c>
      <c r="C688" t="s">
        <v>12</v>
      </c>
      <c r="D688">
        <v>65196</v>
      </c>
      <c r="E688">
        <v>22</v>
      </c>
      <c r="F688">
        <v>2</v>
      </c>
      <c r="G688">
        <v>36</v>
      </c>
      <c r="H688" t="s">
        <v>13</v>
      </c>
      <c r="I688">
        <v>625.33000000000004</v>
      </c>
    </row>
    <row r="689" spans="1:9" x14ac:dyDescent="0.25">
      <c r="A689">
        <v>688</v>
      </c>
      <c r="B689">
        <v>30</v>
      </c>
      <c r="C689" t="s">
        <v>12</v>
      </c>
      <c r="D689">
        <v>94970</v>
      </c>
      <c r="E689">
        <v>15</v>
      </c>
      <c r="F689">
        <v>4</v>
      </c>
      <c r="G689">
        <v>11</v>
      </c>
      <c r="H689" t="s">
        <v>15</v>
      </c>
      <c r="I689">
        <v>250.07</v>
      </c>
    </row>
    <row r="690" spans="1:9" x14ac:dyDescent="0.25">
      <c r="A690">
        <v>689</v>
      </c>
      <c r="B690">
        <v>69</v>
      </c>
      <c r="C690" t="s">
        <v>45</v>
      </c>
      <c r="D690">
        <v>45024</v>
      </c>
      <c r="E690">
        <v>38</v>
      </c>
      <c r="F690">
        <v>5</v>
      </c>
      <c r="G690">
        <v>11</v>
      </c>
      <c r="H690" t="s">
        <v>17</v>
      </c>
      <c r="I690">
        <v>830.03</v>
      </c>
    </row>
    <row r="691" spans="1:9" x14ac:dyDescent="0.25">
      <c r="A691">
        <v>690</v>
      </c>
      <c r="B691">
        <v>39</v>
      </c>
      <c r="C691" t="s">
        <v>18</v>
      </c>
      <c r="D691">
        <v>141586</v>
      </c>
      <c r="E691">
        <v>50</v>
      </c>
      <c r="F691">
        <v>4</v>
      </c>
      <c r="G691">
        <v>46</v>
      </c>
      <c r="H691" t="s">
        <v>17</v>
      </c>
      <c r="I691">
        <v>659.67</v>
      </c>
    </row>
    <row r="692" spans="1:9" x14ac:dyDescent="0.25">
      <c r="A692">
        <v>691</v>
      </c>
      <c r="B692">
        <v>53</v>
      </c>
      <c r="C692" t="s">
        <v>45</v>
      </c>
      <c r="D692">
        <v>84686</v>
      </c>
      <c r="E692">
        <v>93</v>
      </c>
      <c r="F692">
        <v>8</v>
      </c>
      <c r="G692">
        <v>1</v>
      </c>
      <c r="H692" t="s">
        <v>16</v>
      </c>
      <c r="I692">
        <v>109.54</v>
      </c>
    </row>
    <row r="693" spans="1:9" x14ac:dyDescent="0.25">
      <c r="A693">
        <v>692</v>
      </c>
      <c r="B693">
        <v>23</v>
      </c>
      <c r="C693" t="s">
        <v>12</v>
      </c>
      <c r="D693">
        <v>57558</v>
      </c>
      <c r="E693">
        <v>28</v>
      </c>
      <c r="F693">
        <v>6</v>
      </c>
      <c r="G693">
        <v>23</v>
      </c>
      <c r="H693" t="s">
        <v>14</v>
      </c>
      <c r="I693">
        <v>800.78</v>
      </c>
    </row>
    <row r="694" spans="1:9" x14ac:dyDescent="0.25">
      <c r="A694">
        <v>693</v>
      </c>
      <c r="B694">
        <v>28</v>
      </c>
      <c r="C694" t="s">
        <v>18</v>
      </c>
      <c r="D694">
        <v>142450</v>
      </c>
      <c r="E694">
        <v>80</v>
      </c>
      <c r="F694">
        <v>3</v>
      </c>
      <c r="G694">
        <v>22</v>
      </c>
      <c r="H694" t="s">
        <v>16</v>
      </c>
      <c r="I694">
        <v>471.87</v>
      </c>
    </row>
    <row r="695" spans="1:9" x14ac:dyDescent="0.25">
      <c r="A695">
        <v>694</v>
      </c>
      <c r="B695">
        <v>64</v>
      </c>
      <c r="C695" t="s">
        <v>12</v>
      </c>
      <c r="D695">
        <v>32144</v>
      </c>
      <c r="E695">
        <v>76</v>
      </c>
      <c r="F695">
        <v>2</v>
      </c>
      <c r="G695">
        <v>28</v>
      </c>
      <c r="H695" t="s">
        <v>15</v>
      </c>
      <c r="I695">
        <v>902.66</v>
      </c>
    </row>
    <row r="696" spans="1:9" x14ac:dyDescent="0.25">
      <c r="A696">
        <v>695</v>
      </c>
      <c r="B696">
        <v>45</v>
      </c>
      <c r="C696" t="s">
        <v>12</v>
      </c>
      <c r="D696">
        <v>53474</v>
      </c>
      <c r="E696">
        <v>79</v>
      </c>
      <c r="F696">
        <v>8</v>
      </c>
      <c r="G696">
        <v>21</v>
      </c>
      <c r="H696" t="s">
        <v>14</v>
      </c>
      <c r="I696">
        <v>40.32</v>
      </c>
    </row>
    <row r="697" spans="1:9" x14ac:dyDescent="0.25">
      <c r="A697">
        <v>696</v>
      </c>
      <c r="B697">
        <v>61</v>
      </c>
      <c r="C697" t="s">
        <v>12</v>
      </c>
      <c r="D697">
        <v>89720</v>
      </c>
      <c r="E697">
        <v>4</v>
      </c>
      <c r="F697">
        <v>9</v>
      </c>
      <c r="G697">
        <v>8</v>
      </c>
      <c r="H697" t="s">
        <v>16</v>
      </c>
      <c r="I697">
        <v>795.49</v>
      </c>
    </row>
    <row r="698" spans="1:9" x14ac:dyDescent="0.25">
      <c r="A698">
        <v>697</v>
      </c>
      <c r="B698">
        <v>36</v>
      </c>
      <c r="C698" t="s">
        <v>18</v>
      </c>
      <c r="D698">
        <v>114281</v>
      </c>
      <c r="E698">
        <v>99</v>
      </c>
      <c r="F698">
        <v>7</v>
      </c>
      <c r="G698">
        <v>6</v>
      </c>
      <c r="H698" t="s">
        <v>15</v>
      </c>
      <c r="I698">
        <v>217.78</v>
      </c>
    </row>
    <row r="699" spans="1:9" x14ac:dyDescent="0.25">
      <c r="A699">
        <v>698</v>
      </c>
      <c r="B699">
        <v>33</v>
      </c>
      <c r="C699" t="s">
        <v>45</v>
      </c>
      <c r="D699">
        <v>36577</v>
      </c>
      <c r="E699">
        <v>28</v>
      </c>
      <c r="F699">
        <v>4</v>
      </c>
      <c r="G699">
        <v>1</v>
      </c>
      <c r="H699" t="s">
        <v>14</v>
      </c>
      <c r="I699">
        <v>612.54</v>
      </c>
    </row>
    <row r="700" spans="1:9" x14ac:dyDescent="0.25">
      <c r="A700">
        <v>699</v>
      </c>
      <c r="B700">
        <v>55</v>
      </c>
      <c r="C700" t="s">
        <v>45</v>
      </c>
      <c r="D700">
        <v>53164</v>
      </c>
      <c r="E700">
        <v>64</v>
      </c>
      <c r="F700">
        <v>2</v>
      </c>
      <c r="G700">
        <v>19</v>
      </c>
      <c r="H700" t="s">
        <v>17</v>
      </c>
      <c r="I700">
        <v>932.41</v>
      </c>
    </row>
    <row r="701" spans="1:9" x14ac:dyDescent="0.25">
      <c r="A701">
        <v>700</v>
      </c>
      <c r="B701">
        <v>31</v>
      </c>
      <c r="C701" t="s">
        <v>12</v>
      </c>
      <c r="D701">
        <v>33604</v>
      </c>
      <c r="E701">
        <v>8</v>
      </c>
      <c r="F701">
        <v>5</v>
      </c>
      <c r="G701">
        <v>2</v>
      </c>
      <c r="H701" t="s">
        <v>14</v>
      </c>
      <c r="I701">
        <v>984.15</v>
      </c>
    </row>
    <row r="702" spans="1:9" x14ac:dyDescent="0.25">
      <c r="A702">
        <v>701</v>
      </c>
      <c r="B702">
        <v>31</v>
      </c>
      <c r="C702" t="s">
        <v>12</v>
      </c>
      <c r="D702">
        <v>148121</v>
      </c>
      <c r="E702">
        <v>34</v>
      </c>
      <c r="F702">
        <v>9</v>
      </c>
      <c r="G702">
        <v>32</v>
      </c>
      <c r="H702" t="s">
        <v>16</v>
      </c>
      <c r="I702">
        <v>753.49</v>
      </c>
    </row>
    <row r="703" spans="1:9" x14ac:dyDescent="0.25">
      <c r="A703">
        <v>702</v>
      </c>
      <c r="B703">
        <v>26</v>
      </c>
      <c r="C703" t="s">
        <v>18</v>
      </c>
      <c r="D703">
        <v>42499</v>
      </c>
      <c r="E703">
        <v>92</v>
      </c>
      <c r="F703">
        <v>9</v>
      </c>
      <c r="G703">
        <v>50</v>
      </c>
      <c r="H703" t="s">
        <v>14</v>
      </c>
      <c r="I703">
        <v>37.57</v>
      </c>
    </row>
    <row r="704" spans="1:9" x14ac:dyDescent="0.25">
      <c r="A704">
        <v>703</v>
      </c>
      <c r="B704">
        <v>26</v>
      </c>
      <c r="C704" t="s">
        <v>18</v>
      </c>
      <c r="D704">
        <v>56466</v>
      </c>
      <c r="E704">
        <v>61</v>
      </c>
      <c r="F704">
        <v>3</v>
      </c>
      <c r="G704">
        <v>12</v>
      </c>
      <c r="H704" t="s">
        <v>13</v>
      </c>
      <c r="I704">
        <v>358.22</v>
      </c>
    </row>
    <row r="705" spans="1:9" x14ac:dyDescent="0.25">
      <c r="A705">
        <v>704</v>
      </c>
      <c r="B705">
        <v>52</v>
      </c>
      <c r="C705" t="s">
        <v>18</v>
      </c>
      <c r="D705">
        <v>58805</v>
      </c>
      <c r="E705">
        <v>14</v>
      </c>
      <c r="F705">
        <v>2</v>
      </c>
      <c r="G705">
        <v>47</v>
      </c>
      <c r="H705" t="s">
        <v>15</v>
      </c>
      <c r="I705">
        <v>104.35</v>
      </c>
    </row>
    <row r="706" spans="1:9" x14ac:dyDescent="0.25">
      <c r="A706">
        <v>705</v>
      </c>
      <c r="B706">
        <v>42</v>
      </c>
      <c r="C706" t="s">
        <v>12</v>
      </c>
      <c r="D706">
        <v>49140</v>
      </c>
      <c r="E706">
        <v>23</v>
      </c>
      <c r="F706">
        <v>9</v>
      </c>
      <c r="G706">
        <v>35</v>
      </c>
      <c r="H706" t="s">
        <v>17</v>
      </c>
      <c r="I706">
        <v>400.23</v>
      </c>
    </row>
    <row r="707" spans="1:9" x14ac:dyDescent="0.25">
      <c r="A707">
        <v>706</v>
      </c>
      <c r="B707">
        <v>29</v>
      </c>
      <c r="C707" t="s">
        <v>18</v>
      </c>
      <c r="D707">
        <v>102972</v>
      </c>
      <c r="E707">
        <v>68</v>
      </c>
      <c r="F707">
        <v>3</v>
      </c>
      <c r="G707">
        <v>39</v>
      </c>
      <c r="H707" t="s">
        <v>17</v>
      </c>
      <c r="I707">
        <v>258.08999999999997</v>
      </c>
    </row>
    <row r="708" spans="1:9" x14ac:dyDescent="0.25">
      <c r="A708">
        <v>707</v>
      </c>
      <c r="B708">
        <v>47</v>
      </c>
      <c r="C708" t="s">
        <v>18</v>
      </c>
      <c r="D708">
        <v>128439</v>
      </c>
      <c r="E708">
        <v>42</v>
      </c>
      <c r="F708">
        <v>5</v>
      </c>
      <c r="G708">
        <v>22</v>
      </c>
      <c r="H708" t="s">
        <v>15</v>
      </c>
      <c r="I708">
        <v>219.02</v>
      </c>
    </row>
    <row r="709" spans="1:9" x14ac:dyDescent="0.25">
      <c r="A709">
        <v>708</v>
      </c>
      <c r="B709">
        <v>68</v>
      </c>
      <c r="C709" t="s">
        <v>12</v>
      </c>
      <c r="D709">
        <v>47482</v>
      </c>
      <c r="E709">
        <v>100</v>
      </c>
      <c r="F709">
        <v>9</v>
      </c>
      <c r="G709">
        <v>49</v>
      </c>
      <c r="H709" t="s">
        <v>17</v>
      </c>
      <c r="I709">
        <v>170.56</v>
      </c>
    </row>
    <row r="710" spans="1:9" x14ac:dyDescent="0.25">
      <c r="A710">
        <v>709</v>
      </c>
      <c r="B710">
        <v>44</v>
      </c>
      <c r="C710" t="s">
        <v>18</v>
      </c>
      <c r="D710">
        <v>118123</v>
      </c>
      <c r="E710">
        <v>40</v>
      </c>
      <c r="F710">
        <v>8</v>
      </c>
      <c r="G710">
        <v>31</v>
      </c>
      <c r="H710" t="s">
        <v>17</v>
      </c>
      <c r="I710">
        <v>140.52000000000001</v>
      </c>
    </row>
    <row r="711" spans="1:9" x14ac:dyDescent="0.25">
      <c r="A711">
        <v>710</v>
      </c>
      <c r="B711">
        <v>43</v>
      </c>
      <c r="C711" t="s">
        <v>18</v>
      </c>
      <c r="D711">
        <v>43545</v>
      </c>
      <c r="E711">
        <v>67</v>
      </c>
      <c r="F711">
        <v>5</v>
      </c>
      <c r="G711">
        <v>41</v>
      </c>
      <c r="H711" t="s">
        <v>14</v>
      </c>
      <c r="I711">
        <v>179.71</v>
      </c>
    </row>
    <row r="712" spans="1:9" x14ac:dyDescent="0.25">
      <c r="A712">
        <v>711</v>
      </c>
      <c r="B712">
        <v>43</v>
      </c>
      <c r="C712" t="s">
        <v>45</v>
      </c>
      <c r="D712">
        <v>51398</v>
      </c>
      <c r="E712">
        <v>12</v>
      </c>
      <c r="F712">
        <v>4</v>
      </c>
      <c r="G712">
        <v>26</v>
      </c>
      <c r="H712" t="s">
        <v>15</v>
      </c>
      <c r="I712">
        <v>117.85</v>
      </c>
    </row>
    <row r="713" spans="1:9" x14ac:dyDescent="0.25">
      <c r="A713">
        <v>712</v>
      </c>
      <c r="B713">
        <v>18</v>
      </c>
      <c r="C713" t="s">
        <v>12</v>
      </c>
      <c r="D713">
        <v>141318</v>
      </c>
      <c r="E713">
        <v>37</v>
      </c>
      <c r="F713">
        <v>6</v>
      </c>
      <c r="G713">
        <v>28</v>
      </c>
      <c r="H713" t="s">
        <v>13</v>
      </c>
      <c r="I713">
        <v>428.33</v>
      </c>
    </row>
    <row r="714" spans="1:9" x14ac:dyDescent="0.25">
      <c r="A714">
        <v>713</v>
      </c>
      <c r="B714">
        <v>19</v>
      </c>
      <c r="C714" t="s">
        <v>18</v>
      </c>
      <c r="D714">
        <v>76416</v>
      </c>
      <c r="E714">
        <v>26</v>
      </c>
      <c r="F714">
        <v>6</v>
      </c>
      <c r="G714">
        <v>20</v>
      </c>
      <c r="H714" t="s">
        <v>14</v>
      </c>
      <c r="I714">
        <v>385.1</v>
      </c>
    </row>
    <row r="715" spans="1:9" x14ac:dyDescent="0.25">
      <c r="A715">
        <v>714</v>
      </c>
      <c r="B715">
        <v>30</v>
      </c>
      <c r="C715" t="s">
        <v>12</v>
      </c>
      <c r="D715">
        <v>100115</v>
      </c>
      <c r="E715">
        <v>54</v>
      </c>
      <c r="F715">
        <v>2</v>
      </c>
      <c r="G715">
        <v>36</v>
      </c>
      <c r="H715" t="s">
        <v>15</v>
      </c>
      <c r="I715">
        <v>789.67</v>
      </c>
    </row>
    <row r="716" spans="1:9" x14ac:dyDescent="0.25">
      <c r="A716">
        <v>715</v>
      </c>
      <c r="B716">
        <v>43</v>
      </c>
      <c r="C716" t="s">
        <v>45</v>
      </c>
      <c r="D716">
        <v>67912</v>
      </c>
      <c r="E716">
        <v>71</v>
      </c>
      <c r="F716">
        <v>10</v>
      </c>
      <c r="G716">
        <v>35</v>
      </c>
      <c r="H716" t="s">
        <v>14</v>
      </c>
      <c r="I716">
        <v>698.03</v>
      </c>
    </row>
    <row r="717" spans="1:9" x14ac:dyDescent="0.25">
      <c r="A717">
        <v>716</v>
      </c>
      <c r="B717">
        <v>48</v>
      </c>
      <c r="C717" t="s">
        <v>18</v>
      </c>
      <c r="D717">
        <v>74273</v>
      </c>
      <c r="E717">
        <v>23</v>
      </c>
      <c r="F717">
        <v>10</v>
      </c>
      <c r="G717">
        <v>46</v>
      </c>
      <c r="H717" t="s">
        <v>15</v>
      </c>
      <c r="I717">
        <v>626.27</v>
      </c>
    </row>
    <row r="718" spans="1:9" x14ac:dyDescent="0.25">
      <c r="A718">
        <v>717</v>
      </c>
      <c r="B718">
        <v>47</v>
      </c>
      <c r="C718" t="s">
        <v>12</v>
      </c>
      <c r="D718">
        <v>136278</v>
      </c>
      <c r="E718">
        <v>76</v>
      </c>
      <c r="F718">
        <v>10</v>
      </c>
      <c r="G718">
        <v>48</v>
      </c>
      <c r="H718" t="s">
        <v>17</v>
      </c>
      <c r="I718">
        <v>233.64</v>
      </c>
    </row>
    <row r="719" spans="1:9" x14ac:dyDescent="0.25">
      <c r="A719">
        <v>718</v>
      </c>
      <c r="B719">
        <v>57</v>
      </c>
      <c r="C719" t="s">
        <v>18</v>
      </c>
      <c r="D719">
        <v>108833</v>
      </c>
      <c r="E719">
        <v>77</v>
      </c>
      <c r="F719">
        <v>3</v>
      </c>
      <c r="G719">
        <v>37</v>
      </c>
      <c r="H719" t="s">
        <v>13</v>
      </c>
      <c r="I719">
        <v>623.78</v>
      </c>
    </row>
    <row r="720" spans="1:9" x14ac:dyDescent="0.25">
      <c r="A720">
        <v>719</v>
      </c>
      <c r="B720">
        <v>21</v>
      </c>
      <c r="C720" t="s">
        <v>18</v>
      </c>
      <c r="D720">
        <v>119226</v>
      </c>
      <c r="E720">
        <v>21</v>
      </c>
      <c r="F720">
        <v>8</v>
      </c>
      <c r="G720">
        <v>50</v>
      </c>
      <c r="H720" t="s">
        <v>15</v>
      </c>
      <c r="I720">
        <v>772.63</v>
      </c>
    </row>
    <row r="721" spans="1:9" x14ac:dyDescent="0.25">
      <c r="A721">
        <v>720</v>
      </c>
      <c r="B721">
        <v>69</v>
      </c>
      <c r="C721" t="s">
        <v>45</v>
      </c>
      <c r="D721">
        <v>72651</v>
      </c>
      <c r="E721">
        <v>58</v>
      </c>
      <c r="F721">
        <v>5</v>
      </c>
      <c r="G721">
        <v>30</v>
      </c>
      <c r="H721" t="s">
        <v>14</v>
      </c>
      <c r="I721">
        <v>103.11</v>
      </c>
    </row>
    <row r="722" spans="1:9" x14ac:dyDescent="0.25">
      <c r="A722">
        <v>721</v>
      </c>
      <c r="B722">
        <v>27</v>
      </c>
      <c r="C722" t="s">
        <v>12</v>
      </c>
      <c r="D722">
        <v>114848</v>
      </c>
      <c r="E722">
        <v>66</v>
      </c>
      <c r="F722">
        <v>10</v>
      </c>
      <c r="G722">
        <v>38</v>
      </c>
      <c r="H722" t="s">
        <v>16</v>
      </c>
      <c r="I722">
        <v>912.58</v>
      </c>
    </row>
    <row r="723" spans="1:9" x14ac:dyDescent="0.25">
      <c r="A723">
        <v>722</v>
      </c>
      <c r="B723">
        <v>45</v>
      </c>
      <c r="C723" t="s">
        <v>12</v>
      </c>
      <c r="D723">
        <v>127989</v>
      </c>
      <c r="E723">
        <v>99</v>
      </c>
      <c r="F723">
        <v>1</v>
      </c>
      <c r="G723">
        <v>42</v>
      </c>
      <c r="H723" t="s">
        <v>13</v>
      </c>
      <c r="I723">
        <v>683.99</v>
      </c>
    </row>
    <row r="724" spans="1:9" x14ac:dyDescent="0.25">
      <c r="A724">
        <v>723</v>
      </c>
      <c r="B724">
        <v>20</v>
      </c>
      <c r="C724" t="s">
        <v>12</v>
      </c>
      <c r="D724">
        <v>48504</v>
      </c>
      <c r="E724">
        <v>27</v>
      </c>
      <c r="F724">
        <v>3</v>
      </c>
      <c r="G724">
        <v>28</v>
      </c>
      <c r="H724" t="s">
        <v>16</v>
      </c>
      <c r="I724">
        <v>658.54</v>
      </c>
    </row>
    <row r="725" spans="1:9" x14ac:dyDescent="0.25">
      <c r="A725">
        <v>724</v>
      </c>
      <c r="B725">
        <v>21</v>
      </c>
      <c r="C725" t="s">
        <v>45</v>
      </c>
      <c r="D725">
        <v>114762</v>
      </c>
      <c r="E725">
        <v>28</v>
      </c>
      <c r="F725">
        <v>3</v>
      </c>
      <c r="G725">
        <v>7</v>
      </c>
      <c r="H725" t="s">
        <v>15</v>
      </c>
      <c r="I725">
        <v>397.54</v>
      </c>
    </row>
    <row r="726" spans="1:9" x14ac:dyDescent="0.25">
      <c r="A726">
        <v>725</v>
      </c>
      <c r="B726">
        <v>48</v>
      </c>
      <c r="C726" t="s">
        <v>18</v>
      </c>
      <c r="D726">
        <v>108563</v>
      </c>
      <c r="E726">
        <v>3</v>
      </c>
      <c r="F726">
        <v>8</v>
      </c>
      <c r="G726">
        <v>39</v>
      </c>
      <c r="H726" t="s">
        <v>17</v>
      </c>
      <c r="I726">
        <v>15.72</v>
      </c>
    </row>
    <row r="727" spans="1:9" x14ac:dyDescent="0.25">
      <c r="A727">
        <v>726</v>
      </c>
      <c r="B727">
        <v>40</v>
      </c>
      <c r="C727" t="s">
        <v>45</v>
      </c>
      <c r="D727">
        <v>105994</v>
      </c>
      <c r="E727">
        <v>39</v>
      </c>
      <c r="F727">
        <v>9</v>
      </c>
      <c r="G727">
        <v>17</v>
      </c>
      <c r="H727" t="s">
        <v>13</v>
      </c>
      <c r="I727">
        <v>347.21</v>
      </c>
    </row>
    <row r="728" spans="1:9" x14ac:dyDescent="0.25">
      <c r="A728">
        <v>727</v>
      </c>
      <c r="B728">
        <v>18</v>
      </c>
      <c r="C728" t="s">
        <v>45</v>
      </c>
      <c r="D728">
        <v>84764</v>
      </c>
      <c r="E728">
        <v>2</v>
      </c>
      <c r="F728">
        <v>6</v>
      </c>
      <c r="G728">
        <v>49</v>
      </c>
      <c r="H728" t="s">
        <v>13</v>
      </c>
      <c r="I728">
        <v>348.51</v>
      </c>
    </row>
    <row r="729" spans="1:9" x14ac:dyDescent="0.25">
      <c r="A729">
        <v>728</v>
      </c>
      <c r="B729">
        <v>28</v>
      </c>
      <c r="C729" t="s">
        <v>45</v>
      </c>
      <c r="D729">
        <v>53503</v>
      </c>
      <c r="E729">
        <v>39</v>
      </c>
      <c r="F729">
        <v>5</v>
      </c>
      <c r="G729">
        <v>30</v>
      </c>
      <c r="H729" t="s">
        <v>16</v>
      </c>
      <c r="I729">
        <v>591.64</v>
      </c>
    </row>
    <row r="730" spans="1:9" x14ac:dyDescent="0.25">
      <c r="A730">
        <v>729</v>
      </c>
      <c r="B730">
        <v>50</v>
      </c>
      <c r="C730" t="s">
        <v>12</v>
      </c>
      <c r="D730">
        <v>86985</v>
      </c>
      <c r="E730">
        <v>77</v>
      </c>
      <c r="F730">
        <v>8</v>
      </c>
      <c r="G730">
        <v>11</v>
      </c>
      <c r="H730" t="s">
        <v>15</v>
      </c>
      <c r="I730">
        <v>964.1</v>
      </c>
    </row>
    <row r="731" spans="1:9" x14ac:dyDescent="0.25">
      <c r="A731">
        <v>730</v>
      </c>
      <c r="B731">
        <v>19</v>
      </c>
      <c r="C731" t="s">
        <v>12</v>
      </c>
      <c r="D731">
        <v>85349</v>
      </c>
      <c r="E731">
        <v>77</v>
      </c>
      <c r="F731">
        <v>8</v>
      </c>
      <c r="G731">
        <v>29</v>
      </c>
      <c r="H731" t="s">
        <v>13</v>
      </c>
      <c r="I731">
        <v>381.04</v>
      </c>
    </row>
    <row r="732" spans="1:9" x14ac:dyDescent="0.25">
      <c r="A732">
        <v>731</v>
      </c>
      <c r="B732">
        <v>53</v>
      </c>
      <c r="C732" t="s">
        <v>18</v>
      </c>
      <c r="D732">
        <v>52855</v>
      </c>
      <c r="E732">
        <v>12</v>
      </c>
      <c r="F732">
        <v>5</v>
      </c>
      <c r="G732">
        <v>33</v>
      </c>
      <c r="H732" t="s">
        <v>16</v>
      </c>
      <c r="I732">
        <v>444.09</v>
      </c>
    </row>
    <row r="733" spans="1:9" x14ac:dyDescent="0.25">
      <c r="A733">
        <v>732</v>
      </c>
      <c r="B733">
        <v>29</v>
      </c>
      <c r="C733" t="s">
        <v>45</v>
      </c>
      <c r="D733">
        <v>66264</v>
      </c>
      <c r="E733">
        <v>85</v>
      </c>
      <c r="F733">
        <v>2</v>
      </c>
      <c r="G733">
        <v>8</v>
      </c>
      <c r="H733" t="s">
        <v>14</v>
      </c>
      <c r="I733">
        <v>743.3</v>
      </c>
    </row>
    <row r="734" spans="1:9" x14ac:dyDescent="0.25">
      <c r="A734">
        <v>733</v>
      </c>
      <c r="B734">
        <v>49</v>
      </c>
      <c r="C734" t="s">
        <v>12</v>
      </c>
      <c r="D734">
        <v>56707</v>
      </c>
      <c r="E734">
        <v>6</v>
      </c>
      <c r="F734">
        <v>8</v>
      </c>
      <c r="G734">
        <v>29</v>
      </c>
      <c r="H734" t="s">
        <v>14</v>
      </c>
      <c r="I734">
        <v>604.53</v>
      </c>
    </row>
    <row r="735" spans="1:9" x14ac:dyDescent="0.25">
      <c r="A735">
        <v>734</v>
      </c>
      <c r="B735">
        <v>23</v>
      </c>
      <c r="C735" t="s">
        <v>45</v>
      </c>
      <c r="D735">
        <v>66886</v>
      </c>
      <c r="E735">
        <v>7</v>
      </c>
      <c r="F735">
        <v>6</v>
      </c>
      <c r="G735">
        <v>40</v>
      </c>
      <c r="H735" t="s">
        <v>14</v>
      </c>
      <c r="I735">
        <v>322.64</v>
      </c>
    </row>
    <row r="736" spans="1:9" x14ac:dyDescent="0.25">
      <c r="A736">
        <v>735</v>
      </c>
      <c r="B736">
        <v>38</v>
      </c>
      <c r="C736" t="s">
        <v>45</v>
      </c>
      <c r="D736">
        <v>115537</v>
      </c>
      <c r="E736">
        <v>10</v>
      </c>
      <c r="F736">
        <v>7</v>
      </c>
      <c r="G736">
        <v>25</v>
      </c>
      <c r="H736" t="s">
        <v>17</v>
      </c>
      <c r="I736">
        <v>632.99</v>
      </c>
    </row>
    <row r="737" spans="1:9" x14ac:dyDescent="0.25">
      <c r="A737">
        <v>736</v>
      </c>
      <c r="B737">
        <v>52</v>
      </c>
      <c r="C737" t="s">
        <v>18</v>
      </c>
      <c r="D737">
        <v>130875</v>
      </c>
      <c r="E737">
        <v>76</v>
      </c>
      <c r="F737">
        <v>10</v>
      </c>
      <c r="G737">
        <v>14</v>
      </c>
      <c r="H737" t="s">
        <v>17</v>
      </c>
      <c r="I737">
        <v>979.39</v>
      </c>
    </row>
    <row r="738" spans="1:9" x14ac:dyDescent="0.25">
      <c r="A738">
        <v>737</v>
      </c>
      <c r="B738">
        <v>28</v>
      </c>
      <c r="C738" t="s">
        <v>12</v>
      </c>
      <c r="D738">
        <v>104971</v>
      </c>
      <c r="E738">
        <v>74</v>
      </c>
      <c r="F738">
        <v>4</v>
      </c>
      <c r="G738">
        <v>10</v>
      </c>
      <c r="H738" t="s">
        <v>17</v>
      </c>
      <c r="I738">
        <v>297.17</v>
      </c>
    </row>
    <row r="739" spans="1:9" x14ac:dyDescent="0.25">
      <c r="A739">
        <v>738</v>
      </c>
      <c r="B739">
        <v>18</v>
      </c>
      <c r="C739" t="s">
        <v>18</v>
      </c>
      <c r="D739">
        <v>136320</v>
      </c>
      <c r="E739">
        <v>52</v>
      </c>
      <c r="F739">
        <v>5</v>
      </c>
      <c r="G739">
        <v>42</v>
      </c>
      <c r="H739" t="s">
        <v>14</v>
      </c>
      <c r="I739">
        <v>891.19</v>
      </c>
    </row>
    <row r="740" spans="1:9" x14ac:dyDescent="0.25">
      <c r="A740">
        <v>739</v>
      </c>
      <c r="B740">
        <v>61</v>
      </c>
      <c r="C740" t="s">
        <v>12</v>
      </c>
      <c r="D740">
        <v>113380</v>
      </c>
      <c r="E740">
        <v>27</v>
      </c>
      <c r="F740">
        <v>2</v>
      </c>
      <c r="G740">
        <v>17</v>
      </c>
      <c r="H740" t="s">
        <v>14</v>
      </c>
      <c r="I740">
        <v>177.5</v>
      </c>
    </row>
    <row r="741" spans="1:9" x14ac:dyDescent="0.25">
      <c r="A741">
        <v>740</v>
      </c>
      <c r="B741">
        <v>62</v>
      </c>
      <c r="C741" t="s">
        <v>18</v>
      </c>
      <c r="D741">
        <v>119083</v>
      </c>
      <c r="E741">
        <v>18</v>
      </c>
      <c r="F741">
        <v>4</v>
      </c>
      <c r="G741">
        <v>28</v>
      </c>
      <c r="H741" t="s">
        <v>14</v>
      </c>
      <c r="I741">
        <v>317.77999999999997</v>
      </c>
    </row>
    <row r="742" spans="1:9" x14ac:dyDescent="0.25">
      <c r="A742">
        <v>741</v>
      </c>
      <c r="B742">
        <v>50</v>
      </c>
      <c r="C742" t="s">
        <v>18</v>
      </c>
      <c r="D742">
        <v>50944</v>
      </c>
      <c r="E742">
        <v>24</v>
      </c>
      <c r="F742">
        <v>3</v>
      </c>
      <c r="G742">
        <v>36</v>
      </c>
      <c r="H742" t="s">
        <v>14</v>
      </c>
      <c r="I742">
        <v>121.22</v>
      </c>
    </row>
    <row r="743" spans="1:9" x14ac:dyDescent="0.25">
      <c r="A743">
        <v>742</v>
      </c>
      <c r="B743">
        <v>45</v>
      </c>
      <c r="C743" t="s">
        <v>45</v>
      </c>
      <c r="D743">
        <v>30738</v>
      </c>
      <c r="E743">
        <v>38</v>
      </c>
      <c r="F743">
        <v>7</v>
      </c>
      <c r="G743">
        <v>5</v>
      </c>
      <c r="H743" t="s">
        <v>13</v>
      </c>
      <c r="I743">
        <v>144</v>
      </c>
    </row>
    <row r="744" spans="1:9" x14ac:dyDescent="0.25">
      <c r="A744">
        <v>743</v>
      </c>
      <c r="B744">
        <v>64</v>
      </c>
      <c r="C744" t="s">
        <v>12</v>
      </c>
      <c r="D744">
        <v>132277</v>
      </c>
      <c r="E744">
        <v>81</v>
      </c>
      <c r="F744">
        <v>5</v>
      </c>
      <c r="G744">
        <v>30</v>
      </c>
      <c r="H744" t="s">
        <v>15</v>
      </c>
      <c r="I744">
        <v>505.24</v>
      </c>
    </row>
    <row r="745" spans="1:9" x14ac:dyDescent="0.25">
      <c r="A745">
        <v>744</v>
      </c>
      <c r="B745">
        <v>56</v>
      </c>
      <c r="C745" t="s">
        <v>12</v>
      </c>
      <c r="D745">
        <v>90816</v>
      </c>
      <c r="E745">
        <v>20</v>
      </c>
      <c r="F745">
        <v>10</v>
      </c>
      <c r="G745">
        <v>35</v>
      </c>
      <c r="H745" t="s">
        <v>14</v>
      </c>
      <c r="I745">
        <v>808.16</v>
      </c>
    </row>
    <row r="746" spans="1:9" x14ac:dyDescent="0.25">
      <c r="A746">
        <v>745</v>
      </c>
      <c r="B746">
        <v>30</v>
      </c>
      <c r="C746" t="s">
        <v>18</v>
      </c>
      <c r="D746">
        <v>64288</v>
      </c>
      <c r="E746">
        <v>93</v>
      </c>
      <c r="F746">
        <v>9</v>
      </c>
      <c r="G746">
        <v>43</v>
      </c>
      <c r="H746" t="s">
        <v>16</v>
      </c>
      <c r="I746">
        <v>825.85</v>
      </c>
    </row>
    <row r="747" spans="1:9" x14ac:dyDescent="0.25">
      <c r="A747">
        <v>746</v>
      </c>
      <c r="B747">
        <v>60</v>
      </c>
      <c r="C747" t="s">
        <v>12</v>
      </c>
      <c r="D747">
        <v>34657</v>
      </c>
      <c r="E747">
        <v>99</v>
      </c>
      <c r="F747">
        <v>10</v>
      </c>
      <c r="G747">
        <v>3</v>
      </c>
      <c r="H747" t="s">
        <v>14</v>
      </c>
      <c r="I747">
        <v>983.3</v>
      </c>
    </row>
    <row r="748" spans="1:9" x14ac:dyDescent="0.25">
      <c r="A748">
        <v>747</v>
      </c>
      <c r="B748">
        <v>26</v>
      </c>
      <c r="C748" t="s">
        <v>12</v>
      </c>
      <c r="D748">
        <v>44725</v>
      </c>
      <c r="E748">
        <v>40</v>
      </c>
      <c r="F748">
        <v>10</v>
      </c>
      <c r="G748">
        <v>17</v>
      </c>
      <c r="H748" t="s">
        <v>16</v>
      </c>
      <c r="I748">
        <v>307.42</v>
      </c>
    </row>
    <row r="749" spans="1:9" x14ac:dyDescent="0.25">
      <c r="A749">
        <v>748</v>
      </c>
      <c r="B749">
        <v>57</v>
      </c>
      <c r="C749" t="s">
        <v>18</v>
      </c>
      <c r="D749">
        <v>58696</v>
      </c>
      <c r="E749">
        <v>69</v>
      </c>
      <c r="F749">
        <v>4</v>
      </c>
      <c r="G749">
        <v>29</v>
      </c>
      <c r="H749" t="s">
        <v>16</v>
      </c>
      <c r="I749">
        <v>570.87</v>
      </c>
    </row>
    <row r="750" spans="1:9" x14ac:dyDescent="0.25">
      <c r="A750">
        <v>749</v>
      </c>
      <c r="B750">
        <v>22</v>
      </c>
      <c r="C750" t="s">
        <v>12</v>
      </c>
      <c r="D750">
        <v>73023</v>
      </c>
      <c r="E750">
        <v>30</v>
      </c>
      <c r="F750">
        <v>1</v>
      </c>
      <c r="G750">
        <v>19</v>
      </c>
      <c r="H750" t="s">
        <v>13</v>
      </c>
      <c r="I750">
        <v>661.7</v>
      </c>
    </row>
    <row r="751" spans="1:9" x14ac:dyDescent="0.25">
      <c r="A751">
        <v>750</v>
      </c>
      <c r="B751">
        <v>41</v>
      </c>
      <c r="C751" t="s">
        <v>45</v>
      </c>
      <c r="D751">
        <v>74985</v>
      </c>
      <c r="E751">
        <v>68</v>
      </c>
      <c r="F751">
        <v>8</v>
      </c>
      <c r="G751">
        <v>21</v>
      </c>
      <c r="H751" t="s">
        <v>14</v>
      </c>
      <c r="I751">
        <v>123.96</v>
      </c>
    </row>
    <row r="752" spans="1:9" x14ac:dyDescent="0.25">
      <c r="A752">
        <v>751</v>
      </c>
      <c r="B752">
        <v>63</v>
      </c>
      <c r="C752" t="s">
        <v>12</v>
      </c>
      <c r="D752">
        <v>37201</v>
      </c>
      <c r="E752">
        <v>60</v>
      </c>
      <c r="F752">
        <v>6</v>
      </c>
      <c r="G752">
        <v>46</v>
      </c>
      <c r="H752" t="s">
        <v>16</v>
      </c>
      <c r="I752">
        <v>90.96</v>
      </c>
    </row>
    <row r="753" spans="1:9" x14ac:dyDescent="0.25">
      <c r="A753">
        <v>752</v>
      </c>
      <c r="B753">
        <v>31</v>
      </c>
      <c r="C753" t="s">
        <v>12</v>
      </c>
      <c r="D753">
        <v>85928</v>
      </c>
      <c r="E753">
        <v>10</v>
      </c>
      <c r="F753">
        <v>2</v>
      </c>
      <c r="G753">
        <v>40</v>
      </c>
      <c r="H753" t="s">
        <v>13</v>
      </c>
      <c r="I753">
        <v>34.1</v>
      </c>
    </row>
    <row r="754" spans="1:9" x14ac:dyDescent="0.25">
      <c r="A754">
        <v>753</v>
      </c>
      <c r="B754">
        <v>28</v>
      </c>
      <c r="C754" t="s">
        <v>45</v>
      </c>
      <c r="D754">
        <v>129367</v>
      </c>
      <c r="E754">
        <v>4</v>
      </c>
      <c r="F754">
        <v>1</v>
      </c>
      <c r="G754">
        <v>44</v>
      </c>
      <c r="H754" t="s">
        <v>14</v>
      </c>
      <c r="I754">
        <v>559.61</v>
      </c>
    </row>
    <row r="755" spans="1:9" x14ac:dyDescent="0.25">
      <c r="A755">
        <v>754</v>
      </c>
      <c r="B755">
        <v>52</v>
      </c>
      <c r="C755" t="s">
        <v>12</v>
      </c>
      <c r="D755">
        <v>49342</v>
      </c>
      <c r="E755">
        <v>77</v>
      </c>
      <c r="F755">
        <v>7</v>
      </c>
      <c r="G755">
        <v>29</v>
      </c>
      <c r="H755" t="s">
        <v>16</v>
      </c>
      <c r="I755">
        <v>622.86</v>
      </c>
    </row>
    <row r="756" spans="1:9" x14ac:dyDescent="0.25">
      <c r="A756">
        <v>755</v>
      </c>
      <c r="B756">
        <v>61</v>
      </c>
      <c r="C756" t="s">
        <v>12</v>
      </c>
      <c r="D756">
        <v>59583</v>
      </c>
      <c r="E756">
        <v>11</v>
      </c>
      <c r="F756">
        <v>8</v>
      </c>
      <c r="G756">
        <v>27</v>
      </c>
      <c r="H756" t="s">
        <v>17</v>
      </c>
      <c r="I756">
        <v>744.56</v>
      </c>
    </row>
    <row r="757" spans="1:9" x14ac:dyDescent="0.25">
      <c r="A757">
        <v>756</v>
      </c>
      <c r="B757">
        <v>30</v>
      </c>
      <c r="C757" t="s">
        <v>18</v>
      </c>
      <c r="D757">
        <v>111050</v>
      </c>
      <c r="E757">
        <v>61</v>
      </c>
      <c r="F757">
        <v>10</v>
      </c>
      <c r="G757">
        <v>32</v>
      </c>
      <c r="H757" t="s">
        <v>14</v>
      </c>
      <c r="I757">
        <v>213.88</v>
      </c>
    </row>
    <row r="758" spans="1:9" x14ac:dyDescent="0.25">
      <c r="A758">
        <v>757</v>
      </c>
      <c r="B758">
        <v>19</v>
      </c>
      <c r="C758" t="s">
        <v>18</v>
      </c>
      <c r="D758">
        <v>129687</v>
      </c>
      <c r="E758">
        <v>78</v>
      </c>
      <c r="F758">
        <v>3</v>
      </c>
      <c r="G758">
        <v>43</v>
      </c>
      <c r="H758" t="s">
        <v>13</v>
      </c>
      <c r="I758">
        <v>679.67</v>
      </c>
    </row>
    <row r="759" spans="1:9" x14ac:dyDescent="0.25">
      <c r="A759">
        <v>758</v>
      </c>
      <c r="B759">
        <v>35</v>
      </c>
      <c r="C759" t="s">
        <v>12</v>
      </c>
      <c r="D759">
        <v>94896</v>
      </c>
      <c r="E759">
        <v>36</v>
      </c>
      <c r="F759">
        <v>6</v>
      </c>
      <c r="G759">
        <v>4</v>
      </c>
      <c r="H759" t="s">
        <v>13</v>
      </c>
      <c r="I759">
        <v>102.23</v>
      </c>
    </row>
    <row r="760" spans="1:9" x14ac:dyDescent="0.25">
      <c r="A760">
        <v>759</v>
      </c>
      <c r="B760">
        <v>64</v>
      </c>
      <c r="C760" t="s">
        <v>45</v>
      </c>
      <c r="D760">
        <v>130443</v>
      </c>
      <c r="E760">
        <v>29</v>
      </c>
      <c r="F760">
        <v>1</v>
      </c>
      <c r="G760">
        <v>17</v>
      </c>
      <c r="H760" t="s">
        <v>13</v>
      </c>
      <c r="I760">
        <v>835.67</v>
      </c>
    </row>
    <row r="761" spans="1:9" x14ac:dyDescent="0.25">
      <c r="A761">
        <v>760</v>
      </c>
      <c r="B761">
        <v>27</v>
      </c>
      <c r="C761" t="s">
        <v>12</v>
      </c>
      <c r="D761">
        <v>80545</v>
      </c>
      <c r="E761">
        <v>63</v>
      </c>
      <c r="F761">
        <v>6</v>
      </c>
      <c r="G761">
        <v>46</v>
      </c>
      <c r="H761" t="s">
        <v>15</v>
      </c>
      <c r="I761">
        <v>575.98</v>
      </c>
    </row>
    <row r="762" spans="1:9" x14ac:dyDescent="0.25">
      <c r="A762">
        <v>761</v>
      </c>
      <c r="B762">
        <v>47</v>
      </c>
      <c r="C762" t="s">
        <v>12</v>
      </c>
      <c r="D762">
        <v>112510</v>
      </c>
      <c r="E762">
        <v>1</v>
      </c>
      <c r="F762">
        <v>2</v>
      </c>
      <c r="G762">
        <v>10</v>
      </c>
      <c r="H762" t="s">
        <v>13</v>
      </c>
      <c r="I762">
        <v>618.20000000000005</v>
      </c>
    </row>
    <row r="763" spans="1:9" x14ac:dyDescent="0.25">
      <c r="A763">
        <v>762</v>
      </c>
      <c r="B763">
        <v>57</v>
      </c>
      <c r="C763" t="s">
        <v>12</v>
      </c>
      <c r="D763">
        <v>145190</v>
      </c>
      <c r="E763">
        <v>42</v>
      </c>
      <c r="F763">
        <v>9</v>
      </c>
      <c r="G763">
        <v>8</v>
      </c>
      <c r="H763" t="s">
        <v>15</v>
      </c>
      <c r="I763">
        <v>971.83</v>
      </c>
    </row>
    <row r="764" spans="1:9" x14ac:dyDescent="0.25">
      <c r="A764">
        <v>763</v>
      </c>
      <c r="B764">
        <v>63</v>
      </c>
      <c r="C764" t="s">
        <v>12</v>
      </c>
      <c r="D764">
        <v>115204</v>
      </c>
      <c r="E764">
        <v>12</v>
      </c>
      <c r="F764">
        <v>2</v>
      </c>
      <c r="G764">
        <v>19</v>
      </c>
      <c r="H764" t="s">
        <v>13</v>
      </c>
      <c r="I764">
        <v>910.59</v>
      </c>
    </row>
    <row r="765" spans="1:9" x14ac:dyDescent="0.25">
      <c r="A765">
        <v>764</v>
      </c>
      <c r="B765">
        <v>61</v>
      </c>
      <c r="C765" t="s">
        <v>18</v>
      </c>
      <c r="D765">
        <v>116123</v>
      </c>
      <c r="E765">
        <v>96</v>
      </c>
      <c r="F765">
        <v>2</v>
      </c>
      <c r="G765">
        <v>27</v>
      </c>
      <c r="H765" t="s">
        <v>15</v>
      </c>
      <c r="I765">
        <v>844.95</v>
      </c>
    </row>
    <row r="766" spans="1:9" x14ac:dyDescent="0.25">
      <c r="A766">
        <v>765</v>
      </c>
      <c r="B766">
        <v>40</v>
      </c>
      <c r="C766" t="s">
        <v>45</v>
      </c>
      <c r="D766">
        <v>108344</v>
      </c>
      <c r="E766">
        <v>87</v>
      </c>
      <c r="F766">
        <v>2</v>
      </c>
      <c r="G766">
        <v>13</v>
      </c>
      <c r="H766" t="s">
        <v>14</v>
      </c>
      <c r="I766">
        <v>892.28</v>
      </c>
    </row>
    <row r="767" spans="1:9" x14ac:dyDescent="0.25">
      <c r="A767">
        <v>766</v>
      </c>
      <c r="B767">
        <v>41</v>
      </c>
      <c r="C767" t="s">
        <v>45</v>
      </c>
      <c r="D767">
        <v>74198</v>
      </c>
      <c r="E767">
        <v>84</v>
      </c>
      <c r="F767">
        <v>1</v>
      </c>
      <c r="G767">
        <v>50</v>
      </c>
      <c r="H767" t="s">
        <v>17</v>
      </c>
      <c r="I767">
        <v>60.51</v>
      </c>
    </row>
    <row r="768" spans="1:9" x14ac:dyDescent="0.25">
      <c r="A768">
        <v>767</v>
      </c>
      <c r="B768">
        <v>45</v>
      </c>
      <c r="C768" t="s">
        <v>45</v>
      </c>
      <c r="D768">
        <v>62582</v>
      </c>
      <c r="E768">
        <v>1</v>
      </c>
      <c r="F768">
        <v>6</v>
      </c>
      <c r="G768">
        <v>46</v>
      </c>
      <c r="H768" t="s">
        <v>17</v>
      </c>
      <c r="I768">
        <v>298.11</v>
      </c>
    </row>
    <row r="769" spans="1:9" x14ac:dyDescent="0.25">
      <c r="A769">
        <v>768</v>
      </c>
      <c r="B769">
        <v>33</v>
      </c>
      <c r="C769" t="s">
        <v>45</v>
      </c>
      <c r="D769">
        <v>92798</v>
      </c>
      <c r="E769">
        <v>80</v>
      </c>
      <c r="F769">
        <v>3</v>
      </c>
      <c r="G769">
        <v>44</v>
      </c>
      <c r="H769" t="s">
        <v>16</v>
      </c>
      <c r="I769">
        <v>367.85</v>
      </c>
    </row>
    <row r="770" spans="1:9" x14ac:dyDescent="0.25">
      <c r="A770">
        <v>769</v>
      </c>
      <c r="B770">
        <v>19</v>
      </c>
      <c r="C770" t="s">
        <v>12</v>
      </c>
      <c r="D770">
        <v>85583</v>
      </c>
      <c r="E770">
        <v>61</v>
      </c>
      <c r="F770">
        <v>5</v>
      </c>
      <c r="G770">
        <v>43</v>
      </c>
      <c r="H770" t="s">
        <v>15</v>
      </c>
      <c r="I770">
        <v>316.35000000000002</v>
      </c>
    </row>
    <row r="771" spans="1:9" x14ac:dyDescent="0.25">
      <c r="A771">
        <v>770</v>
      </c>
      <c r="B771">
        <v>61</v>
      </c>
      <c r="C771" t="s">
        <v>12</v>
      </c>
      <c r="D771">
        <v>32692</v>
      </c>
      <c r="E771">
        <v>18</v>
      </c>
      <c r="F771">
        <v>8</v>
      </c>
      <c r="G771">
        <v>28</v>
      </c>
      <c r="H771" t="s">
        <v>16</v>
      </c>
      <c r="I771">
        <v>709.33</v>
      </c>
    </row>
    <row r="772" spans="1:9" x14ac:dyDescent="0.25">
      <c r="A772">
        <v>771</v>
      </c>
      <c r="B772">
        <v>55</v>
      </c>
      <c r="C772" t="s">
        <v>45</v>
      </c>
      <c r="D772">
        <v>53069</v>
      </c>
      <c r="E772">
        <v>3</v>
      </c>
      <c r="F772">
        <v>10</v>
      </c>
      <c r="G772">
        <v>43</v>
      </c>
      <c r="H772" t="s">
        <v>17</v>
      </c>
      <c r="I772">
        <v>777.97</v>
      </c>
    </row>
    <row r="773" spans="1:9" x14ac:dyDescent="0.25">
      <c r="A773">
        <v>772</v>
      </c>
      <c r="B773">
        <v>26</v>
      </c>
      <c r="C773" t="s">
        <v>18</v>
      </c>
      <c r="D773">
        <v>79842</v>
      </c>
      <c r="E773">
        <v>78</v>
      </c>
      <c r="F773">
        <v>9</v>
      </c>
      <c r="G773">
        <v>5</v>
      </c>
      <c r="H773" t="s">
        <v>17</v>
      </c>
      <c r="I773">
        <v>557.41</v>
      </c>
    </row>
    <row r="774" spans="1:9" x14ac:dyDescent="0.25">
      <c r="A774">
        <v>773</v>
      </c>
      <c r="B774">
        <v>51</v>
      </c>
      <c r="C774" t="s">
        <v>18</v>
      </c>
      <c r="D774">
        <v>70099</v>
      </c>
      <c r="E774">
        <v>42</v>
      </c>
      <c r="F774">
        <v>7</v>
      </c>
      <c r="G774">
        <v>12</v>
      </c>
      <c r="H774" t="s">
        <v>16</v>
      </c>
      <c r="I774">
        <v>481.56</v>
      </c>
    </row>
    <row r="775" spans="1:9" x14ac:dyDescent="0.25">
      <c r="A775">
        <v>774</v>
      </c>
      <c r="B775">
        <v>52</v>
      </c>
      <c r="C775" t="s">
        <v>12</v>
      </c>
      <c r="D775">
        <v>52167</v>
      </c>
      <c r="E775">
        <v>19</v>
      </c>
      <c r="F775">
        <v>5</v>
      </c>
      <c r="G775">
        <v>50</v>
      </c>
      <c r="H775" t="s">
        <v>13</v>
      </c>
      <c r="I775">
        <v>961.55</v>
      </c>
    </row>
    <row r="776" spans="1:9" x14ac:dyDescent="0.25">
      <c r="A776">
        <v>775</v>
      </c>
      <c r="B776">
        <v>24</v>
      </c>
      <c r="C776" t="s">
        <v>12</v>
      </c>
      <c r="D776">
        <v>51225</v>
      </c>
      <c r="E776">
        <v>21</v>
      </c>
      <c r="F776">
        <v>6</v>
      </c>
      <c r="G776">
        <v>31</v>
      </c>
      <c r="H776" t="s">
        <v>15</v>
      </c>
      <c r="I776">
        <v>235.64</v>
      </c>
    </row>
    <row r="777" spans="1:9" x14ac:dyDescent="0.25">
      <c r="A777">
        <v>776</v>
      </c>
      <c r="B777">
        <v>31</v>
      </c>
      <c r="C777" t="s">
        <v>18</v>
      </c>
      <c r="D777">
        <v>123947</v>
      </c>
      <c r="E777">
        <v>25</v>
      </c>
      <c r="F777">
        <v>2</v>
      </c>
      <c r="G777">
        <v>39</v>
      </c>
      <c r="H777" t="s">
        <v>16</v>
      </c>
      <c r="I777">
        <v>355.67</v>
      </c>
    </row>
    <row r="778" spans="1:9" x14ac:dyDescent="0.25">
      <c r="A778">
        <v>777</v>
      </c>
      <c r="B778">
        <v>19</v>
      </c>
      <c r="C778" t="s">
        <v>45</v>
      </c>
      <c r="D778">
        <v>45781</v>
      </c>
      <c r="E778">
        <v>93</v>
      </c>
      <c r="F778">
        <v>6</v>
      </c>
      <c r="G778">
        <v>43</v>
      </c>
      <c r="H778" t="s">
        <v>15</v>
      </c>
      <c r="I778">
        <v>412.99</v>
      </c>
    </row>
    <row r="779" spans="1:9" x14ac:dyDescent="0.25">
      <c r="A779">
        <v>778</v>
      </c>
      <c r="B779">
        <v>46</v>
      </c>
      <c r="C779" t="s">
        <v>18</v>
      </c>
      <c r="D779">
        <v>78023</v>
      </c>
      <c r="E779">
        <v>83</v>
      </c>
      <c r="F779">
        <v>7</v>
      </c>
      <c r="G779">
        <v>28</v>
      </c>
      <c r="H779" t="s">
        <v>15</v>
      </c>
      <c r="I779">
        <v>270.14999999999998</v>
      </c>
    </row>
    <row r="780" spans="1:9" x14ac:dyDescent="0.25">
      <c r="A780">
        <v>779</v>
      </c>
      <c r="B780">
        <v>56</v>
      </c>
      <c r="C780" t="s">
        <v>45</v>
      </c>
      <c r="D780">
        <v>43031</v>
      </c>
      <c r="E780">
        <v>56</v>
      </c>
      <c r="F780">
        <v>2</v>
      </c>
      <c r="G780">
        <v>15</v>
      </c>
      <c r="H780" t="s">
        <v>14</v>
      </c>
      <c r="I780">
        <v>830.79</v>
      </c>
    </row>
    <row r="781" spans="1:9" x14ac:dyDescent="0.25">
      <c r="A781">
        <v>780</v>
      </c>
      <c r="B781">
        <v>65</v>
      </c>
      <c r="C781" t="s">
        <v>45</v>
      </c>
      <c r="D781">
        <v>80686</v>
      </c>
      <c r="E781">
        <v>2</v>
      </c>
      <c r="F781">
        <v>8</v>
      </c>
      <c r="G781">
        <v>30</v>
      </c>
      <c r="H781" t="s">
        <v>15</v>
      </c>
      <c r="I781">
        <v>491.8</v>
      </c>
    </row>
    <row r="782" spans="1:9" x14ac:dyDescent="0.25">
      <c r="A782">
        <v>781</v>
      </c>
      <c r="B782">
        <v>53</v>
      </c>
      <c r="C782" t="s">
        <v>12</v>
      </c>
      <c r="D782">
        <v>147355</v>
      </c>
      <c r="E782">
        <v>10</v>
      </c>
      <c r="F782">
        <v>2</v>
      </c>
      <c r="G782">
        <v>38</v>
      </c>
      <c r="H782" t="s">
        <v>13</v>
      </c>
      <c r="I782">
        <v>866.3</v>
      </c>
    </row>
    <row r="783" spans="1:9" x14ac:dyDescent="0.25">
      <c r="A783">
        <v>782</v>
      </c>
      <c r="B783">
        <v>22</v>
      </c>
      <c r="C783" t="s">
        <v>12</v>
      </c>
      <c r="D783">
        <v>118840</v>
      </c>
      <c r="E783">
        <v>32</v>
      </c>
      <c r="F783">
        <v>9</v>
      </c>
      <c r="G783">
        <v>9</v>
      </c>
      <c r="H783" t="s">
        <v>14</v>
      </c>
      <c r="I783">
        <v>819.14</v>
      </c>
    </row>
    <row r="784" spans="1:9" x14ac:dyDescent="0.25">
      <c r="A784">
        <v>783</v>
      </c>
      <c r="B784">
        <v>39</v>
      </c>
      <c r="C784" t="s">
        <v>45</v>
      </c>
      <c r="D784">
        <v>71987</v>
      </c>
      <c r="E784">
        <v>42</v>
      </c>
      <c r="F784">
        <v>5</v>
      </c>
      <c r="G784">
        <v>35</v>
      </c>
      <c r="H784" t="s">
        <v>17</v>
      </c>
      <c r="I784">
        <v>196.61</v>
      </c>
    </row>
    <row r="785" spans="1:9" x14ac:dyDescent="0.25">
      <c r="A785">
        <v>784</v>
      </c>
      <c r="B785">
        <v>47</v>
      </c>
      <c r="C785" t="s">
        <v>45</v>
      </c>
      <c r="D785">
        <v>64229</v>
      </c>
      <c r="E785">
        <v>74</v>
      </c>
      <c r="F785">
        <v>5</v>
      </c>
      <c r="G785">
        <v>22</v>
      </c>
      <c r="H785" t="s">
        <v>16</v>
      </c>
      <c r="I785">
        <v>438.95</v>
      </c>
    </row>
    <row r="786" spans="1:9" x14ac:dyDescent="0.25">
      <c r="A786">
        <v>785</v>
      </c>
      <c r="B786">
        <v>45</v>
      </c>
      <c r="C786" t="s">
        <v>18</v>
      </c>
      <c r="D786">
        <v>88366</v>
      </c>
      <c r="E786">
        <v>22</v>
      </c>
      <c r="F786">
        <v>10</v>
      </c>
      <c r="G786">
        <v>24</v>
      </c>
      <c r="H786" t="s">
        <v>14</v>
      </c>
      <c r="I786">
        <v>253.64</v>
      </c>
    </row>
    <row r="787" spans="1:9" x14ac:dyDescent="0.25">
      <c r="A787">
        <v>786</v>
      </c>
      <c r="B787">
        <v>30</v>
      </c>
      <c r="C787" t="s">
        <v>12</v>
      </c>
      <c r="D787">
        <v>43192</v>
      </c>
      <c r="E787">
        <v>61</v>
      </c>
      <c r="F787">
        <v>1</v>
      </c>
      <c r="G787">
        <v>27</v>
      </c>
      <c r="H787" t="s">
        <v>15</v>
      </c>
      <c r="I787">
        <v>614.39</v>
      </c>
    </row>
    <row r="788" spans="1:9" x14ac:dyDescent="0.25">
      <c r="A788">
        <v>787</v>
      </c>
      <c r="B788">
        <v>57</v>
      </c>
      <c r="C788" t="s">
        <v>45</v>
      </c>
      <c r="D788">
        <v>56547</v>
      </c>
      <c r="E788">
        <v>65</v>
      </c>
      <c r="F788">
        <v>10</v>
      </c>
      <c r="G788">
        <v>43</v>
      </c>
      <c r="H788" t="s">
        <v>16</v>
      </c>
      <c r="I788">
        <v>686.83</v>
      </c>
    </row>
    <row r="789" spans="1:9" x14ac:dyDescent="0.25">
      <c r="A789">
        <v>788</v>
      </c>
      <c r="B789">
        <v>33</v>
      </c>
      <c r="C789" t="s">
        <v>12</v>
      </c>
      <c r="D789">
        <v>38558</v>
      </c>
      <c r="E789">
        <v>71</v>
      </c>
      <c r="F789">
        <v>8</v>
      </c>
      <c r="G789">
        <v>22</v>
      </c>
      <c r="H789" t="s">
        <v>13</v>
      </c>
      <c r="I789">
        <v>223.73</v>
      </c>
    </row>
    <row r="790" spans="1:9" x14ac:dyDescent="0.25">
      <c r="A790">
        <v>789</v>
      </c>
      <c r="B790">
        <v>25</v>
      </c>
      <c r="C790" t="s">
        <v>18</v>
      </c>
      <c r="D790">
        <v>52575</v>
      </c>
      <c r="E790">
        <v>77</v>
      </c>
      <c r="F790">
        <v>5</v>
      </c>
      <c r="G790">
        <v>13</v>
      </c>
      <c r="H790" t="s">
        <v>17</v>
      </c>
      <c r="I790">
        <v>112.22</v>
      </c>
    </row>
    <row r="791" spans="1:9" x14ac:dyDescent="0.25">
      <c r="A791">
        <v>790</v>
      </c>
      <c r="B791">
        <v>61</v>
      </c>
      <c r="C791" t="s">
        <v>12</v>
      </c>
      <c r="D791">
        <v>96409</v>
      </c>
      <c r="E791">
        <v>66</v>
      </c>
      <c r="F791">
        <v>1</v>
      </c>
      <c r="G791">
        <v>32</v>
      </c>
      <c r="H791" t="s">
        <v>15</v>
      </c>
      <c r="I791">
        <v>674.93</v>
      </c>
    </row>
    <row r="792" spans="1:9" x14ac:dyDescent="0.25">
      <c r="A792">
        <v>791</v>
      </c>
      <c r="B792">
        <v>59</v>
      </c>
      <c r="C792" t="s">
        <v>18</v>
      </c>
      <c r="D792">
        <v>97756</v>
      </c>
      <c r="E792">
        <v>89</v>
      </c>
      <c r="F792">
        <v>6</v>
      </c>
      <c r="G792">
        <v>3</v>
      </c>
      <c r="H792" t="s">
        <v>13</v>
      </c>
      <c r="I792">
        <v>318.74</v>
      </c>
    </row>
    <row r="793" spans="1:9" x14ac:dyDescent="0.25">
      <c r="A793">
        <v>792</v>
      </c>
      <c r="B793">
        <v>18</v>
      </c>
      <c r="C793" t="s">
        <v>45</v>
      </c>
      <c r="D793">
        <v>140475</v>
      </c>
      <c r="E793">
        <v>38</v>
      </c>
      <c r="F793">
        <v>8</v>
      </c>
      <c r="G793">
        <v>7</v>
      </c>
      <c r="H793" t="s">
        <v>15</v>
      </c>
      <c r="I793">
        <v>442.42</v>
      </c>
    </row>
    <row r="794" spans="1:9" x14ac:dyDescent="0.25">
      <c r="A794">
        <v>793</v>
      </c>
      <c r="B794">
        <v>63</v>
      </c>
      <c r="C794" t="s">
        <v>18</v>
      </c>
      <c r="D794">
        <v>123481</v>
      </c>
      <c r="E794">
        <v>26</v>
      </c>
      <c r="F794">
        <v>1</v>
      </c>
      <c r="G794">
        <v>26</v>
      </c>
      <c r="H794" t="s">
        <v>13</v>
      </c>
      <c r="I794">
        <v>386.51</v>
      </c>
    </row>
    <row r="795" spans="1:9" x14ac:dyDescent="0.25">
      <c r="A795">
        <v>794</v>
      </c>
      <c r="B795">
        <v>50</v>
      </c>
      <c r="C795" t="s">
        <v>12</v>
      </c>
      <c r="D795">
        <v>103921</v>
      </c>
      <c r="E795">
        <v>58</v>
      </c>
      <c r="F795">
        <v>2</v>
      </c>
      <c r="G795">
        <v>3</v>
      </c>
      <c r="H795" t="s">
        <v>14</v>
      </c>
      <c r="I795">
        <v>687.32</v>
      </c>
    </row>
    <row r="796" spans="1:9" x14ac:dyDescent="0.25">
      <c r="A796">
        <v>795</v>
      </c>
      <c r="B796">
        <v>33</v>
      </c>
      <c r="C796" t="s">
        <v>18</v>
      </c>
      <c r="D796">
        <v>45432</v>
      </c>
      <c r="E796">
        <v>11</v>
      </c>
      <c r="F796">
        <v>4</v>
      </c>
      <c r="G796">
        <v>42</v>
      </c>
      <c r="H796" t="s">
        <v>14</v>
      </c>
      <c r="I796">
        <v>990.34</v>
      </c>
    </row>
    <row r="797" spans="1:9" x14ac:dyDescent="0.25">
      <c r="A797">
        <v>796</v>
      </c>
      <c r="B797">
        <v>47</v>
      </c>
      <c r="C797" t="s">
        <v>12</v>
      </c>
      <c r="D797">
        <v>92114</v>
      </c>
      <c r="E797">
        <v>17</v>
      </c>
      <c r="F797">
        <v>7</v>
      </c>
      <c r="G797">
        <v>8</v>
      </c>
      <c r="H797" t="s">
        <v>13</v>
      </c>
      <c r="I797">
        <v>997.15</v>
      </c>
    </row>
    <row r="798" spans="1:9" x14ac:dyDescent="0.25">
      <c r="A798">
        <v>797</v>
      </c>
      <c r="B798">
        <v>47</v>
      </c>
      <c r="C798" t="s">
        <v>12</v>
      </c>
      <c r="D798">
        <v>86651</v>
      </c>
      <c r="E798">
        <v>54</v>
      </c>
      <c r="F798">
        <v>3</v>
      </c>
      <c r="G798">
        <v>49</v>
      </c>
      <c r="H798" t="s">
        <v>13</v>
      </c>
      <c r="I798">
        <v>678.41</v>
      </c>
    </row>
    <row r="799" spans="1:9" x14ac:dyDescent="0.25">
      <c r="A799">
        <v>798</v>
      </c>
      <c r="B799">
        <v>68</v>
      </c>
      <c r="C799" t="s">
        <v>45</v>
      </c>
      <c r="D799">
        <v>44597</v>
      </c>
      <c r="E799">
        <v>3</v>
      </c>
      <c r="F799">
        <v>1</v>
      </c>
      <c r="G799">
        <v>36</v>
      </c>
      <c r="H799" t="s">
        <v>15</v>
      </c>
      <c r="I799">
        <v>743.73</v>
      </c>
    </row>
    <row r="800" spans="1:9" x14ac:dyDescent="0.25">
      <c r="A800">
        <v>799</v>
      </c>
      <c r="B800">
        <v>25</v>
      </c>
      <c r="C800" t="s">
        <v>12</v>
      </c>
      <c r="D800">
        <v>107042</v>
      </c>
      <c r="E800">
        <v>27</v>
      </c>
      <c r="F800">
        <v>1</v>
      </c>
      <c r="G800">
        <v>32</v>
      </c>
      <c r="H800" t="s">
        <v>17</v>
      </c>
      <c r="I800">
        <v>648.79</v>
      </c>
    </row>
    <row r="801" spans="1:9" x14ac:dyDescent="0.25">
      <c r="A801">
        <v>800</v>
      </c>
      <c r="B801">
        <v>35</v>
      </c>
      <c r="C801" t="s">
        <v>45</v>
      </c>
      <c r="D801">
        <v>114874</v>
      </c>
      <c r="E801">
        <v>40</v>
      </c>
      <c r="F801">
        <v>3</v>
      </c>
      <c r="G801">
        <v>15</v>
      </c>
      <c r="H801" t="s">
        <v>15</v>
      </c>
      <c r="I801">
        <v>333.55</v>
      </c>
    </row>
    <row r="802" spans="1:9" x14ac:dyDescent="0.25">
      <c r="A802">
        <v>801</v>
      </c>
      <c r="B802">
        <v>61</v>
      </c>
      <c r="C802" t="s">
        <v>45</v>
      </c>
      <c r="D802">
        <v>69791</v>
      </c>
      <c r="E802">
        <v>33</v>
      </c>
      <c r="F802">
        <v>8</v>
      </c>
      <c r="G802">
        <v>1</v>
      </c>
      <c r="H802" t="s">
        <v>15</v>
      </c>
      <c r="I802">
        <v>165.39</v>
      </c>
    </row>
    <row r="803" spans="1:9" x14ac:dyDescent="0.25">
      <c r="A803">
        <v>802</v>
      </c>
      <c r="B803">
        <v>51</v>
      </c>
      <c r="C803" t="s">
        <v>12</v>
      </c>
      <c r="D803">
        <v>107033</v>
      </c>
      <c r="E803">
        <v>96</v>
      </c>
      <c r="F803">
        <v>3</v>
      </c>
      <c r="G803">
        <v>42</v>
      </c>
      <c r="H803" t="s">
        <v>16</v>
      </c>
      <c r="I803">
        <v>992.17</v>
      </c>
    </row>
    <row r="804" spans="1:9" x14ac:dyDescent="0.25">
      <c r="A804">
        <v>803</v>
      </c>
      <c r="B804">
        <v>64</v>
      </c>
      <c r="C804" t="s">
        <v>12</v>
      </c>
      <c r="D804">
        <v>127745</v>
      </c>
      <c r="E804">
        <v>72</v>
      </c>
      <c r="F804">
        <v>2</v>
      </c>
      <c r="G804">
        <v>11</v>
      </c>
      <c r="H804" t="s">
        <v>16</v>
      </c>
      <c r="I804">
        <v>192.17</v>
      </c>
    </row>
    <row r="805" spans="1:9" x14ac:dyDescent="0.25">
      <c r="A805">
        <v>804</v>
      </c>
      <c r="B805">
        <v>59</v>
      </c>
      <c r="C805" t="s">
        <v>18</v>
      </c>
      <c r="D805">
        <v>58656</v>
      </c>
      <c r="E805">
        <v>47</v>
      </c>
      <c r="F805">
        <v>6</v>
      </c>
      <c r="G805">
        <v>6</v>
      </c>
      <c r="H805" t="s">
        <v>16</v>
      </c>
      <c r="I805">
        <v>246.07</v>
      </c>
    </row>
    <row r="806" spans="1:9" x14ac:dyDescent="0.25">
      <c r="A806">
        <v>805</v>
      </c>
      <c r="B806">
        <v>51</v>
      </c>
      <c r="C806" t="s">
        <v>18</v>
      </c>
      <c r="D806">
        <v>97660</v>
      </c>
      <c r="E806">
        <v>3</v>
      </c>
      <c r="F806">
        <v>7</v>
      </c>
      <c r="G806">
        <v>30</v>
      </c>
      <c r="H806" t="s">
        <v>15</v>
      </c>
      <c r="I806">
        <v>145.66</v>
      </c>
    </row>
    <row r="807" spans="1:9" x14ac:dyDescent="0.25">
      <c r="A807">
        <v>806</v>
      </c>
      <c r="B807">
        <v>49</v>
      </c>
      <c r="C807" t="s">
        <v>12</v>
      </c>
      <c r="D807">
        <v>69864</v>
      </c>
      <c r="E807">
        <v>92</v>
      </c>
      <c r="F807">
        <v>10</v>
      </c>
      <c r="G807">
        <v>25</v>
      </c>
      <c r="H807" t="s">
        <v>16</v>
      </c>
      <c r="I807">
        <v>522.78</v>
      </c>
    </row>
    <row r="808" spans="1:9" x14ac:dyDescent="0.25">
      <c r="A808">
        <v>807</v>
      </c>
      <c r="B808">
        <v>24</v>
      </c>
      <c r="C808" t="s">
        <v>12</v>
      </c>
      <c r="D808">
        <v>68172</v>
      </c>
      <c r="E808">
        <v>6</v>
      </c>
      <c r="F808">
        <v>1</v>
      </c>
      <c r="G808">
        <v>28</v>
      </c>
      <c r="H808" t="s">
        <v>17</v>
      </c>
      <c r="I808">
        <v>445.3</v>
      </c>
    </row>
    <row r="809" spans="1:9" x14ac:dyDescent="0.25">
      <c r="A809">
        <v>808</v>
      </c>
      <c r="B809">
        <v>33</v>
      </c>
      <c r="C809" t="s">
        <v>12</v>
      </c>
      <c r="D809">
        <v>127302</v>
      </c>
      <c r="E809">
        <v>43</v>
      </c>
      <c r="F809">
        <v>1</v>
      </c>
      <c r="G809">
        <v>40</v>
      </c>
      <c r="H809" t="s">
        <v>16</v>
      </c>
      <c r="I809">
        <v>785.52</v>
      </c>
    </row>
    <row r="810" spans="1:9" x14ac:dyDescent="0.25">
      <c r="A810">
        <v>809</v>
      </c>
      <c r="B810">
        <v>46</v>
      </c>
      <c r="C810" t="s">
        <v>45</v>
      </c>
      <c r="D810">
        <v>91845</v>
      </c>
      <c r="E810">
        <v>35</v>
      </c>
      <c r="F810">
        <v>8</v>
      </c>
      <c r="G810">
        <v>49</v>
      </c>
      <c r="H810" t="s">
        <v>14</v>
      </c>
      <c r="I810">
        <v>537.23</v>
      </c>
    </row>
    <row r="811" spans="1:9" x14ac:dyDescent="0.25">
      <c r="A811">
        <v>810</v>
      </c>
      <c r="B811">
        <v>35</v>
      </c>
      <c r="C811" t="s">
        <v>12</v>
      </c>
      <c r="D811">
        <v>83547</v>
      </c>
      <c r="E811">
        <v>27</v>
      </c>
      <c r="F811">
        <v>7</v>
      </c>
      <c r="G811">
        <v>40</v>
      </c>
      <c r="H811" t="s">
        <v>14</v>
      </c>
      <c r="I811">
        <v>570.08000000000004</v>
      </c>
    </row>
    <row r="812" spans="1:9" x14ac:dyDescent="0.25">
      <c r="A812">
        <v>811</v>
      </c>
      <c r="B812">
        <v>27</v>
      </c>
      <c r="C812" t="s">
        <v>18</v>
      </c>
      <c r="D812">
        <v>78001</v>
      </c>
      <c r="E812">
        <v>50</v>
      </c>
      <c r="F812">
        <v>5</v>
      </c>
      <c r="G812">
        <v>17</v>
      </c>
      <c r="H812" t="s">
        <v>13</v>
      </c>
      <c r="I812">
        <v>117.03</v>
      </c>
    </row>
    <row r="813" spans="1:9" x14ac:dyDescent="0.25">
      <c r="A813">
        <v>812</v>
      </c>
      <c r="B813">
        <v>53</v>
      </c>
      <c r="C813" t="s">
        <v>45</v>
      </c>
      <c r="D813">
        <v>76842</v>
      </c>
      <c r="E813">
        <v>73</v>
      </c>
      <c r="F813">
        <v>6</v>
      </c>
      <c r="G813">
        <v>35</v>
      </c>
      <c r="H813" t="s">
        <v>13</v>
      </c>
      <c r="I813">
        <v>701.61</v>
      </c>
    </row>
    <row r="814" spans="1:9" x14ac:dyDescent="0.25">
      <c r="A814">
        <v>813</v>
      </c>
      <c r="B814">
        <v>19</v>
      </c>
      <c r="C814" t="s">
        <v>12</v>
      </c>
      <c r="D814">
        <v>68304</v>
      </c>
      <c r="E814">
        <v>9</v>
      </c>
      <c r="F814">
        <v>10</v>
      </c>
      <c r="G814">
        <v>28</v>
      </c>
      <c r="H814" t="s">
        <v>15</v>
      </c>
      <c r="I814">
        <v>864.57</v>
      </c>
    </row>
    <row r="815" spans="1:9" x14ac:dyDescent="0.25">
      <c r="A815">
        <v>814</v>
      </c>
      <c r="B815">
        <v>56</v>
      </c>
      <c r="C815" t="s">
        <v>45</v>
      </c>
      <c r="D815">
        <v>145028</v>
      </c>
      <c r="E815">
        <v>2</v>
      </c>
      <c r="F815">
        <v>10</v>
      </c>
      <c r="G815">
        <v>32</v>
      </c>
      <c r="H815" t="s">
        <v>13</v>
      </c>
      <c r="I815">
        <v>849.56</v>
      </c>
    </row>
    <row r="816" spans="1:9" x14ac:dyDescent="0.25">
      <c r="A816">
        <v>815</v>
      </c>
      <c r="B816">
        <v>53</v>
      </c>
      <c r="C816" t="s">
        <v>18</v>
      </c>
      <c r="D816">
        <v>58486</v>
      </c>
      <c r="E816">
        <v>87</v>
      </c>
      <c r="F816">
        <v>8</v>
      </c>
      <c r="G816">
        <v>23</v>
      </c>
      <c r="H816" t="s">
        <v>13</v>
      </c>
      <c r="I816">
        <v>409.35</v>
      </c>
    </row>
    <row r="817" spans="1:9" x14ac:dyDescent="0.25">
      <c r="A817">
        <v>816</v>
      </c>
      <c r="B817">
        <v>50</v>
      </c>
      <c r="C817" t="s">
        <v>45</v>
      </c>
      <c r="D817">
        <v>143612</v>
      </c>
      <c r="E817">
        <v>71</v>
      </c>
      <c r="F817">
        <v>9</v>
      </c>
      <c r="G817">
        <v>28</v>
      </c>
      <c r="H817" t="s">
        <v>16</v>
      </c>
      <c r="I817">
        <v>372.69</v>
      </c>
    </row>
    <row r="818" spans="1:9" x14ac:dyDescent="0.25">
      <c r="A818">
        <v>817</v>
      </c>
      <c r="B818">
        <v>37</v>
      </c>
      <c r="C818" t="s">
        <v>18</v>
      </c>
      <c r="D818">
        <v>115734</v>
      </c>
      <c r="E818">
        <v>87</v>
      </c>
      <c r="F818">
        <v>2</v>
      </c>
      <c r="G818">
        <v>50</v>
      </c>
      <c r="H818" t="s">
        <v>16</v>
      </c>
      <c r="I818">
        <v>646.4</v>
      </c>
    </row>
    <row r="819" spans="1:9" x14ac:dyDescent="0.25">
      <c r="A819">
        <v>818</v>
      </c>
      <c r="B819">
        <v>69</v>
      </c>
      <c r="C819" t="s">
        <v>12</v>
      </c>
      <c r="D819">
        <v>129445</v>
      </c>
      <c r="E819">
        <v>32</v>
      </c>
      <c r="F819">
        <v>3</v>
      </c>
      <c r="G819">
        <v>6</v>
      </c>
      <c r="H819" t="s">
        <v>13</v>
      </c>
      <c r="I819">
        <v>42.19</v>
      </c>
    </row>
    <row r="820" spans="1:9" x14ac:dyDescent="0.25">
      <c r="A820">
        <v>819</v>
      </c>
      <c r="B820">
        <v>46</v>
      </c>
      <c r="C820" t="s">
        <v>45</v>
      </c>
      <c r="D820">
        <v>58692</v>
      </c>
      <c r="E820">
        <v>2</v>
      </c>
      <c r="F820">
        <v>9</v>
      </c>
      <c r="G820">
        <v>22</v>
      </c>
      <c r="H820" t="s">
        <v>13</v>
      </c>
      <c r="I820">
        <v>230.66</v>
      </c>
    </row>
    <row r="821" spans="1:9" x14ac:dyDescent="0.25">
      <c r="A821">
        <v>820</v>
      </c>
      <c r="B821">
        <v>52</v>
      </c>
      <c r="C821" t="s">
        <v>45</v>
      </c>
      <c r="D821">
        <v>73723</v>
      </c>
      <c r="E821">
        <v>69</v>
      </c>
      <c r="F821">
        <v>10</v>
      </c>
      <c r="G821">
        <v>19</v>
      </c>
      <c r="H821" t="s">
        <v>15</v>
      </c>
      <c r="I821">
        <v>321.92</v>
      </c>
    </row>
    <row r="822" spans="1:9" x14ac:dyDescent="0.25">
      <c r="A822">
        <v>821</v>
      </c>
      <c r="B822">
        <v>41</v>
      </c>
      <c r="C822" t="s">
        <v>45</v>
      </c>
      <c r="D822">
        <v>37547</v>
      </c>
      <c r="E822">
        <v>72</v>
      </c>
      <c r="F822">
        <v>3</v>
      </c>
      <c r="G822">
        <v>24</v>
      </c>
      <c r="H822" t="s">
        <v>16</v>
      </c>
      <c r="I822">
        <v>897.46</v>
      </c>
    </row>
    <row r="823" spans="1:9" x14ac:dyDescent="0.25">
      <c r="A823">
        <v>822</v>
      </c>
      <c r="B823">
        <v>26</v>
      </c>
      <c r="C823" t="s">
        <v>18</v>
      </c>
      <c r="D823">
        <v>34901</v>
      </c>
      <c r="E823">
        <v>31</v>
      </c>
      <c r="F823">
        <v>7</v>
      </c>
      <c r="G823">
        <v>9</v>
      </c>
      <c r="H823" t="s">
        <v>16</v>
      </c>
      <c r="I823">
        <v>667.8</v>
      </c>
    </row>
    <row r="824" spans="1:9" x14ac:dyDescent="0.25">
      <c r="A824">
        <v>823</v>
      </c>
      <c r="B824">
        <v>69</v>
      </c>
      <c r="C824" t="s">
        <v>12</v>
      </c>
      <c r="D824">
        <v>85068</v>
      </c>
      <c r="E824">
        <v>54</v>
      </c>
      <c r="F824">
        <v>6</v>
      </c>
      <c r="G824">
        <v>24</v>
      </c>
      <c r="H824" t="s">
        <v>15</v>
      </c>
      <c r="I824">
        <v>846.68</v>
      </c>
    </row>
    <row r="825" spans="1:9" x14ac:dyDescent="0.25">
      <c r="A825">
        <v>824</v>
      </c>
      <c r="B825">
        <v>38</v>
      </c>
      <c r="C825" t="s">
        <v>18</v>
      </c>
      <c r="D825">
        <v>81244</v>
      </c>
      <c r="E825">
        <v>57</v>
      </c>
      <c r="F825">
        <v>5</v>
      </c>
      <c r="G825">
        <v>3</v>
      </c>
      <c r="H825" t="s">
        <v>13</v>
      </c>
      <c r="I825">
        <v>301.58999999999997</v>
      </c>
    </row>
    <row r="826" spans="1:9" x14ac:dyDescent="0.25">
      <c r="A826">
        <v>825</v>
      </c>
      <c r="B826">
        <v>30</v>
      </c>
      <c r="C826" t="s">
        <v>18</v>
      </c>
      <c r="D826">
        <v>121358</v>
      </c>
      <c r="E826">
        <v>16</v>
      </c>
      <c r="F826">
        <v>1</v>
      </c>
      <c r="G826">
        <v>2</v>
      </c>
      <c r="H826" t="s">
        <v>14</v>
      </c>
      <c r="I826">
        <v>122.7</v>
      </c>
    </row>
    <row r="827" spans="1:9" x14ac:dyDescent="0.25">
      <c r="A827">
        <v>826</v>
      </c>
      <c r="B827">
        <v>48</v>
      </c>
      <c r="C827" t="s">
        <v>12</v>
      </c>
      <c r="D827">
        <v>111795</v>
      </c>
      <c r="E827">
        <v>41</v>
      </c>
      <c r="F827">
        <v>9</v>
      </c>
      <c r="G827">
        <v>17</v>
      </c>
      <c r="H827" t="s">
        <v>16</v>
      </c>
      <c r="I827">
        <v>116.19</v>
      </c>
    </row>
    <row r="828" spans="1:9" x14ac:dyDescent="0.25">
      <c r="A828">
        <v>827</v>
      </c>
      <c r="B828">
        <v>62</v>
      </c>
      <c r="C828" t="s">
        <v>45</v>
      </c>
      <c r="D828">
        <v>88975</v>
      </c>
      <c r="E828">
        <v>58</v>
      </c>
      <c r="F828">
        <v>6</v>
      </c>
      <c r="G828">
        <v>24</v>
      </c>
      <c r="H828" t="s">
        <v>15</v>
      </c>
      <c r="I828">
        <v>921.21</v>
      </c>
    </row>
    <row r="829" spans="1:9" x14ac:dyDescent="0.25">
      <c r="A829">
        <v>828</v>
      </c>
      <c r="B829">
        <v>34</v>
      </c>
      <c r="C829" t="s">
        <v>12</v>
      </c>
      <c r="D829">
        <v>43316</v>
      </c>
      <c r="E829">
        <v>72</v>
      </c>
      <c r="F829">
        <v>7</v>
      </c>
      <c r="G829">
        <v>13</v>
      </c>
      <c r="H829" t="s">
        <v>14</v>
      </c>
      <c r="I829">
        <v>274.88</v>
      </c>
    </row>
    <row r="830" spans="1:9" x14ac:dyDescent="0.25">
      <c r="A830">
        <v>829</v>
      </c>
      <c r="B830">
        <v>37</v>
      </c>
      <c r="C830" t="s">
        <v>12</v>
      </c>
      <c r="D830">
        <v>112949</v>
      </c>
      <c r="E830">
        <v>33</v>
      </c>
      <c r="F830">
        <v>8</v>
      </c>
      <c r="G830">
        <v>40</v>
      </c>
      <c r="H830" t="s">
        <v>13</v>
      </c>
      <c r="I830">
        <v>424.07</v>
      </c>
    </row>
    <row r="831" spans="1:9" x14ac:dyDescent="0.25">
      <c r="A831">
        <v>830</v>
      </c>
      <c r="B831">
        <v>28</v>
      </c>
      <c r="C831" t="s">
        <v>12</v>
      </c>
      <c r="D831">
        <v>136418</v>
      </c>
      <c r="E831">
        <v>17</v>
      </c>
      <c r="F831">
        <v>5</v>
      </c>
      <c r="G831">
        <v>17</v>
      </c>
      <c r="H831" t="s">
        <v>13</v>
      </c>
      <c r="I831">
        <v>765.53</v>
      </c>
    </row>
    <row r="832" spans="1:9" x14ac:dyDescent="0.25">
      <c r="A832">
        <v>831</v>
      </c>
      <c r="B832">
        <v>43</v>
      </c>
      <c r="C832" t="s">
        <v>18</v>
      </c>
      <c r="D832">
        <v>76811</v>
      </c>
      <c r="E832">
        <v>26</v>
      </c>
      <c r="F832">
        <v>1</v>
      </c>
      <c r="G832">
        <v>33</v>
      </c>
      <c r="H832" t="s">
        <v>13</v>
      </c>
      <c r="I832">
        <v>836.5</v>
      </c>
    </row>
    <row r="833" spans="1:9" x14ac:dyDescent="0.25">
      <c r="A833">
        <v>832</v>
      </c>
      <c r="B833">
        <v>69</v>
      </c>
      <c r="C833" t="s">
        <v>45</v>
      </c>
      <c r="D833">
        <v>81964</v>
      </c>
      <c r="E833">
        <v>22</v>
      </c>
      <c r="F833">
        <v>1</v>
      </c>
      <c r="G833">
        <v>3</v>
      </c>
      <c r="H833" t="s">
        <v>13</v>
      </c>
      <c r="I833">
        <v>839.2</v>
      </c>
    </row>
    <row r="834" spans="1:9" x14ac:dyDescent="0.25">
      <c r="A834">
        <v>833</v>
      </c>
      <c r="B834">
        <v>43</v>
      </c>
      <c r="C834" t="s">
        <v>18</v>
      </c>
      <c r="D834">
        <v>85487</v>
      </c>
      <c r="E834">
        <v>71</v>
      </c>
      <c r="F834">
        <v>7</v>
      </c>
      <c r="G834">
        <v>49</v>
      </c>
      <c r="H834" t="s">
        <v>15</v>
      </c>
      <c r="I834">
        <v>625.26</v>
      </c>
    </row>
    <row r="835" spans="1:9" x14ac:dyDescent="0.25">
      <c r="A835">
        <v>834</v>
      </c>
      <c r="B835">
        <v>38</v>
      </c>
      <c r="C835" t="s">
        <v>12</v>
      </c>
      <c r="D835">
        <v>101111</v>
      </c>
      <c r="E835">
        <v>98</v>
      </c>
      <c r="F835">
        <v>8</v>
      </c>
      <c r="G835">
        <v>35</v>
      </c>
      <c r="H835" t="s">
        <v>17</v>
      </c>
      <c r="I835">
        <v>738.01</v>
      </c>
    </row>
    <row r="836" spans="1:9" x14ac:dyDescent="0.25">
      <c r="A836">
        <v>835</v>
      </c>
      <c r="B836">
        <v>41</v>
      </c>
      <c r="C836" t="s">
        <v>18</v>
      </c>
      <c r="D836">
        <v>68147</v>
      </c>
      <c r="E836">
        <v>75</v>
      </c>
      <c r="F836">
        <v>2</v>
      </c>
      <c r="G836">
        <v>33</v>
      </c>
      <c r="H836" t="s">
        <v>16</v>
      </c>
      <c r="I836">
        <v>553.35</v>
      </c>
    </row>
    <row r="837" spans="1:9" x14ac:dyDescent="0.25">
      <c r="A837">
        <v>836</v>
      </c>
      <c r="B837">
        <v>30</v>
      </c>
      <c r="C837" t="s">
        <v>45</v>
      </c>
      <c r="D837">
        <v>42089</v>
      </c>
      <c r="E837">
        <v>29</v>
      </c>
      <c r="F837">
        <v>3</v>
      </c>
      <c r="G837">
        <v>3</v>
      </c>
      <c r="H837" t="s">
        <v>13</v>
      </c>
      <c r="I837">
        <v>536.52</v>
      </c>
    </row>
    <row r="838" spans="1:9" x14ac:dyDescent="0.25">
      <c r="A838">
        <v>837</v>
      </c>
      <c r="B838">
        <v>69</v>
      </c>
      <c r="C838" t="s">
        <v>18</v>
      </c>
      <c r="D838">
        <v>106629</v>
      </c>
      <c r="E838">
        <v>4</v>
      </c>
      <c r="F838">
        <v>7</v>
      </c>
      <c r="G838">
        <v>9</v>
      </c>
      <c r="H838" t="s">
        <v>16</v>
      </c>
      <c r="I838">
        <v>443.22</v>
      </c>
    </row>
    <row r="839" spans="1:9" x14ac:dyDescent="0.25">
      <c r="A839">
        <v>838</v>
      </c>
      <c r="B839">
        <v>57</v>
      </c>
      <c r="C839" t="s">
        <v>12</v>
      </c>
      <c r="D839">
        <v>98928</v>
      </c>
      <c r="E839">
        <v>80</v>
      </c>
      <c r="F839">
        <v>3</v>
      </c>
      <c r="G839">
        <v>33</v>
      </c>
      <c r="H839" t="s">
        <v>14</v>
      </c>
      <c r="I839">
        <v>934.98</v>
      </c>
    </row>
    <row r="840" spans="1:9" x14ac:dyDescent="0.25">
      <c r="A840">
        <v>839</v>
      </c>
      <c r="B840">
        <v>43</v>
      </c>
      <c r="C840" t="s">
        <v>12</v>
      </c>
      <c r="D840">
        <v>90687</v>
      </c>
      <c r="E840">
        <v>9</v>
      </c>
      <c r="F840">
        <v>5</v>
      </c>
      <c r="G840">
        <v>24</v>
      </c>
      <c r="H840" t="s">
        <v>15</v>
      </c>
      <c r="I840">
        <v>531.25</v>
      </c>
    </row>
    <row r="841" spans="1:9" x14ac:dyDescent="0.25">
      <c r="A841">
        <v>840</v>
      </c>
      <c r="B841">
        <v>58</v>
      </c>
      <c r="C841" t="s">
        <v>18</v>
      </c>
      <c r="D841">
        <v>68764</v>
      </c>
      <c r="E841">
        <v>96</v>
      </c>
      <c r="F841">
        <v>6</v>
      </c>
      <c r="G841">
        <v>31</v>
      </c>
      <c r="H841" t="s">
        <v>16</v>
      </c>
      <c r="I841">
        <v>723.66</v>
      </c>
    </row>
    <row r="842" spans="1:9" x14ac:dyDescent="0.25">
      <c r="A842">
        <v>841</v>
      </c>
      <c r="B842">
        <v>40</v>
      </c>
      <c r="C842" t="s">
        <v>12</v>
      </c>
      <c r="D842">
        <v>125996</v>
      </c>
      <c r="E842">
        <v>64</v>
      </c>
      <c r="F842">
        <v>6</v>
      </c>
      <c r="G842">
        <v>15</v>
      </c>
      <c r="H842" t="s">
        <v>17</v>
      </c>
      <c r="I842">
        <v>583.95000000000005</v>
      </c>
    </row>
    <row r="843" spans="1:9" x14ac:dyDescent="0.25">
      <c r="A843">
        <v>842</v>
      </c>
      <c r="B843">
        <v>33</v>
      </c>
      <c r="C843" t="s">
        <v>18</v>
      </c>
      <c r="D843">
        <v>96916</v>
      </c>
      <c r="E843">
        <v>23</v>
      </c>
      <c r="F843">
        <v>6</v>
      </c>
      <c r="G843">
        <v>12</v>
      </c>
      <c r="H843" t="s">
        <v>15</v>
      </c>
      <c r="I843">
        <v>373.49</v>
      </c>
    </row>
    <row r="844" spans="1:9" x14ac:dyDescent="0.25">
      <c r="A844">
        <v>843</v>
      </c>
      <c r="B844">
        <v>50</v>
      </c>
      <c r="C844" t="s">
        <v>45</v>
      </c>
      <c r="D844">
        <v>149578</v>
      </c>
      <c r="E844">
        <v>28</v>
      </c>
      <c r="F844">
        <v>2</v>
      </c>
      <c r="G844">
        <v>39</v>
      </c>
      <c r="H844" t="s">
        <v>13</v>
      </c>
      <c r="I844">
        <v>839.34</v>
      </c>
    </row>
    <row r="845" spans="1:9" x14ac:dyDescent="0.25">
      <c r="A845">
        <v>844</v>
      </c>
      <c r="B845">
        <v>43</v>
      </c>
      <c r="C845" t="s">
        <v>12</v>
      </c>
      <c r="D845">
        <v>140638</v>
      </c>
      <c r="E845">
        <v>62</v>
      </c>
      <c r="F845">
        <v>10</v>
      </c>
      <c r="G845">
        <v>18</v>
      </c>
      <c r="H845" t="s">
        <v>13</v>
      </c>
      <c r="I845">
        <v>78.52</v>
      </c>
    </row>
    <row r="846" spans="1:9" x14ac:dyDescent="0.25">
      <c r="A846">
        <v>845</v>
      </c>
      <c r="B846">
        <v>45</v>
      </c>
      <c r="C846" t="s">
        <v>18</v>
      </c>
      <c r="D846">
        <v>57615</v>
      </c>
      <c r="E846">
        <v>30</v>
      </c>
      <c r="F846">
        <v>5</v>
      </c>
      <c r="G846">
        <v>15</v>
      </c>
      <c r="H846" t="s">
        <v>14</v>
      </c>
      <c r="I846">
        <v>998.09</v>
      </c>
    </row>
    <row r="847" spans="1:9" x14ac:dyDescent="0.25">
      <c r="A847">
        <v>846</v>
      </c>
      <c r="B847">
        <v>60</v>
      </c>
      <c r="C847" t="s">
        <v>45</v>
      </c>
      <c r="D847">
        <v>61376</v>
      </c>
      <c r="E847">
        <v>97</v>
      </c>
      <c r="F847">
        <v>8</v>
      </c>
      <c r="G847">
        <v>9</v>
      </c>
      <c r="H847" t="s">
        <v>14</v>
      </c>
      <c r="I847">
        <v>793.84</v>
      </c>
    </row>
    <row r="848" spans="1:9" x14ac:dyDescent="0.25">
      <c r="A848">
        <v>847</v>
      </c>
      <c r="B848">
        <v>22</v>
      </c>
      <c r="C848" t="s">
        <v>12</v>
      </c>
      <c r="D848">
        <v>134801</v>
      </c>
      <c r="E848">
        <v>47</v>
      </c>
      <c r="F848">
        <v>1</v>
      </c>
      <c r="G848">
        <v>49</v>
      </c>
      <c r="H848" t="s">
        <v>16</v>
      </c>
      <c r="I848">
        <v>292.92</v>
      </c>
    </row>
    <row r="849" spans="1:9" x14ac:dyDescent="0.25">
      <c r="A849">
        <v>848</v>
      </c>
      <c r="B849">
        <v>60</v>
      </c>
      <c r="C849" t="s">
        <v>45</v>
      </c>
      <c r="D849">
        <v>111784</v>
      </c>
      <c r="E849">
        <v>31</v>
      </c>
      <c r="F849">
        <v>1</v>
      </c>
      <c r="G849">
        <v>14</v>
      </c>
      <c r="H849" t="s">
        <v>17</v>
      </c>
      <c r="I849">
        <v>122.12</v>
      </c>
    </row>
    <row r="850" spans="1:9" x14ac:dyDescent="0.25">
      <c r="A850">
        <v>849</v>
      </c>
      <c r="B850">
        <v>56</v>
      </c>
      <c r="C850" t="s">
        <v>18</v>
      </c>
      <c r="D850">
        <v>86142</v>
      </c>
      <c r="E850">
        <v>87</v>
      </c>
      <c r="F850">
        <v>7</v>
      </c>
      <c r="G850">
        <v>8</v>
      </c>
      <c r="H850" t="s">
        <v>15</v>
      </c>
      <c r="I850">
        <v>291.95999999999998</v>
      </c>
    </row>
    <row r="851" spans="1:9" x14ac:dyDescent="0.25">
      <c r="A851">
        <v>850</v>
      </c>
      <c r="B851">
        <v>48</v>
      </c>
      <c r="C851" t="s">
        <v>18</v>
      </c>
      <c r="D851">
        <v>126398</v>
      </c>
      <c r="E851">
        <v>19</v>
      </c>
      <c r="F851">
        <v>1</v>
      </c>
      <c r="G851">
        <v>18</v>
      </c>
      <c r="H851" t="s">
        <v>17</v>
      </c>
      <c r="I851">
        <v>311.08</v>
      </c>
    </row>
    <row r="852" spans="1:9" x14ac:dyDescent="0.25">
      <c r="A852">
        <v>851</v>
      </c>
      <c r="B852">
        <v>51</v>
      </c>
      <c r="C852" t="s">
        <v>45</v>
      </c>
      <c r="D852">
        <v>59566</v>
      </c>
      <c r="E852">
        <v>25</v>
      </c>
      <c r="F852">
        <v>5</v>
      </c>
      <c r="G852">
        <v>22</v>
      </c>
      <c r="H852" t="s">
        <v>16</v>
      </c>
      <c r="I852">
        <v>847.03</v>
      </c>
    </row>
    <row r="853" spans="1:9" x14ac:dyDescent="0.25">
      <c r="A853">
        <v>852</v>
      </c>
      <c r="B853">
        <v>64</v>
      </c>
      <c r="C853" t="s">
        <v>18</v>
      </c>
      <c r="D853">
        <v>63123</v>
      </c>
      <c r="E853">
        <v>88</v>
      </c>
      <c r="F853">
        <v>1</v>
      </c>
      <c r="G853">
        <v>16</v>
      </c>
      <c r="H853" t="s">
        <v>16</v>
      </c>
      <c r="I853">
        <v>330.95</v>
      </c>
    </row>
    <row r="854" spans="1:9" x14ac:dyDescent="0.25">
      <c r="A854">
        <v>853</v>
      </c>
      <c r="B854">
        <v>22</v>
      </c>
      <c r="C854" t="s">
        <v>45</v>
      </c>
      <c r="D854">
        <v>120644</v>
      </c>
      <c r="E854">
        <v>75</v>
      </c>
      <c r="F854">
        <v>1</v>
      </c>
      <c r="G854">
        <v>4</v>
      </c>
      <c r="H854" t="s">
        <v>17</v>
      </c>
      <c r="I854">
        <v>456.11</v>
      </c>
    </row>
    <row r="855" spans="1:9" x14ac:dyDescent="0.25">
      <c r="A855">
        <v>854</v>
      </c>
      <c r="B855">
        <v>27</v>
      </c>
      <c r="C855" t="s">
        <v>18</v>
      </c>
      <c r="D855">
        <v>40595</v>
      </c>
      <c r="E855">
        <v>84</v>
      </c>
      <c r="F855">
        <v>6</v>
      </c>
      <c r="G855">
        <v>15</v>
      </c>
      <c r="H855" t="s">
        <v>16</v>
      </c>
      <c r="I855">
        <v>268.76</v>
      </c>
    </row>
    <row r="856" spans="1:9" x14ac:dyDescent="0.25">
      <c r="A856">
        <v>855</v>
      </c>
      <c r="B856">
        <v>18</v>
      </c>
      <c r="C856" t="s">
        <v>12</v>
      </c>
      <c r="D856">
        <v>30102</v>
      </c>
      <c r="E856">
        <v>35</v>
      </c>
      <c r="F856">
        <v>2</v>
      </c>
      <c r="G856">
        <v>6</v>
      </c>
      <c r="H856" t="s">
        <v>15</v>
      </c>
      <c r="I856">
        <v>739.27</v>
      </c>
    </row>
    <row r="857" spans="1:9" x14ac:dyDescent="0.25">
      <c r="A857">
        <v>856</v>
      </c>
      <c r="B857">
        <v>45</v>
      </c>
      <c r="C857" t="s">
        <v>45</v>
      </c>
      <c r="D857">
        <v>135627</v>
      </c>
      <c r="E857">
        <v>67</v>
      </c>
      <c r="F857">
        <v>2</v>
      </c>
      <c r="G857">
        <v>46</v>
      </c>
      <c r="H857" t="s">
        <v>16</v>
      </c>
      <c r="I857">
        <v>524.16</v>
      </c>
    </row>
    <row r="858" spans="1:9" x14ac:dyDescent="0.25">
      <c r="A858">
        <v>857</v>
      </c>
      <c r="B858">
        <v>19</v>
      </c>
      <c r="C858" t="s">
        <v>18</v>
      </c>
      <c r="D858">
        <v>90561</v>
      </c>
      <c r="E858">
        <v>75</v>
      </c>
      <c r="F858">
        <v>10</v>
      </c>
      <c r="G858">
        <v>23</v>
      </c>
      <c r="H858" t="s">
        <v>13</v>
      </c>
      <c r="I858">
        <v>866.23</v>
      </c>
    </row>
    <row r="859" spans="1:9" x14ac:dyDescent="0.25">
      <c r="A859">
        <v>858</v>
      </c>
      <c r="B859">
        <v>67</v>
      </c>
      <c r="C859" t="s">
        <v>12</v>
      </c>
      <c r="D859">
        <v>115470</v>
      </c>
      <c r="E859">
        <v>56</v>
      </c>
      <c r="F859">
        <v>4</v>
      </c>
      <c r="G859">
        <v>6</v>
      </c>
      <c r="H859" t="s">
        <v>17</v>
      </c>
      <c r="I859">
        <v>151.74</v>
      </c>
    </row>
    <row r="860" spans="1:9" x14ac:dyDescent="0.25">
      <c r="A860">
        <v>859</v>
      </c>
      <c r="B860">
        <v>22</v>
      </c>
      <c r="C860" t="s">
        <v>12</v>
      </c>
      <c r="D860">
        <v>62752</v>
      </c>
      <c r="E860">
        <v>2</v>
      </c>
      <c r="F860">
        <v>10</v>
      </c>
      <c r="G860">
        <v>22</v>
      </c>
      <c r="H860" t="s">
        <v>14</v>
      </c>
      <c r="I860">
        <v>469.36</v>
      </c>
    </row>
    <row r="861" spans="1:9" x14ac:dyDescent="0.25">
      <c r="A861">
        <v>860</v>
      </c>
      <c r="B861">
        <v>22</v>
      </c>
      <c r="C861" t="s">
        <v>12</v>
      </c>
      <c r="D861">
        <v>46866</v>
      </c>
      <c r="E861">
        <v>3</v>
      </c>
      <c r="F861">
        <v>7</v>
      </c>
      <c r="G861">
        <v>46</v>
      </c>
      <c r="H861" t="s">
        <v>14</v>
      </c>
      <c r="I861">
        <v>737.44</v>
      </c>
    </row>
    <row r="862" spans="1:9" x14ac:dyDescent="0.25">
      <c r="A862">
        <v>861</v>
      </c>
      <c r="B862">
        <v>21</v>
      </c>
      <c r="C862" t="s">
        <v>45</v>
      </c>
      <c r="D862">
        <v>145884</v>
      </c>
      <c r="E862">
        <v>3</v>
      </c>
      <c r="F862">
        <v>4</v>
      </c>
      <c r="G862">
        <v>25</v>
      </c>
      <c r="H862" t="s">
        <v>13</v>
      </c>
      <c r="I862">
        <v>676.93</v>
      </c>
    </row>
    <row r="863" spans="1:9" x14ac:dyDescent="0.25">
      <c r="A863">
        <v>862</v>
      </c>
      <c r="B863">
        <v>20</v>
      </c>
      <c r="C863" t="s">
        <v>12</v>
      </c>
      <c r="D863">
        <v>79899</v>
      </c>
      <c r="E863">
        <v>64</v>
      </c>
      <c r="F863">
        <v>7</v>
      </c>
      <c r="G863">
        <v>46</v>
      </c>
      <c r="H863" t="s">
        <v>17</v>
      </c>
      <c r="I863">
        <v>129.9</v>
      </c>
    </row>
    <row r="864" spans="1:9" x14ac:dyDescent="0.25">
      <c r="A864">
        <v>863</v>
      </c>
      <c r="B864">
        <v>42</v>
      </c>
      <c r="C864" t="s">
        <v>45</v>
      </c>
      <c r="D864">
        <v>77292</v>
      </c>
      <c r="E864">
        <v>73</v>
      </c>
      <c r="F864">
        <v>10</v>
      </c>
      <c r="G864">
        <v>43</v>
      </c>
      <c r="H864" t="s">
        <v>16</v>
      </c>
      <c r="I864">
        <v>787.66</v>
      </c>
    </row>
    <row r="865" spans="1:9" x14ac:dyDescent="0.25">
      <c r="A865">
        <v>864</v>
      </c>
      <c r="B865">
        <v>41</v>
      </c>
      <c r="C865" t="s">
        <v>12</v>
      </c>
      <c r="D865">
        <v>92371</v>
      </c>
      <c r="E865">
        <v>28</v>
      </c>
      <c r="F865">
        <v>10</v>
      </c>
      <c r="G865">
        <v>48</v>
      </c>
      <c r="H865" t="s">
        <v>14</v>
      </c>
      <c r="I865">
        <v>594.96</v>
      </c>
    </row>
    <row r="866" spans="1:9" x14ac:dyDescent="0.25">
      <c r="A866">
        <v>865</v>
      </c>
      <c r="B866">
        <v>57</v>
      </c>
      <c r="C866" t="s">
        <v>45</v>
      </c>
      <c r="D866">
        <v>106632</v>
      </c>
      <c r="E866">
        <v>26</v>
      </c>
      <c r="F866">
        <v>1</v>
      </c>
      <c r="G866">
        <v>17</v>
      </c>
      <c r="H866" t="s">
        <v>16</v>
      </c>
      <c r="I866">
        <v>610.98</v>
      </c>
    </row>
    <row r="867" spans="1:9" x14ac:dyDescent="0.25">
      <c r="A867">
        <v>866</v>
      </c>
      <c r="B867">
        <v>22</v>
      </c>
      <c r="C867" t="s">
        <v>12</v>
      </c>
      <c r="D867">
        <v>48068</v>
      </c>
      <c r="E867">
        <v>57</v>
      </c>
      <c r="F867">
        <v>2</v>
      </c>
      <c r="G867">
        <v>24</v>
      </c>
      <c r="H867" t="s">
        <v>14</v>
      </c>
      <c r="I867">
        <v>683.02</v>
      </c>
    </row>
    <row r="868" spans="1:9" x14ac:dyDescent="0.25">
      <c r="A868">
        <v>867</v>
      </c>
      <c r="B868">
        <v>68</v>
      </c>
      <c r="C868" t="s">
        <v>45</v>
      </c>
      <c r="D868">
        <v>35122</v>
      </c>
      <c r="E868">
        <v>72</v>
      </c>
      <c r="F868">
        <v>6</v>
      </c>
      <c r="G868">
        <v>33</v>
      </c>
      <c r="H868" t="s">
        <v>15</v>
      </c>
      <c r="I868">
        <v>983.84</v>
      </c>
    </row>
    <row r="869" spans="1:9" x14ac:dyDescent="0.25">
      <c r="A869">
        <v>868</v>
      </c>
      <c r="B869">
        <v>51</v>
      </c>
      <c r="C869" t="s">
        <v>45</v>
      </c>
      <c r="D869">
        <v>83467</v>
      </c>
      <c r="E869">
        <v>83</v>
      </c>
      <c r="F869">
        <v>1</v>
      </c>
      <c r="G869">
        <v>19</v>
      </c>
      <c r="H869" t="s">
        <v>17</v>
      </c>
      <c r="I869">
        <v>30.88</v>
      </c>
    </row>
    <row r="870" spans="1:9" x14ac:dyDescent="0.25">
      <c r="A870">
        <v>869</v>
      </c>
      <c r="B870">
        <v>49</v>
      </c>
      <c r="C870" t="s">
        <v>18</v>
      </c>
      <c r="D870">
        <v>61376</v>
      </c>
      <c r="E870">
        <v>47</v>
      </c>
      <c r="F870">
        <v>5</v>
      </c>
      <c r="G870">
        <v>16</v>
      </c>
      <c r="H870" t="s">
        <v>13</v>
      </c>
      <c r="I870">
        <v>241.25</v>
      </c>
    </row>
    <row r="871" spans="1:9" x14ac:dyDescent="0.25">
      <c r="A871">
        <v>870</v>
      </c>
      <c r="B871">
        <v>57</v>
      </c>
      <c r="C871" t="s">
        <v>45</v>
      </c>
      <c r="D871">
        <v>112212</v>
      </c>
      <c r="E871">
        <v>6</v>
      </c>
      <c r="F871">
        <v>6</v>
      </c>
      <c r="G871">
        <v>44</v>
      </c>
      <c r="H871" t="s">
        <v>13</v>
      </c>
      <c r="I871">
        <v>312.64</v>
      </c>
    </row>
    <row r="872" spans="1:9" x14ac:dyDescent="0.25">
      <c r="A872">
        <v>871</v>
      </c>
      <c r="B872">
        <v>57</v>
      </c>
      <c r="C872" t="s">
        <v>18</v>
      </c>
      <c r="D872">
        <v>128481</v>
      </c>
      <c r="E872">
        <v>86</v>
      </c>
      <c r="F872">
        <v>10</v>
      </c>
      <c r="G872">
        <v>40</v>
      </c>
      <c r="H872" t="s">
        <v>13</v>
      </c>
      <c r="I872">
        <v>727.15</v>
      </c>
    </row>
    <row r="873" spans="1:9" x14ac:dyDescent="0.25">
      <c r="A873">
        <v>872</v>
      </c>
      <c r="B873">
        <v>63</v>
      </c>
      <c r="C873" t="s">
        <v>12</v>
      </c>
      <c r="D873">
        <v>33546</v>
      </c>
      <c r="E873">
        <v>18</v>
      </c>
      <c r="F873">
        <v>9</v>
      </c>
      <c r="G873">
        <v>31</v>
      </c>
      <c r="H873" t="s">
        <v>15</v>
      </c>
      <c r="I873">
        <v>191.8</v>
      </c>
    </row>
    <row r="874" spans="1:9" x14ac:dyDescent="0.25">
      <c r="A874">
        <v>873</v>
      </c>
      <c r="B874">
        <v>42</v>
      </c>
      <c r="C874" t="s">
        <v>18</v>
      </c>
      <c r="D874">
        <v>127546</v>
      </c>
      <c r="E874">
        <v>54</v>
      </c>
      <c r="F874">
        <v>1</v>
      </c>
      <c r="G874">
        <v>31</v>
      </c>
      <c r="H874" t="s">
        <v>17</v>
      </c>
      <c r="I874">
        <v>484.72</v>
      </c>
    </row>
    <row r="875" spans="1:9" x14ac:dyDescent="0.25">
      <c r="A875">
        <v>874</v>
      </c>
      <c r="B875">
        <v>35</v>
      </c>
      <c r="C875" t="s">
        <v>12</v>
      </c>
      <c r="D875">
        <v>121037</v>
      </c>
      <c r="E875">
        <v>70</v>
      </c>
      <c r="F875">
        <v>1</v>
      </c>
      <c r="G875">
        <v>28</v>
      </c>
      <c r="H875" t="s">
        <v>16</v>
      </c>
      <c r="I875">
        <v>304.08</v>
      </c>
    </row>
    <row r="876" spans="1:9" x14ac:dyDescent="0.25">
      <c r="A876">
        <v>875</v>
      </c>
      <c r="B876">
        <v>25</v>
      </c>
      <c r="C876" t="s">
        <v>18</v>
      </c>
      <c r="D876">
        <v>76606</v>
      </c>
      <c r="E876">
        <v>99</v>
      </c>
      <c r="F876">
        <v>10</v>
      </c>
      <c r="G876">
        <v>32</v>
      </c>
      <c r="H876" t="s">
        <v>13</v>
      </c>
      <c r="I876">
        <v>472.4</v>
      </c>
    </row>
    <row r="877" spans="1:9" x14ac:dyDescent="0.25">
      <c r="A877">
        <v>876</v>
      </c>
      <c r="B877">
        <v>60</v>
      </c>
      <c r="C877" t="s">
        <v>45</v>
      </c>
      <c r="D877">
        <v>120195</v>
      </c>
      <c r="E877">
        <v>68</v>
      </c>
      <c r="F877">
        <v>9</v>
      </c>
      <c r="G877">
        <v>26</v>
      </c>
      <c r="H877" t="s">
        <v>15</v>
      </c>
      <c r="I877">
        <v>600.21</v>
      </c>
    </row>
    <row r="878" spans="1:9" x14ac:dyDescent="0.25">
      <c r="A878">
        <v>877</v>
      </c>
      <c r="B878">
        <v>51</v>
      </c>
      <c r="C878" t="s">
        <v>18</v>
      </c>
      <c r="D878">
        <v>127950</v>
      </c>
      <c r="E878">
        <v>27</v>
      </c>
      <c r="F878">
        <v>3</v>
      </c>
      <c r="G878">
        <v>45</v>
      </c>
      <c r="H878" t="s">
        <v>13</v>
      </c>
      <c r="I878">
        <v>412.76</v>
      </c>
    </row>
    <row r="879" spans="1:9" x14ac:dyDescent="0.25">
      <c r="A879">
        <v>878</v>
      </c>
      <c r="B879">
        <v>45</v>
      </c>
      <c r="C879" t="s">
        <v>18</v>
      </c>
      <c r="D879">
        <v>51646</v>
      </c>
      <c r="E879">
        <v>61</v>
      </c>
      <c r="F879">
        <v>5</v>
      </c>
      <c r="G879">
        <v>41</v>
      </c>
      <c r="H879" t="s">
        <v>13</v>
      </c>
      <c r="I879">
        <v>246.41</v>
      </c>
    </row>
    <row r="880" spans="1:9" x14ac:dyDescent="0.25">
      <c r="A880">
        <v>879</v>
      </c>
      <c r="B880">
        <v>51</v>
      </c>
      <c r="C880" t="s">
        <v>12</v>
      </c>
      <c r="D880">
        <v>80995</v>
      </c>
      <c r="E880">
        <v>68</v>
      </c>
      <c r="F880">
        <v>1</v>
      </c>
      <c r="G880">
        <v>18</v>
      </c>
      <c r="H880" t="s">
        <v>15</v>
      </c>
      <c r="I880">
        <v>863.54</v>
      </c>
    </row>
    <row r="881" spans="1:9" x14ac:dyDescent="0.25">
      <c r="A881">
        <v>880</v>
      </c>
      <c r="B881">
        <v>59</v>
      </c>
      <c r="C881" t="s">
        <v>45</v>
      </c>
      <c r="D881">
        <v>97355</v>
      </c>
      <c r="E881">
        <v>63</v>
      </c>
      <c r="F881">
        <v>2</v>
      </c>
      <c r="G881">
        <v>22</v>
      </c>
      <c r="H881" t="s">
        <v>16</v>
      </c>
      <c r="I881">
        <v>329.18</v>
      </c>
    </row>
    <row r="882" spans="1:9" x14ac:dyDescent="0.25">
      <c r="A882">
        <v>881</v>
      </c>
      <c r="B882">
        <v>47</v>
      </c>
      <c r="C882" t="s">
        <v>18</v>
      </c>
      <c r="D882">
        <v>133264</v>
      </c>
      <c r="E882">
        <v>93</v>
      </c>
      <c r="F882">
        <v>2</v>
      </c>
      <c r="G882">
        <v>21</v>
      </c>
      <c r="H882" t="s">
        <v>16</v>
      </c>
      <c r="I882">
        <v>11.01</v>
      </c>
    </row>
    <row r="883" spans="1:9" x14ac:dyDescent="0.25">
      <c r="A883">
        <v>882</v>
      </c>
      <c r="B883">
        <v>61</v>
      </c>
      <c r="C883" t="s">
        <v>12</v>
      </c>
      <c r="D883">
        <v>49557</v>
      </c>
      <c r="E883">
        <v>22</v>
      </c>
      <c r="F883">
        <v>6</v>
      </c>
      <c r="G883">
        <v>12</v>
      </c>
      <c r="H883" t="s">
        <v>17</v>
      </c>
      <c r="I883">
        <v>678.13</v>
      </c>
    </row>
    <row r="884" spans="1:9" x14ac:dyDescent="0.25">
      <c r="A884">
        <v>883</v>
      </c>
      <c r="B884">
        <v>62</v>
      </c>
      <c r="C884" t="s">
        <v>45</v>
      </c>
      <c r="D884">
        <v>97909</v>
      </c>
      <c r="E884">
        <v>100</v>
      </c>
      <c r="F884">
        <v>1</v>
      </c>
      <c r="G884">
        <v>5</v>
      </c>
      <c r="H884" t="s">
        <v>13</v>
      </c>
      <c r="I884">
        <v>439.63</v>
      </c>
    </row>
    <row r="885" spans="1:9" x14ac:dyDescent="0.25">
      <c r="A885">
        <v>884</v>
      </c>
      <c r="B885">
        <v>50</v>
      </c>
      <c r="C885" t="s">
        <v>18</v>
      </c>
      <c r="D885">
        <v>59695</v>
      </c>
      <c r="E885">
        <v>70</v>
      </c>
      <c r="F885">
        <v>5</v>
      </c>
      <c r="G885">
        <v>6</v>
      </c>
      <c r="H885" t="s">
        <v>17</v>
      </c>
      <c r="I885">
        <v>241.99</v>
      </c>
    </row>
    <row r="886" spans="1:9" x14ac:dyDescent="0.25">
      <c r="A886">
        <v>885</v>
      </c>
      <c r="B886">
        <v>58</v>
      </c>
      <c r="C886" t="s">
        <v>45</v>
      </c>
      <c r="D886">
        <v>149723</v>
      </c>
      <c r="E886">
        <v>70</v>
      </c>
      <c r="F886">
        <v>9</v>
      </c>
      <c r="G886">
        <v>23</v>
      </c>
      <c r="H886" t="s">
        <v>14</v>
      </c>
      <c r="I886">
        <v>374.59</v>
      </c>
    </row>
    <row r="887" spans="1:9" x14ac:dyDescent="0.25">
      <c r="A887">
        <v>886</v>
      </c>
      <c r="B887">
        <v>26</v>
      </c>
      <c r="C887" t="s">
        <v>45</v>
      </c>
      <c r="D887">
        <v>113532</v>
      </c>
      <c r="E887">
        <v>70</v>
      </c>
      <c r="F887">
        <v>7</v>
      </c>
      <c r="G887">
        <v>28</v>
      </c>
      <c r="H887" t="s">
        <v>15</v>
      </c>
      <c r="I887">
        <v>679.69</v>
      </c>
    </row>
    <row r="888" spans="1:9" x14ac:dyDescent="0.25">
      <c r="A888">
        <v>887</v>
      </c>
      <c r="B888">
        <v>60</v>
      </c>
      <c r="C888" t="s">
        <v>12</v>
      </c>
      <c r="D888">
        <v>98882</v>
      </c>
      <c r="E888">
        <v>38</v>
      </c>
      <c r="F888">
        <v>2</v>
      </c>
      <c r="G888">
        <v>28</v>
      </c>
      <c r="H888" t="s">
        <v>16</v>
      </c>
      <c r="I888">
        <v>940.14</v>
      </c>
    </row>
    <row r="889" spans="1:9" x14ac:dyDescent="0.25">
      <c r="A889">
        <v>888</v>
      </c>
      <c r="B889">
        <v>29</v>
      </c>
      <c r="C889" t="s">
        <v>12</v>
      </c>
      <c r="D889">
        <v>149973</v>
      </c>
      <c r="E889">
        <v>2</v>
      </c>
      <c r="F889">
        <v>2</v>
      </c>
      <c r="G889">
        <v>19</v>
      </c>
      <c r="H889" t="s">
        <v>16</v>
      </c>
      <c r="I889">
        <v>437.1</v>
      </c>
    </row>
    <row r="890" spans="1:9" x14ac:dyDescent="0.25">
      <c r="A890">
        <v>889</v>
      </c>
      <c r="B890">
        <v>33</v>
      </c>
      <c r="C890" t="s">
        <v>45</v>
      </c>
      <c r="D890">
        <v>146269</v>
      </c>
      <c r="E890">
        <v>92</v>
      </c>
      <c r="F890">
        <v>6</v>
      </c>
      <c r="G890">
        <v>10</v>
      </c>
      <c r="H890" t="s">
        <v>15</v>
      </c>
      <c r="I890">
        <v>486.86</v>
      </c>
    </row>
    <row r="891" spans="1:9" x14ac:dyDescent="0.25">
      <c r="A891">
        <v>890</v>
      </c>
      <c r="B891">
        <v>60</v>
      </c>
      <c r="C891" t="s">
        <v>45</v>
      </c>
      <c r="D891">
        <v>73059</v>
      </c>
      <c r="E891">
        <v>77</v>
      </c>
      <c r="F891">
        <v>3</v>
      </c>
      <c r="G891">
        <v>31</v>
      </c>
      <c r="H891" t="s">
        <v>17</v>
      </c>
      <c r="I891">
        <v>581.15</v>
      </c>
    </row>
    <row r="892" spans="1:9" x14ac:dyDescent="0.25">
      <c r="A892">
        <v>891</v>
      </c>
      <c r="B892">
        <v>22</v>
      </c>
      <c r="C892" t="s">
        <v>45</v>
      </c>
      <c r="D892">
        <v>87909</v>
      </c>
      <c r="E892">
        <v>19</v>
      </c>
      <c r="F892">
        <v>7</v>
      </c>
      <c r="G892">
        <v>39</v>
      </c>
      <c r="H892" t="s">
        <v>15</v>
      </c>
      <c r="I892">
        <v>20.52</v>
      </c>
    </row>
    <row r="893" spans="1:9" x14ac:dyDescent="0.25">
      <c r="A893">
        <v>892</v>
      </c>
      <c r="B893">
        <v>66</v>
      </c>
      <c r="C893" t="s">
        <v>45</v>
      </c>
      <c r="D893">
        <v>40932</v>
      </c>
      <c r="E893">
        <v>5</v>
      </c>
      <c r="F893">
        <v>1</v>
      </c>
      <c r="G893">
        <v>48</v>
      </c>
      <c r="H893" t="s">
        <v>15</v>
      </c>
      <c r="I893">
        <v>546.05999999999995</v>
      </c>
    </row>
    <row r="894" spans="1:9" x14ac:dyDescent="0.25">
      <c r="A894">
        <v>893</v>
      </c>
      <c r="B894">
        <v>24</v>
      </c>
      <c r="C894" t="s">
        <v>18</v>
      </c>
      <c r="D894">
        <v>60763</v>
      </c>
      <c r="E894">
        <v>92</v>
      </c>
      <c r="F894">
        <v>5</v>
      </c>
      <c r="G894">
        <v>29</v>
      </c>
      <c r="H894" t="s">
        <v>13</v>
      </c>
      <c r="I894">
        <v>320.7</v>
      </c>
    </row>
    <row r="895" spans="1:9" x14ac:dyDescent="0.25">
      <c r="A895">
        <v>894</v>
      </c>
      <c r="B895">
        <v>63</v>
      </c>
      <c r="C895" t="s">
        <v>45</v>
      </c>
      <c r="D895">
        <v>119492</v>
      </c>
      <c r="E895">
        <v>25</v>
      </c>
      <c r="F895">
        <v>8</v>
      </c>
      <c r="G895">
        <v>40</v>
      </c>
      <c r="H895" t="s">
        <v>15</v>
      </c>
      <c r="I895">
        <v>758.1</v>
      </c>
    </row>
    <row r="896" spans="1:9" x14ac:dyDescent="0.25">
      <c r="A896">
        <v>895</v>
      </c>
      <c r="B896">
        <v>27</v>
      </c>
      <c r="C896" t="s">
        <v>12</v>
      </c>
      <c r="D896">
        <v>128640</v>
      </c>
      <c r="E896">
        <v>3</v>
      </c>
      <c r="F896">
        <v>5</v>
      </c>
      <c r="G896">
        <v>2</v>
      </c>
      <c r="H896" t="s">
        <v>13</v>
      </c>
      <c r="I896">
        <v>140.52000000000001</v>
      </c>
    </row>
    <row r="897" spans="1:9" x14ac:dyDescent="0.25">
      <c r="A897">
        <v>896</v>
      </c>
      <c r="B897">
        <v>53</v>
      </c>
      <c r="C897" t="s">
        <v>12</v>
      </c>
      <c r="D897">
        <v>137307</v>
      </c>
      <c r="E897">
        <v>34</v>
      </c>
      <c r="F897">
        <v>1</v>
      </c>
      <c r="G897">
        <v>26</v>
      </c>
      <c r="H897" t="s">
        <v>15</v>
      </c>
      <c r="I897">
        <v>952.12</v>
      </c>
    </row>
    <row r="898" spans="1:9" x14ac:dyDescent="0.25">
      <c r="A898">
        <v>897</v>
      </c>
      <c r="B898">
        <v>32</v>
      </c>
      <c r="C898" t="s">
        <v>12</v>
      </c>
      <c r="D898">
        <v>81701</v>
      </c>
      <c r="E898">
        <v>96</v>
      </c>
      <c r="F898">
        <v>9</v>
      </c>
      <c r="G898">
        <v>49</v>
      </c>
      <c r="H898" t="s">
        <v>14</v>
      </c>
      <c r="I898">
        <v>77.45</v>
      </c>
    </row>
    <row r="899" spans="1:9" x14ac:dyDescent="0.25">
      <c r="A899">
        <v>898</v>
      </c>
      <c r="B899">
        <v>64</v>
      </c>
      <c r="C899" t="s">
        <v>45</v>
      </c>
      <c r="D899">
        <v>82140</v>
      </c>
      <c r="E899">
        <v>57</v>
      </c>
      <c r="F899">
        <v>3</v>
      </c>
      <c r="G899">
        <v>7</v>
      </c>
      <c r="H899" t="s">
        <v>13</v>
      </c>
      <c r="I899">
        <v>97.97</v>
      </c>
    </row>
    <row r="900" spans="1:9" x14ac:dyDescent="0.25">
      <c r="A900">
        <v>899</v>
      </c>
      <c r="B900">
        <v>48</v>
      </c>
      <c r="C900" t="s">
        <v>12</v>
      </c>
      <c r="D900">
        <v>134463</v>
      </c>
      <c r="E900">
        <v>32</v>
      </c>
      <c r="F900">
        <v>2</v>
      </c>
      <c r="G900">
        <v>7</v>
      </c>
      <c r="H900" t="s">
        <v>14</v>
      </c>
      <c r="I900">
        <v>535.1</v>
      </c>
    </row>
    <row r="901" spans="1:9" x14ac:dyDescent="0.25">
      <c r="A901">
        <v>900</v>
      </c>
      <c r="B901">
        <v>52</v>
      </c>
      <c r="C901" t="s">
        <v>18</v>
      </c>
      <c r="D901">
        <v>41544</v>
      </c>
      <c r="E901">
        <v>1</v>
      </c>
      <c r="F901">
        <v>10</v>
      </c>
      <c r="G901">
        <v>46</v>
      </c>
      <c r="H901" t="s">
        <v>13</v>
      </c>
      <c r="I901">
        <v>720.52</v>
      </c>
    </row>
    <row r="902" spans="1:9" x14ac:dyDescent="0.25">
      <c r="A902">
        <v>901</v>
      </c>
      <c r="B902">
        <v>57</v>
      </c>
      <c r="C902" t="s">
        <v>18</v>
      </c>
      <c r="D902">
        <v>135440</v>
      </c>
      <c r="E902">
        <v>46</v>
      </c>
      <c r="F902">
        <v>8</v>
      </c>
      <c r="G902">
        <v>3</v>
      </c>
      <c r="H902" t="s">
        <v>13</v>
      </c>
      <c r="I902">
        <v>442.46</v>
      </c>
    </row>
    <row r="903" spans="1:9" x14ac:dyDescent="0.25">
      <c r="A903">
        <v>902</v>
      </c>
      <c r="B903">
        <v>55</v>
      </c>
      <c r="C903" t="s">
        <v>18</v>
      </c>
      <c r="D903">
        <v>72193</v>
      </c>
      <c r="E903">
        <v>39</v>
      </c>
      <c r="F903">
        <v>2</v>
      </c>
      <c r="G903">
        <v>6</v>
      </c>
      <c r="H903" t="s">
        <v>13</v>
      </c>
      <c r="I903">
        <v>207.44</v>
      </c>
    </row>
    <row r="904" spans="1:9" x14ac:dyDescent="0.25">
      <c r="A904">
        <v>903</v>
      </c>
      <c r="B904">
        <v>33</v>
      </c>
      <c r="C904" t="s">
        <v>45</v>
      </c>
      <c r="D904">
        <v>106771</v>
      </c>
      <c r="E904">
        <v>23</v>
      </c>
      <c r="F904">
        <v>7</v>
      </c>
      <c r="G904">
        <v>3</v>
      </c>
      <c r="H904" t="s">
        <v>15</v>
      </c>
      <c r="I904">
        <v>609.79999999999995</v>
      </c>
    </row>
    <row r="905" spans="1:9" x14ac:dyDescent="0.25">
      <c r="A905">
        <v>904</v>
      </c>
      <c r="B905">
        <v>64</v>
      </c>
      <c r="C905" t="s">
        <v>18</v>
      </c>
      <c r="D905">
        <v>122557</v>
      </c>
      <c r="E905">
        <v>87</v>
      </c>
      <c r="F905">
        <v>2</v>
      </c>
      <c r="G905">
        <v>5</v>
      </c>
      <c r="H905" t="s">
        <v>16</v>
      </c>
      <c r="I905">
        <v>344.59</v>
      </c>
    </row>
    <row r="906" spans="1:9" x14ac:dyDescent="0.25">
      <c r="A906">
        <v>905</v>
      </c>
      <c r="B906">
        <v>64</v>
      </c>
      <c r="C906" t="s">
        <v>12</v>
      </c>
      <c r="D906">
        <v>139658</v>
      </c>
      <c r="E906">
        <v>77</v>
      </c>
      <c r="F906">
        <v>6</v>
      </c>
      <c r="G906">
        <v>26</v>
      </c>
      <c r="H906" t="s">
        <v>15</v>
      </c>
      <c r="I906">
        <v>71.97</v>
      </c>
    </row>
    <row r="907" spans="1:9" x14ac:dyDescent="0.25">
      <c r="A907">
        <v>906</v>
      </c>
      <c r="B907">
        <v>25</v>
      </c>
      <c r="C907" t="s">
        <v>12</v>
      </c>
      <c r="D907">
        <v>130604</v>
      </c>
      <c r="E907">
        <v>100</v>
      </c>
      <c r="F907">
        <v>4</v>
      </c>
      <c r="G907">
        <v>41</v>
      </c>
      <c r="H907" t="s">
        <v>14</v>
      </c>
      <c r="I907">
        <v>355.45</v>
      </c>
    </row>
    <row r="908" spans="1:9" x14ac:dyDescent="0.25">
      <c r="A908">
        <v>907</v>
      </c>
      <c r="B908">
        <v>62</v>
      </c>
      <c r="C908" t="s">
        <v>45</v>
      </c>
      <c r="D908">
        <v>113706</v>
      </c>
      <c r="E908">
        <v>19</v>
      </c>
      <c r="F908">
        <v>1</v>
      </c>
      <c r="G908">
        <v>13</v>
      </c>
      <c r="H908" t="s">
        <v>13</v>
      </c>
      <c r="I908">
        <v>427.68</v>
      </c>
    </row>
    <row r="909" spans="1:9" x14ac:dyDescent="0.25">
      <c r="A909">
        <v>908</v>
      </c>
      <c r="B909">
        <v>59</v>
      </c>
      <c r="C909" t="s">
        <v>45</v>
      </c>
      <c r="D909">
        <v>141567</v>
      </c>
      <c r="E909">
        <v>27</v>
      </c>
      <c r="F909">
        <v>8</v>
      </c>
      <c r="G909">
        <v>30</v>
      </c>
      <c r="H909" t="s">
        <v>15</v>
      </c>
      <c r="I909">
        <v>95.96</v>
      </c>
    </row>
    <row r="910" spans="1:9" x14ac:dyDescent="0.25">
      <c r="A910">
        <v>909</v>
      </c>
      <c r="B910">
        <v>27</v>
      </c>
      <c r="C910" t="s">
        <v>18</v>
      </c>
      <c r="D910">
        <v>89618</v>
      </c>
      <c r="E910">
        <v>49</v>
      </c>
      <c r="F910">
        <v>8</v>
      </c>
      <c r="G910">
        <v>12</v>
      </c>
      <c r="H910" t="s">
        <v>16</v>
      </c>
      <c r="I910">
        <v>831.05</v>
      </c>
    </row>
    <row r="911" spans="1:9" x14ac:dyDescent="0.25">
      <c r="A911">
        <v>910</v>
      </c>
      <c r="B911">
        <v>55</v>
      </c>
      <c r="C911" t="s">
        <v>45</v>
      </c>
      <c r="D911">
        <v>45562</v>
      </c>
      <c r="E911">
        <v>68</v>
      </c>
      <c r="F911">
        <v>3</v>
      </c>
      <c r="G911">
        <v>30</v>
      </c>
      <c r="H911" t="s">
        <v>16</v>
      </c>
      <c r="I911">
        <v>628.34</v>
      </c>
    </row>
    <row r="912" spans="1:9" x14ac:dyDescent="0.25">
      <c r="A912">
        <v>911</v>
      </c>
      <c r="B912">
        <v>66</v>
      </c>
      <c r="C912" t="s">
        <v>18</v>
      </c>
      <c r="D912">
        <v>55154</v>
      </c>
      <c r="E912">
        <v>93</v>
      </c>
      <c r="F912">
        <v>3</v>
      </c>
      <c r="G912">
        <v>19</v>
      </c>
      <c r="H912" t="s">
        <v>14</v>
      </c>
      <c r="I912">
        <v>684.88</v>
      </c>
    </row>
    <row r="913" spans="1:9" x14ac:dyDescent="0.25">
      <c r="A913">
        <v>912</v>
      </c>
      <c r="B913">
        <v>54</v>
      </c>
      <c r="C913" t="s">
        <v>12</v>
      </c>
      <c r="D913">
        <v>69676</v>
      </c>
      <c r="E913">
        <v>9</v>
      </c>
      <c r="F913">
        <v>7</v>
      </c>
      <c r="G913">
        <v>30</v>
      </c>
      <c r="H913" t="s">
        <v>17</v>
      </c>
      <c r="I913">
        <v>932.68</v>
      </c>
    </row>
    <row r="914" spans="1:9" x14ac:dyDescent="0.25">
      <c r="A914">
        <v>913</v>
      </c>
      <c r="B914">
        <v>38</v>
      </c>
      <c r="C914" t="s">
        <v>12</v>
      </c>
      <c r="D914">
        <v>45551</v>
      </c>
      <c r="E914">
        <v>100</v>
      </c>
      <c r="F914">
        <v>10</v>
      </c>
      <c r="G914">
        <v>22</v>
      </c>
      <c r="H914" t="s">
        <v>14</v>
      </c>
      <c r="I914">
        <v>99.63</v>
      </c>
    </row>
    <row r="915" spans="1:9" x14ac:dyDescent="0.25">
      <c r="A915">
        <v>914</v>
      </c>
      <c r="B915">
        <v>55</v>
      </c>
      <c r="C915" t="s">
        <v>12</v>
      </c>
      <c r="D915">
        <v>109314</v>
      </c>
      <c r="E915">
        <v>72</v>
      </c>
      <c r="F915">
        <v>10</v>
      </c>
      <c r="G915">
        <v>47</v>
      </c>
      <c r="H915" t="s">
        <v>14</v>
      </c>
      <c r="I915">
        <v>438.97</v>
      </c>
    </row>
    <row r="916" spans="1:9" x14ac:dyDescent="0.25">
      <c r="A916">
        <v>915</v>
      </c>
      <c r="B916">
        <v>18</v>
      </c>
      <c r="C916" t="s">
        <v>45</v>
      </c>
      <c r="D916">
        <v>69502</v>
      </c>
      <c r="E916">
        <v>83</v>
      </c>
      <c r="F916">
        <v>6</v>
      </c>
      <c r="G916">
        <v>32</v>
      </c>
      <c r="H916" t="s">
        <v>15</v>
      </c>
      <c r="I916">
        <v>236.83</v>
      </c>
    </row>
    <row r="917" spans="1:9" x14ac:dyDescent="0.25">
      <c r="A917">
        <v>916</v>
      </c>
      <c r="B917">
        <v>26</v>
      </c>
      <c r="C917" t="s">
        <v>12</v>
      </c>
      <c r="D917">
        <v>131020</v>
      </c>
      <c r="E917">
        <v>23</v>
      </c>
      <c r="F917">
        <v>7</v>
      </c>
      <c r="G917">
        <v>22</v>
      </c>
      <c r="H917" t="s">
        <v>16</v>
      </c>
      <c r="I917">
        <v>844.88</v>
      </c>
    </row>
    <row r="918" spans="1:9" x14ac:dyDescent="0.25">
      <c r="A918">
        <v>917</v>
      </c>
      <c r="B918">
        <v>49</v>
      </c>
      <c r="C918" t="s">
        <v>45</v>
      </c>
      <c r="D918">
        <v>30523</v>
      </c>
      <c r="E918">
        <v>83</v>
      </c>
      <c r="F918">
        <v>4</v>
      </c>
      <c r="G918">
        <v>38</v>
      </c>
      <c r="H918" t="s">
        <v>14</v>
      </c>
      <c r="I918">
        <v>564.48</v>
      </c>
    </row>
    <row r="919" spans="1:9" x14ac:dyDescent="0.25">
      <c r="A919">
        <v>918</v>
      </c>
      <c r="B919">
        <v>36</v>
      </c>
      <c r="C919" t="s">
        <v>18</v>
      </c>
      <c r="D919">
        <v>45458</v>
      </c>
      <c r="E919">
        <v>74</v>
      </c>
      <c r="F919">
        <v>6</v>
      </c>
      <c r="G919">
        <v>19</v>
      </c>
      <c r="H919" t="s">
        <v>16</v>
      </c>
      <c r="I919">
        <v>135.22999999999999</v>
      </c>
    </row>
    <row r="920" spans="1:9" x14ac:dyDescent="0.25">
      <c r="A920">
        <v>919</v>
      </c>
      <c r="B920">
        <v>28</v>
      </c>
      <c r="C920" t="s">
        <v>45</v>
      </c>
      <c r="D920">
        <v>57107</v>
      </c>
      <c r="E920">
        <v>82</v>
      </c>
      <c r="F920">
        <v>5</v>
      </c>
      <c r="G920">
        <v>2</v>
      </c>
      <c r="H920" t="s">
        <v>13</v>
      </c>
      <c r="I920">
        <v>271.17</v>
      </c>
    </row>
    <row r="921" spans="1:9" x14ac:dyDescent="0.25">
      <c r="A921">
        <v>920</v>
      </c>
      <c r="B921">
        <v>60</v>
      </c>
      <c r="C921" t="s">
        <v>45</v>
      </c>
      <c r="D921">
        <v>44555</v>
      </c>
      <c r="E921">
        <v>84</v>
      </c>
      <c r="F921">
        <v>7</v>
      </c>
      <c r="G921">
        <v>28</v>
      </c>
      <c r="H921" t="s">
        <v>14</v>
      </c>
      <c r="I921">
        <v>678.42</v>
      </c>
    </row>
    <row r="922" spans="1:9" x14ac:dyDescent="0.25">
      <c r="A922">
        <v>921</v>
      </c>
      <c r="B922">
        <v>66</v>
      </c>
      <c r="C922" t="s">
        <v>12</v>
      </c>
      <c r="D922">
        <v>122436</v>
      </c>
      <c r="E922">
        <v>73</v>
      </c>
      <c r="F922">
        <v>7</v>
      </c>
      <c r="G922">
        <v>47</v>
      </c>
      <c r="H922" t="s">
        <v>13</v>
      </c>
      <c r="I922">
        <v>666.62</v>
      </c>
    </row>
    <row r="923" spans="1:9" x14ac:dyDescent="0.25">
      <c r="A923">
        <v>922</v>
      </c>
      <c r="B923">
        <v>58</v>
      </c>
      <c r="C923" t="s">
        <v>12</v>
      </c>
      <c r="D923">
        <v>105157</v>
      </c>
      <c r="E923">
        <v>51</v>
      </c>
      <c r="F923">
        <v>3</v>
      </c>
      <c r="G923">
        <v>27</v>
      </c>
      <c r="H923" t="s">
        <v>17</v>
      </c>
      <c r="I923">
        <v>344.39</v>
      </c>
    </row>
    <row r="924" spans="1:9" x14ac:dyDescent="0.25">
      <c r="A924">
        <v>923</v>
      </c>
      <c r="B924">
        <v>68</v>
      </c>
      <c r="C924" t="s">
        <v>12</v>
      </c>
      <c r="D924">
        <v>107702</v>
      </c>
      <c r="E924">
        <v>73</v>
      </c>
      <c r="F924">
        <v>4</v>
      </c>
      <c r="G924">
        <v>2</v>
      </c>
      <c r="H924" t="s">
        <v>15</v>
      </c>
      <c r="I924">
        <v>136.03</v>
      </c>
    </row>
    <row r="925" spans="1:9" x14ac:dyDescent="0.25">
      <c r="A925">
        <v>924</v>
      </c>
      <c r="B925">
        <v>20</v>
      </c>
      <c r="C925" t="s">
        <v>12</v>
      </c>
      <c r="D925">
        <v>88778</v>
      </c>
      <c r="E925">
        <v>56</v>
      </c>
      <c r="F925">
        <v>2</v>
      </c>
      <c r="G925">
        <v>28</v>
      </c>
      <c r="H925" t="s">
        <v>16</v>
      </c>
      <c r="I925">
        <v>240.93</v>
      </c>
    </row>
    <row r="926" spans="1:9" x14ac:dyDescent="0.25">
      <c r="A926">
        <v>925</v>
      </c>
      <c r="B926">
        <v>53</v>
      </c>
      <c r="C926" t="s">
        <v>45</v>
      </c>
      <c r="D926">
        <v>32539</v>
      </c>
      <c r="E926">
        <v>22</v>
      </c>
      <c r="F926">
        <v>6</v>
      </c>
      <c r="G926">
        <v>42</v>
      </c>
      <c r="H926" t="s">
        <v>13</v>
      </c>
      <c r="I926">
        <v>536.05999999999995</v>
      </c>
    </row>
    <row r="927" spans="1:9" x14ac:dyDescent="0.25">
      <c r="A927">
        <v>926</v>
      </c>
      <c r="B927">
        <v>39</v>
      </c>
      <c r="C927" t="s">
        <v>18</v>
      </c>
      <c r="D927">
        <v>53091</v>
      </c>
      <c r="E927">
        <v>41</v>
      </c>
      <c r="F927">
        <v>9</v>
      </c>
      <c r="G927">
        <v>3</v>
      </c>
      <c r="H927" t="s">
        <v>16</v>
      </c>
      <c r="I927">
        <v>12.45</v>
      </c>
    </row>
    <row r="928" spans="1:9" x14ac:dyDescent="0.25">
      <c r="A928">
        <v>927</v>
      </c>
      <c r="B928">
        <v>46</v>
      </c>
      <c r="C928" t="s">
        <v>45</v>
      </c>
      <c r="D928">
        <v>46368</v>
      </c>
      <c r="E928">
        <v>11</v>
      </c>
      <c r="F928">
        <v>7</v>
      </c>
      <c r="G928">
        <v>17</v>
      </c>
      <c r="H928" t="s">
        <v>13</v>
      </c>
      <c r="I928">
        <v>869.05</v>
      </c>
    </row>
    <row r="929" spans="1:9" x14ac:dyDescent="0.25">
      <c r="A929">
        <v>928</v>
      </c>
      <c r="B929">
        <v>28</v>
      </c>
      <c r="C929" t="s">
        <v>12</v>
      </c>
      <c r="D929">
        <v>134592</v>
      </c>
      <c r="E929">
        <v>43</v>
      </c>
      <c r="F929">
        <v>10</v>
      </c>
      <c r="G929">
        <v>25</v>
      </c>
      <c r="H929" t="s">
        <v>17</v>
      </c>
      <c r="I929">
        <v>557.04</v>
      </c>
    </row>
    <row r="930" spans="1:9" x14ac:dyDescent="0.25">
      <c r="A930">
        <v>929</v>
      </c>
      <c r="B930">
        <v>35</v>
      </c>
      <c r="C930" t="s">
        <v>12</v>
      </c>
      <c r="D930">
        <v>48768</v>
      </c>
      <c r="E930">
        <v>43</v>
      </c>
      <c r="F930">
        <v>2</v>
      </c>
      <c r="G930">
        <v>5</v>
      </c>
      <c r="H930" t="s">
        <v>14</v>
      </c>
      <c r="I930">
        <v>746.74</v>
      </c>
    </row>
    <row r="931" spans="1:9" x14ac:dyDescent="0.25">
      <c r="A931">
        <v>930</v>
      </c>
      <c r="B931">
        <v>42</v>
      </c>
      <c r="C931" t="s">
        <v>45</v>
      </c>
      <c r="D931">
        <v>128064</v>
      </c>
      <c r="E931">
        <v>8</v>
      </c>
      <c r="F931">
        <v>8</v>
      </c>
      <c r="G931">
        <v>44</v>
      </c>
      <c r="H931" t="s">
        <v>16</v>
      </c>
      <c r="I931">
        <v>316.5</v>
      </c>
    </row>
    <row r="932" spans="1:9" x14ac:dyDescent="0.25">
      <c r="A932">
        <v>931</v>
      </c>
      <c r="B932">
        <v>59</v>
      </c>
      <c r="C932" t="s">
        <v>12</v>
      </c>
      <c r="D932">
        <v>48329</v>
      </c>
      <c r="E932">
        <v>6</v>
      </c>
      <c r="F932">
        <v>8</v>
      </c>
      <c r="G932">
        <v>26</v>
      </c>
      <c r="H932" t="s">
        <v>13</v>
      </c>
      <c r="I932">
        <v>36.76</v>
      </c>
    </row>
    <row r="933" spans="1:9" x14ac:dyDescent="0.25">
      <c r="A933">
        <v>932</v>
      </c>
      <c r="B933">
        <v>31</v>
      </c>
      <c r="C933" t="s">
        <v>45</v>
      </c>
      <c r="D933">
        <v>30969</v>
      </c>
      <c r="E933">
        <v>32</v>
      </c>
      <c r="F933">
        <v>9</v>
      </c>
      <c r="G933">
        <v>11</v>
      </c>
      <c r="H933" t="s">
        <v>15</v>
      </c>
      <c r="I933">
        <v>562.47</v>
      </c>
    </row>
    <row r="934" spans="1:9" x14ac:dyDescent="0.25">
      <c r="A934">
        <v>933</v>
      </c>
      <c r="B934">
        <v>18</v>
      </c>
      <c r="C934" t="s">
        <v>12</v>
      </c>
      <c r="D934">
        <v>117893</v>
      </c>
      <c r="E934">
        <v>84</v>
      </c>
      <c r="F934">
        <v>3</v>
      </c>
      <c r="G934">
        <v>24</v>
      </c>
      <c r="H934" t="s">
        <v>14</v>
      </c>
      <c r="I934">
        <v>413.27</v>
      </c>
    </row>
    <row r="935" spans="1:9" x14ac:dyDescent="0.25">
      <c r="A935">
        <v>934</v>
      </c>
      <c r="B935">
        <v>47</v>
      </c>
      <c r="C935" t="s">
        <v>12</v>
      </c>
      <c r="D935">
        <v>138152</v>
      </c>
      <c r="E935">
        <v>53</v>
      </c>
      <c r="F935">
        <v>2</v>
      </c>
      <c r="G935">
        <v>38</v>
      </c>
      <c r="H935" t="s">
        <v>16</v>
      </c>
      <c r="I935">
        <v>129.08000000000001</v>
      </c>
    </row>
    <row r="936" spans="1:9" x14ac:dyDescent="0.25">
      <c r="A936">
        <v>935</v>
      </c>
      <c r="B936">
        <v>48</v>
      </c>
      <c r="C936" t="s">
        <v>45</v>
      </c>
      <c r="D936">
        <v>129592</v>
      </c>
      <c r="E936">
        <v>2</v>
      </c>
      <c r="F936">
        <v>3</v>
      </c>
      <c r="G936">
        <v>26</v>
      </c>
      <c r="H936" t="s">
        <v>17</v>
      </c>
      <c r="I936">
        <v>748.46</v>
      </c>
    </row>
    <row r="937" spans="1:9" x14ac:dyDescent="0.25">
      <c r="A937">
        <v>936</v>
      </c>
      <c r="B937">
        <v>51</v>
      </c>
      <c r="C937" t="s">
        <v>12</v>
      </c>
      <c r="D937">
        <v>148784</v>
      </c>
      <c r="E937">
        <v>17</v>
      </c>
      <c r="F937">
        <v>1</v>
      </c>
      <c r="G937">
        <v>50</v>
      </c>
      <c r="H937" t="s">
        <v>13</v>
      </c>
      <c r="I937">
        <v>302.81</v>
      </c>
    </row>
    <row r="938" spans="1:9" x14ac:dyDescent="0.25">
      <c r="A938">
        <v>937</v>
      </c>
      <c r="B938">
        <v>43</v>
      </c>
      <c r="C938" t="s">
        <v>18</v>
      </c>
      <c r="D938">
        <v>42201</v>
      </c>
      <c r="E938">
        <v>76</v>
      </c>
      <c r="F938">
        <v>1</v>
      </c>
      <c r="G938">
        <v>50</v>
      </c>
      <c r="H938" t="s">
        <v>13</v>
      </c>
      <c r="I938">
        <v>106.48</v>
      </c>
    </row>
    <row r="939" spans="1:9" x14ac:dyDescent="0.25">
      <c r="A939">
        <v>938</v>
      </c>
      <c r="B939">
        <v>64</v>
      </c>
      <c r="C939" t="s">
        <v>45</v>
      </c>
      <c r="D939">
        <v>65498</v>
      </c>
      <c r="E939">
        <v>23</v>
      </c>
      <c r="F939">
        <v>5</v>
      </c>
      <c r="G939">
        <v>24</v>
      </c>
      <c r="H939" t="s">
        <v>17</v>
      </c>
      <c r="I939">
        <v>351.94</v>
      </c>
    </row>
    <row r="940" spans="1:9" x14ac:dyDescent="0.25">
      <c r="A940">
        <v>939</v>
      </c>
      <c r="B940">
        <v>37</v>
      </c>
      <c r="C940" t="s">
        <v>12</v>
      </c>
      <c r="D940">
        <v>70213</v>
      </c>
      <c r="E940">
        <v>84</v>
      </c>
      <c r="F940">
        <v>3</v>
      </c>
      <c r="G940">
        <v>37</v>
      </c>
      <c r="H940" t="s">
        <v>13</v>
      </c>
      <c r="I940">
        <v>785.53</v>
      </c>
    </row>
    <row r="941" spans="1:9" x14ac:dyDescent="0.25">
      <c r="A941">
        <v>940</v>
      </c>
      <c r="B941">
        <v>56</v>
      </c>
      <c r="C941" t="s">
        <v>18</v>
      </c>
      <c r="D941">
        <v>51736</v>
      </c>
      <c r="E941">
        <v>3</v>
      </c>
      <c r="F941">
        <v>9</v>
      </c>
      <c r="G941">
        <v>25</v>
      </c>
      <c r="H941" t="s">
        <v>13</v>
      </c>
      <c r="I941">
        <v>666.01</v>
      </c>
    </row>
    <row r="942" spans="1:9" x14ac:dyDescent="0.25">
      <c r="A942">
        <v>941</v>
      </c>
      <c r="B942">
        <v>54</v>
      </c>
      <c r="C942" t="s">
        <v>12</v>
      </c>
      <c r="D942">
        <v>33706</v>
      </c>
      <c r="E942">
        <v>64</v>
      </c>
      <c r="F942">
        <v>9</v>
      </c>
      <c r="G942">
        <v>1</v>
      </c>
      <c r="H942" t="s">
        <v>17</v>
      </c>
      <c r="I942">
        <v>371.93</v>
      </c>
    </row>
    <row r="943" spans="1:9" x14ac:dyDescent="0.25">
      <c r="A943">
        <v>942</v>
      </c>
      <c r="B943">
        <v>36</v>
      </c>
      <c r="C943" t="s">
        <v>12</v>
      </c>
      <c r="D943">
        <v>33087</v>
      </c>
      <c r="E943">
        <v>69</v>
      </c>
      <c r="F943">
        <v>7</v>
      </c>
      <c r="G943">
        <v>21</v>
      </c>
      <c r="H943" t="s">
        <v>15</v>
      </c>
      <c r="I943">
        <v>651.79999999999995</v>
      </c>
    </row>
    <row r="944" spans="1:9" x14ac:dyDescent="0.25">
      <c r="A944">
        <v>943</v>
      </c>
      <c r="B944">
        <v>54</v>
      </c>
      <c r="C944" t="s">
        <v>18</v>
      </c>
      <c r="D944">
        <v>140081</v>
      </c>
      <c r="E944">
        <v>100</v>
      </c>
      <c r="F944">
        <v>1</v>
      </c>
      <c r="G944">
        <v>25</v>
      </c>
      <c r="H944" t="s">
        <v>14</v>
      </c>
      <c r="I944">
        <v>30.51</v>
      </c>
    </row>
    <row r="945" spans="1:9" x14ac:dyDescent="0.25">
      <c r="A945">
        <v>944</v>
      </c>
      <c r="B945">
        <v>47</v>
      </c>
      <c r="C945" t="s">
        <v>45</v>
      </c>
      <c r="D945">
        <v>37014</v>
      </c>
      <c r="E945">
        <v>76</v>
      </c>
      <c r="F945">
        <v>5</v>
      </c>
      <c r="G945">
        <v>34</v>
      </c>
      <c r="H945" t="s">
        <v>14</v>
      </c>
      <c r="I945">
        <v>880.18</v>
      </c>
    </row>
    <row r="946" spans="1:9" x14ac:dyDescent="0.25">
      <c r="A946">
        <v>945</v>
      </c>
      <c r="B946">
        <v>65</v>
      </c>
      <c r="C946" t="s">
        <v>12</v>
      </c>
      <c r="D946">
        <v>42779</v>
      </c>
      <c r="E946">
        <v>81</v>
      </c>
      <c r="F946">
        <v>5</v>
      </c>
      <c r="G946">
        <v>38</v>
      </c>
      <c r="H946" t="s">
        <v>17</v>
      </c>
      <c r="I946">
        <v>594.91999999999996</v>
      </c>
    </row>
    <row r="947" spans="1:9" x14ac:dyDescent="0.25">
      <c r="A947">
        <v>946</v>
      </c>
      <c r="B947">
        <v>59</v>
      </c>
      <c r="C947" t="s">
        <v>12</v>
      </c>
      <c r="D947">
        <v>149936</v>
      </c>
      <c r="E947">
        <v>80</v>
      </c>
      <c r="F947">
        <v>7</v>
      </c>
      <c r="G947">
        <v>37</v>
      </c>
      <c r="H947" t="s">
        <v>16</v>
      </c>
      <c r="I947">
        <v>406.6</v>
      </c>
    </row>
    <row r="948" spans="1:9" x14ac:dyDescent="0.25">
      <c r="A948">
        <v>947</v>
      </c>
      <c r="B948">
        <v>60</v>
      </c>
      <c r="C948" t="s">
        <v>45</v>
      </c>
      <c r="D948">
        <v>111493</v>
      </c>
      <c r="E948">
        <v>40</v>
      </c>
      <c r="F948">
        <v>10</v>
      </c>
      <c r="G948">
        <v>8</v>
      </c>
      <c r="H948" t="s">
        <v>16</v>
      </c>
      <c r="I948">
        <v>190.34</v>
      </c>
    </row>
    <row r="949" spans="1:9" x14ac:dyDescent="0.25">
      <c r="A949">
        <v>948</v>
      </c>
      <c r="B949">
        <v>21</v>
      </c>
      <c r="C949" t="s">
        <v>45</v>
      </c>
      <c r="D949">
        <v>117520</v>
      </c>
      <c r="E949">
        <v>34</v>
      </c>
      <c r="F949">
        <v>3</v>
      </c>
      <c r="G949">
        <v>32</v>
      </c>
      <c r="H949" t="s">
        <v>15</v>
      </c>
      <c r="I949">
        <v>256.98</v>
      </c>
    </row>
    <row r="950" spans="1:9" x14ac:dyDescent="0.25">
      <c r="A950">
        <v>949</v>
      </c>
      <c r="B950">
        <v>62</v>
      </c>
      <c r="C950" t="s">
        <v>45</v>
      </c>
      <c r="D950">
        <v>128667</v>
      </c>
      <c r="E950">
        <v>37</v>
      </c>
      <c r="F950">
        <v>5</v>
      </c>
      <c r="G950">
        <v>17</v>
      </c>
      <c r="H950" t="s">
        <v>15</v>
      </c>
      <c r="I950">
        <v>150.62</v>
      </c>
    </row>
    <row r="951" spans="1:9" x14ac:dyDescent="0.25">
      <c r="A951">
        <v>950</v>
      </c>
      <c r="B951">
        <v>45</v>
      </c>
      <c r="C951" t="s">
        <v>45</v>
      </c>
      <c r="D951">
        <v>114390</v>
      </c>
      <c r="E951">
        <v>38</v>
      </c>
      <c r="F951">
        <v>3</v>
      </c>
      <c r="G951">
        <v>9</v>
      </c>
      <c r="H951" t="s">
        <v>16</v>
      </c>
      <c r="I951">
        <v>663.25</v>
      </c>
    </row>
    <row r="952" spans="1:9" x14ac:dyDescent="0.25">
      <c r="A952">
        <v>951</v>
      </c>
      <c r="B952">
        <v>41</v>
      </c>
      <c r="C952" t="s">
        <v>45</v>
      </c>
      <c r="D952">
        <v>134487</v>
      </c>
      <c r="E952">
        <v>7</v>
      </c>
      <c r="F952">
        <v>10</v>
      </c>
      <c r="G952">
        <v>50</v>
      </c>
      <c r="H952" t="s">
        <v>14</v>
      </c>
      <c r="I952">
        <v>556.1</v>
      </c>
    </row>
    <row r="953" spans="1:9" x14ac:dyDescent="0.25">
      <c r="A953">
        <v>952</v>
      </c>
      <c r="B953">
        <v>29</v>
      </c>
      <c r="C953" t="s">
        <v>18</v>
      </c>
      <c r="D953">
        <v>45164</v>
      </c>
      <c r="E953">
        <v>54</v>
      </c>
      <c r="F953">
        <v>8</v>
      </c>
      <c r="G953">
        <v>45</v>
      </c>
      <c r="H953" t="s">
        <v>16</v>
      </c>
      <c r="I953">
        <v>915.62</v>
      </c>
    </row>
    <row r="954" spans="1:9" x14ac:dyDescent="0.25">
      <c r="A954">
        <v>953</v>
      </c>
      <c r="B954">
        <v>51</v>
      </c>
      <c r="C954" t="s">
        <v>12</v>
      </c>
      <c r="D954">
        <v>104830</v>
      </c>
      <c r="E954">
        <v>43</v>
      </c>
      <c r="F954">
        <v>9</v>
      </c>
      <c r="G954">
        <v>36</v>
      </c>
      <c r="H954" t="s">
        <v>15</v>
      </c>
      <c r="I954">
        <v>593.91999999999996</v>
      </c>
    </row>
    <row r="955" spans="1:9" x14ac:dyDescent="0.25">
      <c r="A955">
        <v>954</v>
      </c>
      <c r="B955">
        <v>44</v>
      </c>
      <c r="C955" t="s">
        <v>12</v>
      </c>
      <c r="D955">
        <v>123822</v>
      </c>
      <c r="E955">
        <v>20</v>
      </c>
      <c r="F955">
        <v>4</v>
      </c>
      <c r="G955">
        <v>8</v>
      </c>
      <c r="H955" t="s">
        <v>14</v>
      </c>
      <c r="I955">
        <v>209.75</v>
      </c>
    </row>
    <row r="956" spans="1:9" x14ac:dyDescent="0.25">
      <c r="A956">
        <v>955</v>
      </c>
      <c r="B956">
        <v>30</v>
      </c>
      <c r="C956" t="s">
        <v>12</v>
      </c>
      <c r="D956">
        <v>50661</v>
      </c>
      <c r="E956">
        <v>89</v>
      </c>
      <c r="F956">
        <v>9</v>
      </c>
      <c r="G956">
        <v>22</v>
      </c>
      <c r="H956" t="s">
        <v>15</v>
      </c>
      <c r="I956">
        <v>630.37</v>
      </c>
    </row>
    <row r="957" spans="1:9" x14ac:dyDescent="0.25">
      <c r="A957">
        <v>956</v>
      </c>
      <c r="B957">
        <v>60</v>
      </c>
      <c r="C957" t="s">
        <v>45</v>
      </c>
      <c r="D957">
        <v>48802</v>
      </c>
      <c r="E957">
        <v>68</v>
      </c>
      <c r="F957">
        <v>1</v>
      </c>
      <c r="G957">
        <v>40</v>
      </c>
      <c r="H957" t="s">
        <v>16</v>
      </c>
      <c r="I957">
        <v>296.76</v>
      </c>
    </row>
    <row r="958" spans="1:9" x14ac:dyDescent="0.25">
      <c r="A958">
        <v>957</v>
      </c>
      <c r="B958">
        <v>60</v>
      </c>
      <c r="C958" t="s">
        <v>18</v>
      </c>
      <c r="D958">
        <v>56429</v>
      </c>
      <c r="E958">
        <v>69</v>
      </c>
      <c r="F958">
        <v>9</v>
      </c>
      <c r="G958">
        <v>32</v>
      </c>
      <c r="H958" t="s">
        <v>16</v>
      </c>
      <c r="I958">
        <v>894.95</v>
      </c>
    </row>
    <row r="959" spans="1:9" x14ac:dyDescent="0.25">
      <c r="A959">
        <v>958</v>
      </c>
      <c r="B959">
        <v>26</v>
      </c>
      <c r="C959" t="s">
        <v>18</v>
      </c>
      <c r="D959">
        <v>41126</v>
      </c>
      <c r="E959">
        <v>37</v>
      </c>
      <c r="F959">
        <v>9</v>
      </c>
      <c r="G959">
        <v>44</v>
      </c>
      <c r="H959" t="s">
        <v>17</v>
      </c>
      <c r="I959">
        <v>100.64</v>
      </c>
    </row>
    <row r="960" spans="1:9" x14ac:dyDescent="0.25">
      <c r="A960">
        <v>959</v>
      </c>
      <c r="B960">
        <v>38</v>
      </c>
      <c r="C960" t="s">
        <v>18</v>
      </c>
      <c r="D960">
        <v>99054</v>
      </c>
      <c r="E960">
        <v>59</v>
      </c>
      <c r="F960">
        <v>6</v>
      </c>
      <c r="G960">
        <v>4</v>
      </c>
      <c r="H960" t="s">
        <v>16</v>
      </c>
      <c r="I960">
        <v>174.22</v>
      </c>
    </row>
    <row r="961" spans="1:9" x14ac:dyDescent="0.25">
      <c r="A961">
        <v>960</v>
      </c>
      <c r="B961">
        <v>61</v>
      </c>
      <c r="C961" t="s">
        <v>18</v>
      </c>
      <c r="D961">
        <v>50349</v>
      </c>
      <c r="E961">
        <v>76</v>
      </c>
      <c r="F961">
        <v>9</v>
      </c>
      <c r="G961">
        <v>42</v>
      </c>
      <c r="H961" t="s">
        <v>17</v>
      </c>
      <c r="I961">
        <v>957.5</v>
      </c>
    </row>
    <row r="962" spans="1:9" x14ac:dyDescent="0.25">
      <c r="A962">
        <v>961</v>
      </c>
      <c r="B962">
        <v>23</v>
      </c>
      <c r="C962" t="s">
        <v>18</v>
      </c>
      <c r="D962">
        <v>60808</v>
      </c>
      <c r="E962">
        <v>96</v>
      </c>
      <c r="F962">
        <v>2</v>
      </c>
      <c r="G962">
        <v>12</v>
      </c>
      <c r="H962" t="s">
        <v>13</v>
      </c>
      <c r="I962">
        <v>231.03</v>
      </c>
    </row>
    <row r="963" spans="1:9" x14ac:dyDescent="0.25">
      <c r="A963">
        <v>962</v>
      </c>
      <c r="B963">
        <v>60</v>
      </c>
      <c r="C963" t="s">
        <v>12</v>
      </c>
      <c r="D963">
        <v>98537</v>
      </c>
      <c r="E963">
        <v>71</v>
      </c>
      <c r="F963">
        <v>9</v>
      </c>
      <c r="G963">
        <v>45</v>
      </c>
      <c r="H963" t="s">
        <v>16</v>
      </c>
      <c r="I963">
        <v>725.67</v>
      </c>
    </row>
    <row r="964" spans="1:9" x14ac:dyDescent="0.25">
      <c r="A964">
        <v>963</v>
      </c>
      <c r="B964">
        <v>66</v>
      </c>
      <c r="C964" t="s">
        <v>18</v>
      </c>
      <c r="D964">
        <v>72885</v>
      </c>
      <c r="E964">
        <v>1</v>
      </c>
      <c r="F964">
        <v>9</v>
      </c>
      <c r="G964">
        <v>33</v>
      </c>
      <c r="H964" t="s">
        <v>16</v>
      </c>
      <c r="I964">
        <v>654.48</v>
      </c>
    </row>
    <row r="965" spans="1:9" x14ac:dyDescent="0.25">
      <c r="A965">
        <v>964</v>
      </c>
      <c r="B965">
        <v>26</v>
      </c>
      <c r="C965" t="s">
        <v>45</v>
      </c>
      <c r="D965">
        <v>109221</v>
      </c>
      <c r="E965">
        <v>91</v>
      </c>
      <c r="F965">
        <v>2</v>
      </c>
      <c r="G965">
        <v>44</v>
      </c>
      <c r="H965" t="s">
        <v>15</v>
      </c>
      <c r="I965">
        <v>660.05</v>
      </c>
    </row>
    <row r="966" spans="1:9" x14ac:dyDescent="0.25">
      <c r="A966">
        <v>965</v>
      </c>
      <c r="B966">
        <v>49</v>
      </c>
      <c r="C966" t="s">
        <v>45</v>
      </c>
      <c r="D966">
        <v>94218</v>
      </c>
      <c r="E966">
        <v>4</v>
      </c>
      <c r="F966">
        <v>10</v>
      </c>
      <c r="G966">
        <v>5</v>
      </c>
      <c r="H966" t="s">
        <v>14</v>
      </c>
      <c r="I966">
        <v>287.36</v>
      </c>
    </row>
    <row r="967" spans="1:9" x14ac:dyDescent="0.25">
      <c r="A967">
        <v>966</v>
      </c>
      <c r="B967">
        <v>58</v>
      </c>
      <c r="C967" t="s">
        <v>45</v>
      </c>
      <c r="D967">
        <v>133888</v>
      </c>
      <c r="E967">
        <v>92</v>
      </c>
      <c r="F967">
        <v>10</v>
      </c>
      <c r="G967">
        <v>14</v>
      </c>
      <c r="H967" t="s">
        <v>13</v>
      </c>
      <c r="I967">
        <v>628.29999999999995</v>
      </c>
    </row>
    <row r="968" spans="1:9" x14ac:dyDescent="0.25">
      <c r="A968">
        <v>967</v>
      </c>
      <c r="B968">
        <v>46</v>
      </c>
      <c r="C968" t="s">
        <v>18</v>
      </c>
      <c r="D968">
        <v>67361</v>
      </c>
      <c r="E968">
        <v>80</v>
      </c>
      <c r="F968">
        <v>6</v>
      </c>
      <c r="G968">
        <v>25</v>
      </c>
      <c r="H968" t="s">
        <v>15</v>
      </c>
      <c r="I968">
        <v>350.08</v>
      </c>
    </row>
    <row r="969" spans="1:9" x14ac:dyDescent="0.25">
      <c r="A969">
        <v>968</v>
      </c>
      <c r="B969">
        <v>23</v>
      </c>
      <c r="C969" t="s">
        <v>18</v>
      </c>
      <c r="D969">
        <v>74773</v>
      </c>
      <c r="E969">
        <v>16</v>
      </c>
      <c r="F969">
        <v>2</v>
      </c>
      <c r="G969">
        <v>42</v>
      </c>
      <c r="H969" t="s">
        <v>16</v>
      </c>
      <c r="I969">
        <v>626.04999999999995</v>
      </c>
    </row>
    <row r="970" spans="1:9" x14ac:dyDescent="0.25">
      <c r="A970">
        <v>969</v>
      </c>
      <c r="B970">
        <v>61</v>
      </c>
      <c r="C970" t="s">
        <v>45</v>
      </c>
      <c r="D970">
        <v>38209</v>
      </c>
      <c r="E970">
        <v>79</v>
      </c>
      <c r="F970">
        <v>8</v>
      </c>
      <c r="G970">
        <v>40</v>
      </c>
      <c r="H970" t="s">
        <v>15</v>
      </c>
      <c r="I970">
        <v>724.23</v>
      </c>
    </row>
    <row r="971" spans="1:9" x14ac:dyDescent="0.25">
      <c r="A971">
        <v>970</v>
      </c>
      <c r="B971">
        <v>68</v>
      </c>
      <c r="C971" t="s">
        <v>18</v>
      </c>
      <c r="D971">
        <v>40471</v>
      </c>
      <c r="E971">
        <v>28</v>
      </c>
      <c r="F971">
        <v>3</v>
      </c>
      <c r="G971">
        <v>33</v>
      </c>
      <c r="H971" t="s">
        <v>16</v>
      </c>
      <c r="I971">
        <v>40.89</v>
      </c>
    </row>
    <row r="972" spans="1:9" x14ac:dyDescent="0.25">
      <c r="A972">
        <v>971</v>
      </c>
      <c r="B972">
        <v>58</v>
      </c>
      <c r="C972" t="s">
        <v>18</v>
      </c>
      <c r="D972">
        <v>51913</v>
      </c>
      <c r="E972">
        <v>14</v>
      </c>
      <c r="F972">
        <v>4</v>
      </c>
      <c r="G972">
        <v>21</v>
      </c>
      <c r="H972" t="s">
        <v>13</v>
      </c>
      <c r="I972">
        <v>733.63</v>
      </c>
    </row>
    <row r="973" spans="1:9" x14ac:dyDescent="0.25">
      <c r="A973">
        <v>972</v>
      </c>
      <c r="B973">
        <v>41</v>
      </c>
      <c r="C973" t="s">
        <v>12</v>
      </c>
      <c r="D973">
        <v>120294</v>
      </c>
      <c r="E973">
        <v>79</v>
      </c>
      <c r="F973">
        <v>5</v>
      </c>
      <c r="G973">
        <v>44</v>
      </c>
      <c r="H973" t="s">
        <v>17</v>
      </c>
      <c r="I973">
        <v>942.03</v>
      </c>
    </row>
    <row r="974" spans="1:9" x14ac:dyDescent="0.25">
      <c r="A974">
        <v>973</v>
      </c>
      <c r="B974">
        <v>43</v>
      </c>
      <c r="C974" t="s">
        <v>12</v>
      </c>
      <c r="D974">
        <v>130645</v>
      </c>
      <c r="E974">
        <v>34</v>
      </c>
      <c r="F974">
        <v>10</v>
      </c>
      <c r="G974">
        <v>5</v>
      </c>
      <c r="H974" t="s">
        <v>16</v>
      </c>
      <c r="I974">
        <v>833.69</v>
      </c>
    </row>
    <row r="975" spans="1:9" x14ac:dyDescent="0.25">
      <c r="A975">
        <v>974</v>
      </c>
      <c r="B975">
        <v>48</v>
      </c>
      <c r="C975" t="s">
        <v>45</v>
      </c>
      <c r="D975">
        <v>75118</v>
      </c>
      <c r="E975">
        <v>84</v>
      </c>
      <c r="F975">
        <v>6</v>
      </c>
      <c r="G975">
        <v>41</v>
      </c>
      <c r="H975" t="s">
        <v>14</v>
      </c>
      <c r="I975">
        <v>711.37</v>
      </c>
    </row>
    <row r="976" spans="1:9" x14ac:dyDescent="0.25">
      <c r="A976">
        <v>975</v>
      </c>
      <c r="B976">
        <v>49</v>
      </c>
      <c r="C976" t="s">
        <v>18</v>
      </c>
      <c r="D976">
        <v>79546</v>
      </c>
      <c r="E976">
        <v>26</v>
      </c>
      <c r="F976">
        <v>5</v>
      </c>
      <c r="G976">
        <v>12</v>
      </c>
      <c r="H976" t="s">
        <v>13</v>
      </c>
      <c r="I976">
        <v>935.73</v>
      </c>
    </row>
    <row r="977" spans="1:9" x14ac:dyDescent="0.25">
      <c r="A977">
        <v>976</v>
      </c>
      <c r="B977">
        <v>30</v>
      </c>
      <c r="C977" t="s">
        <v>12</v>
      </c>
      <c r="D977">
        <v>54930</v>
      </c>
      <c r="E977">
        <v>12</v>
      </c>
      <c r="F977">
        <v>9</v>
      </c>
      <c r="G977">
        <v>13</v>
      </c>
      <c r="H977" t="s">
        <v>14</v>
      </c>
      <c r="I977">
        <v>724.88</v>
      </c>
    </row>
    <row r="978" spans="1:9" x14ac:dyDescent="0.25">
      <c r="A978">
        <v>977</v>
      </c>
      <c r="B978">
        <v>37</v>
      </c>
      <c r="C978" t="s">
        <v>12</v>
      </c>
      <c r="D978">
        <v>100314</v>
      </c>
      <c r="E978">
        <v>71</v>
      </c>
      <c r="F978">
        <v>5</v>
      </c>
      <c r="G978">
        <v>19</v>
      </c>
      <c r="H978" t="s">
        <v>16</v>
      </c>
      <c r="I978">
        <v>692.74</v>
      </c>
    </row>
    <row r="979" spans="1:9" x14ac:dyDescent="0.25">
      <c r="A979">
        <v>978</v>
      </c>
      <c r="B979">
        <v>45</v>
      </c>
      <c r="C979" t="s">
        <v>18</v>
      </c>
      <c r="D979">
        <v>91381</v>
      </c>
      <c r="E979">
        <v>48</v>
      </c>
      <c r="F979">
        <v>8</v>
      </c>
      <c r="G979">
        <v>16</v>
      </c>
      <c r="H979" t="s">
        <v>15</v>
      </c>
      <c r="I979">
        <v>253.13</v>
      </c>
    </row>
    <row r="980" spans="1:9" x14ac:dyDescent="0.25">
      <c r="A980">
        <v>979</v>
      </c>
      <c r="B980">
        <v>66</v>
      </c>
      <c r="C980" t="s">
        <v>18</v>
      </c>
      <c r="D980">
        <v>74055</v>
      </c>
      <c r="E980">
        <v>100</v>
      </c>
      <c r="F980">
        <v>6</v>
      </c>
      <c r="G980">
        <v>17</v>
      </c>
      <c r="H980" t="s">
        <v>15</v>
      </c>
      <c r="I980">
        <v>318.7</v>
      </c>
    </row>
    <row r="981" spans="1:9" x14ac:dyDescent="0.25">
      <c r="A981">
        <v>980</v>
      </c>
      <c r="B981">
        <v>45</v>
      </c>
      <c r="C981" t="s">
        <v>18</v>
      </c>
      <c r="D981">
        <v>135047</v>
      </c>
      <c r="E981">
        <v>11</v>
      </c>
      <c r="F981">
        <v>9</v>
      </c>
      <c r="G981">
        <v>42</v>
      </c>
      <c r="H981" t="s">
        <v>17</v>
      </c>
      <c r="I981">
        <v>422.93</v>
      </c>
    </row>
    <row r="982" spans="1:9" x14ac:dyDescent="0.25">
      <c r="A982">
        <v>981</v>
      </c>
      <c r="B982">
        <v>30</v>
      </c>
      <c r="C982" t="s">
        <v>12</v>
      </c>
      <c r="D982">
        <v>117373</v>
      </c>
      <c r="E982">
        <v>32</v>
      </c>
      <c r="F982">
        <v>1</v>
      </c>
      <c r="G982">
        <v>49</v>
      </c>
      <c r="H982" t="s">
        <v>13</v>
      </c>
      <c r="I982">
        <v>129.35</v>
      </c>
    </row>
    <row r="983" spans="1:9" x14ac:dyDescent="0.25">
      <c r="A983">
        <v>982</v>
      </c>
      <c r="B983">
        <v>59</v>
      </c>
      <c r="C983" t="s">
        <v>45</v>
      </c>
      <c r="D983">
        <v>87884</v>
      </c>
      <c r="E983">
        <v>79</v>
      </c>
      <c r="F983">
        <v>9</v>
      </c>
      <c r="G983">
        <v>28</v>
      </c>
      <c r="H983" t="s">
        <v>16</v>
      </c>
      <c r="I983">
        <v>491.55</v>
      </c>
    </row>
    <row r="984" spans="1:9" x14ac:dyDescent="0.25">
      <c r="A984">
        <v>983</v>
      </c>
      <c r="B984">
        <v>68</v>
      </c>
      <c r="C984" t="s">
        <v>18</v>
      </c>
      <c r="D984">
        <v>117203</v>
      </c>
      <c r="E984">
        <v>76</v>
      </c>
      <c r="F984">
        <v>7</v>
      </c>
      <c r="G984">
        <v>38</v>
      </c>
      <c r="H984" t="s">
        <v>14</v>
      </c>
      <c r="I984">
        <v>363.94</v>
      </c>
    </row>
    <row r="985" spans="1:9" x14ac:dyDescent="0.25">
      <c r="A985">
        <v>984</v>
      </c>
      <c r="B985">
        <v>51</v>
      </c>
      <c r="C985" t="s">
        <v>45</v>
      </c>
      <c r="D985">
        <v>91682</v>
      </c>
      <c r="E985">
        <v>27</v>
      </c>
      <c r="F985">
        <v>9</v>
      </c>
      <c r="G985">
        <v>49</v>
      </c>
      <c r="H985" t="s">
        <v>14</v>
      </c>
      <c r="I985">
        <v>990.87</v>
      </c>
    </row>
    <row r="986" spans="1:9" x14ac:dyDescent="0.25">
      <c r="A986">
        <v>985</v>
      </c>
      <c r="B986">
        <v>35</v>
      </c>
      <c r="C986" t="s">
        <v>45</v>
      </c>
      <c r="D986">
        <v>82057</v>
      </c>
      <c r="E986">
        <v>66</v>
      </c>
      <c r="F986">
        <v>4</v>
      </c>
      <c r="G986">
        <v>9</v>
      </c>
      <c r="H986" t="s">
        <v>15</v>
      </c>
      <c r="I986">
        <v>683.93</v>
      </c>
    </row>
    <row r="987" spans="1:9" x14ac:dyDescent="0.25">
      <c r="A987">
        <v>986</v>
      </c>
      <c r="B987">
        <v>66</v>
      </c>
      <c r="C987" t="s">
        <v>45</v>
      </c>
      <c r="D987">
        <v>78149</v>
      </c>
      <c r="E987">
        <v>2</v>
      </c>
      <c r="F987">
        <v>10</v>
      </c>
      <c r="G987">
        <v>9</v>
      </c>
      <c r="H987" t="s">
        <v>13</v>
      </c>
      <c r="I987">
        <v>579.27</v>
      </c>
    </row>
    <row r="988" spans="1:9" x14ac:dyDescent="0.25">
      <c r="A988">
        <v>987</v>
      </c>
      <c r="B988">
        <v>22</v>
      </c>
      <c r="C988" t="s">
        <v>12</v>
      </c>
      <c r="D988">
        <v>80049</v>
      </c>
      <c r="E988">
        <v>1</v>
      </c>
      <c r="F988">
        <v>10</v>
      </c>
      <c r="G988">
        <v>47</v>
      </c>
      <c r="H988" t="s">
        <v>15</v>
      </c>
      <c r="I988">
        <v>16.97</v>
      </c>
    </row>
    <row r="989" spans="1:9" x14ac:dyDescent="0.25">
      <c r="A989">
        <v>988</v>
      </c>
      <c r="B989">
        <v>26</v>
      </c>
      <c r="C989" t="s">
        <v>12</v>
      </c>
      <c r="D989">
        <v>148451</v>
      </c>
      <c r="E989">
        <v>78</v>
      </c>
      <c r="F989">
        <v>5</v>
      </c>
      <c r="G989">
        <v>14</v>
      </c>
      <c r="H989" t="s">
        <v>16</v>
      </c>
      <c r="I989">
        <v>99.19</v>
      </c>
    </row>
    <row r="990" spans="1:9" x14ac:dyDescent="0.25">
      <c r="A990">
        <v>989</v>
      </c>
      <c r="B990">
        <v>26</v>
      </c>
      <c r="C990" t="s">
        <v>12</v>
      </c>
      <c r="D990">
        <v>45147</v>
      </c>
      <c r="E990">
        <v>93</v>
      </c>
      <c r="F990">
        <v>1</v>
      </c>
      <c r="G990">
        <v>32</v>
      </c>
      <c r="H990" t="s">
        <v>13</v>
      </c>
      <c r="I990">
        <v>750.58</v>
      </c>
    </row>
    <row r="991" spans="1:9" x14ac:dyDescent="0.25">
      <c r="A991">
        <v>990</v>
      </c>
      <c r="B991">
        <v>31</v>
      </c>
      <c r="C991" t="s">
        <v>45</v>
      </c>
      <c r="D991">
        <v>45695</v>
      </c>
      <c r="E991">
        <v>36</v>
      </c>
      <c r="F991">
        <v>2</v>
      </c>
      <c r="G991">
        <v>31</v>
      </c>
      <c r="H991" t="s">
        <v>14</v>
      </c>
      <c r="I991">
        <v>864.67</v>
      </c>
    </row>
    <row r="992" spans="1:9" x14ac:dyDescent="0.25">
      <c r="A992">
        <v>991</v>
      </c>
      <c r="B992">
        <v>21</v>
      </c>
      <c r="C992" t="s">
        <v>45</v>
      </c>
      <c r="D992">
        <v>80264</v>
      </c>
      <c r="E992">
        <v>41</v>
      </c>
      <c r="F992">
        <v>4</v>
      </c>
      <c r="G992">
        <v>26</v>
      </c>
      <c r="H992" t="s">
        <v>15</v>
      </c>
      <c r="I992">
        <v>458.93</v>
      </c>
    </row>
    <row r="993" spans="1:9" x14ac:dyDescent="0.25">
      <c r="A993">
        <v>992</v>
      </c>
      <c r="B993">
        <v>53</v>
      </c>
      <c r="C993" t="s">
        <v>45</v>
      </c>
      <c r="D993">
        <v>83578</v>
      </c>
      <c r="E993">
        <v>97</v>
      </c>
      <c r="F993">
        <v>5</v>
      </c>
      <c r="G993">
        <v>50</v>
      </c>
      <c r="H993" t="s">
        <v>15</v>
      </c>
      <c r="I993">
        <v>917.08</v>
      </c>
    </row>
    <row r="994" spans="1:9" x14ac:dyDescent="0.25">
      <c r="A994">
        <v>993</v>
      </c>
      <c r="B994">
        <v>22</v>
      </c>
      <c r="C994" t="s">
        <v>18</v>
      </c>
      <c r="D994">
        <v>125479</v>
      </c>
      <c r="E994">
        <v>57</v>
      </c>
      <c r="F994">
        <v>8</v>
      </c>
      <c r="G994">
        <v>27</v>
      </c>
      <c r="H994" t="s">
        <v>13</v>
      </c>
      <c r="I994">
        <v>139.75</v>
      </c>
    </row>
    <row r="995" spans="1:9" x14ac:dyDescent="0.25">
      <c r="A995">
        <v>994</v>
      </c>
      <c r="B995">
        <v>29</v>
      </c>
      <c r="C995" t="s">
        <v>18</v>
      </c>
      <c r="D995">
        <v>64799</v>
      </c>
      <c r="E995">
        <v>42</v>
      </c>
      <c r="F995">
        <v>5</v>
      </c>
      <c r="G995">
        <v>19</v>
      </c>
      <c r="H995" t="s">
        <v>14</v>
      </c>
      <c r="I995">
        <v>967.26</v>
      </c>
    </row>
    <row r="996" spans="1:9" x14ac:dyDescent="0.25">
      <c r="A996">
        <v>995</v>
      </c>
      <c r="B996">
        <v>60</v>
      </c>
      <c r="C996" t="s">
        <v>12</v>
      </c>
      <c r="D996">
        <v>71923</v>
      </c>
      <c r="E996">
        <v>25</v>
      </c>
      <c r="F996">
        <v>2</v>
      </c>
      <c r="G996">
        <v>40</v>
      </c>
      <c r="H996" t="s">
        <v>17</v>
      </c>
      <c r="I996">
        <v>986.97</v>
      </c>
    </row>
    <row r="997" spans="1:9" x14ac:dyDescent="0.25">
      <c r="A997">
        <v>996</v>
      </c>
      <c r="B997">
        <v>57</v>
      </c>
      <c r="C997" t="s">
        <v>12</v>
      </c>
      <c r="D997">
        <v>112170</v>
      </c>
      <c r="E997">
        <v>57</v>
      </c>
      <c r="F997">
        <v>6</v>
      </c>
      <c r="G997">
        <v>1</v>
      </c>
      <c r="H997" t="s">
        <v>17</v>
      </c>
      <c r="I997">
        <v>313.64</v>
      </c>
    </row>
    <row r="998" spans="1:9" x14ac:dyDescent="0.25">
      <c r="A998">
        <v>997</v>
      </c>
      <c r="B998">
        <v>23</v>
      </c>
      <c r="C998" t="s">
        <v>45</v>
      </c>
      <c r="D998">
        <v>65337</v>
      </c>
      <c r="E998">
        <v>76</v>
      </c>
      <c r="F998">
        <v>10</v>
      </c>
      <c r="G998">
        <v>23</v>
      </c>
      <c r="H998" t="s">
        <v>16</v>
      </c>
      <c r="I998">
        <v>632.83000000000004</v>
      </c>
    </row>
    <row r="999" spans="1:9" x14ac:dyDescent="0.25">
      <c r="A999">
        <v>998</v>
      </c>
      <c r="B999">
        <v>23</v>
      </c>
      <c r="C999" t="s">
        <v>12</v>
      </c>
      <c r="D999">
        <v>113097</v>
      </c>
      <c r="E999">
        <v>40</v>
      </c>
      <c r="F999">
        <v>5</v>
      </c>
      <c r="G999">
        <v>42</v>
      </c>
      <c r="H999" t="s">
        <v>15</v>
      </c>
      <c r="I999">
        <v>75.09</v>
      </c>
    </row>
    <row r="1000" spans="1:9" x14ac:dyDescent="0.25">
      <c r="A1000">
        <v>999</v>
      </c>
      <c r="B1000">
        <v>22</v>
      </c>
      <c r="C1000" t="s">
        <v>18</v>
      </c>
      <c r="D1000">
        <v>113695</v>
      </c>
      <c r="E1000">
        <v>63</v>
      </c>
      <c r="F1000">
        <v>7</v>
      </c>
      <c r="G1000">
        <v>44</v>
      </c>
      <c r="H1000" t="s">
        <v>14</v>
      </c>
      <c r="I1000">
        <v>505.16</v>
      </c>
    </row>
    <row r="1001" spans="1:9" x14ac:dyDescent="0.25">
      <c r="A1001">
        <v>1000</v>
      </c>
      <c r="B1001">
        <v>36</v>
      </c>
      <c r="C1001" t="s">
        <v>18</v>
      </c>
      <c r="D1001">
        <v>90420</v>
      </c>
      <c r="E1001">
        <v>7</v>
      </c>
      <c r="F1001">
        <v>2</v>
      </c>
      <c r="G1001">
        <v>31</v>
      </c>
      <c r="H1001" t="s">
        <v>16</v>
      </c>
      <c r="I1001">
        <v>669.26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C8AA-BE56-4C47-B4F3-382A7E17B24B}">
  <dimension ref="A1:I1001"/>
  <sheetViews>
    <sheetView zoomScale="85" zoomScaleNormal="85" workbookViewId="0">
      <selection activeCell="D1006" sqref="D1006"/>
    </sheetView>
  </sheetViews>
  <sheetFormatPr defaultRowHeight="15" x14ac:dyDescent="0.25"/>
  <cols>
    <col min="1" max="1" width="5.28515625" bestFit="1" customWidth="1"/>
    <col min="2" max="2" width="6.85546875" bestFit="1" customWidth="1"/>
    <col min="3" max="3" width="9.7109375" bestFit="1" customWidth="1"/>
    <col min="4" max="4" width="9.85546875" bestFit="1" customWidth="1"/>
    <col min="5" max="5" width="17.28515625" bestFit="1" customWidth="1"/>
    <col min="6" max="6" width="20.5703125" bestFit="1" customWidth="1"/>
    <col min="7" max="7" width="21.5703125" bestFit="1" customWidth="1"/>
    <col min="8" max="8" width="20.7109375" bestFit="1" customWidth="1"/>
    <col min="9" max="9" width="23.7109375" bestFit="1" customWidth="1"/>
  </cols>
  <sheetData>
    <row r="1" spans="1:9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5">
      <c r="A2">
        <v>15</v>
      </c>
      <c r="B2">
        <v>33</v>
      </c>
      <c r="C2" t="s">
        <v>12</v>
      </c>
      <c r="D2">
        <v>112260</v>
      </c>
      <c r="E2">
        <v>17</v>
      </c>
      <c r="F2">
        <v>5</v>
      </c>
      <c r="G2">
        <v>8</v>
      </c>
      <c r="H2" t="s">
        <v>13</v>
      </c>
      <c r="I2">
        <v>915.89</v>
      </c>
    </row>
    <row r="3" spans="1:9" x14ac:dyDescent="0.25">
      <c r="A3">
        <v>19</v>
      </c>
      <c r="B3">
        <v>37</v>
      </c>
      <c r="C3" t="s">
        <v>12</v>
      </c>
      <c r="D3">
        <v>95491</v>
      </c>
      <c r="E3">
        <v>90</v>
      </c>
      <c r="F3">
        <v>6</v>
      </c>
      <c r="G3">
        <v>21</v>
      </c>
      <c r="H3" t="s">
        <v>13</v>
      </c>
      <c r="I3">
        <v>454.83</v>
      </c>
    </row>
    <row r="4" spans="1:9" x14ac:dyDescent="0.25">
      <c r="A4">
        <v>22</v>
      </c>
      <c r="B4">
        <v>22</v>
      </c>
      <c r="C4" t="s">
        <v>12</v>
      </c>
      <c r="D4">
        <v>49077</v>
      </c>
      <c r="E4">
        <v>74</v>
      </c>
      <c r="F4">
        <v>10</v>
      </c>
      <c r="G4">
        <v>47</v>
      </c>
      <c r="H4" t="s">
        <v>13</v>
      </c>
      <c r="I4">
        <v>799.31</v>
      </c>
    </row>
    <row r="5" spans="1:9" x14ac:dyDescent="0.25">
      <c r="A5">
        <v>40</v>
      </c>
      <c r="B5">
        <v>22</v>
      </c>
      <c r="C5" t="s">
        <v>12</v>
      </c>
      <c r="D5">
        <v>107057</v>
      </c>
      <c r="E5">
        <v>14</v>
      </c>
      <c r="F5">
        <v>5</v>
      </c>
      <c r="G5">
        <v>41</v>
      </c>
      <c r="H5" t="s">
        <v>13</v>
      </c>
      <c r="I5">
        <v>98.86</v>
      </c>
    </row>
    <row r="6" spans="1:9" x14ac:dyDescent="0.25">
      <c r="A6">
        <v>41</v>
      </c>
      <c r="B6">
        <v>23</v>
      </c>
      <c r="C6" t="s">
        <v>12</v>
      </c>
      <c r="D6">
        <v>70723</v>
      </c>
      <c r="E6">
        <v>31</v>
      </c>
      <c r="F6">
        <v>1</v>
      </c>
      <c r="G6">
        <v>48</v>
      </c>
      <c r="H6" t="s">
        <v>13</v>
      </c>
      <c r="I6">
        <v>713.33</v>
      </c>
    </row>
    <row r="7" spans="1:9" x14ac:dyDescent="0.25">
      <c r="A7">
        <v>43</v>
      </c>
      <c r="B7">
        <v>35</v>
      </c>
      <c r="C7" t="s">
        <v>12</v>
      </c>
      <c r="D7">
        <v>72179</v>
      </c>
      <c r="E7">
        <v>6</v>
      </c>
      <c r="F7">
        <v>6</v>
      </c>
      <c r="G7">
        <v>45</v>
      </c>
      <c r="H7" t="s">
        <v>13</v>
      </c>
      <c r="I7">
        <v>165.18</v>
      </c>
    </row>
    <row r="8" spans="1:9" x14ac:dyDescent="0.25">
      <c r="A8">
        <v>45</v>
      </c>
      <c r="B8">
        <v>50</v>
      </c>
      <c r="C8" t="s">
        <v>12</v>
      </c>
      <c r="D8">
        <v>42404</v>
      </c>
      <c r="E8">
        <v>45</v>
      </c>
      <c r="F8">
        <v>4</v>
      </c>
      <c r="G8">
        <v>31</v>
      </c>
      <c r="H8" t="s">
        <v>13</v>
      </c>
      <c r="I8">
        <v>753.6</v>
      </c>
    </row>
    <row r="9" spans="1:9" x14ac:dyDescent="0.25">
      <c r="A9">
        <v>66</v>
      </c>
      <c r="B9">
        <v>32</v>
      </c>
      <c r="C9" t="s">
        <v>12</v>
      </c>
      <c r="D9">
        <v>100270</v>
      </c>
      <c r="E9">
        <v>69</v>
      </c>
      <c r="F9">
        <v>3</v>
      </c>
      <c r="G9">
        <v>29</v>
      </c>
      <c r="H9" t="s">
        <v>13</v>
      </c>
      <c r="I9">
        <v>686.05</v>
      </c>
    </row>
    <row r="10" spans="1:9" x14ac:dyDescent="0.25">
      <c r="A10">
        <v>87</v>
      </c>
      <c r="B10">
        <v>59</v>
      </c>
      <c r="C10" t="s">
        <v>12</v>
      </c>
      <c r="D10">
        <v>47990</v>
      </c>
      <c r="E10">
        <v>3</v>
      </c>
      <c r="F10">
        <v>10</v>
      </c>
      <c r="G10">
        <v>48</v>
      </c>
      <c r="H10" t="s">
        <v>13</v>
      </c>
      <c r="I10">
        <v>755.92</v>
      </c>
    </row>
    <row r="11" spans="1:9" x14ac:dyDescent="0.25">
      <c r="A11">
        <v>108</v>
      </c>
      <c r="B11">
        <v>65</v>
      </c>
      <c r="C11" t="s">
        <v>12</v>
      </c>
      <c r="D11">
        <v>81753</v>
      </c>
      <c r="E11">
        <v>72</v>
      </c>
      <c r="F11">
        <v>9</v>
      </c>
      <c r="G11">
        <v>21</v>
      </c>
      <c r="H11" t="s">
        <v>13</v>
      </c>
      <c r="I11">
        <v>633.63</v>
      </c>
    </row>
    <row r="12" spans="1:9" x14ac:dyDescent="0.25">
      <c r="A12">
        <v>116</v>
      </c>
      <c r="B12">
        <v>59</v>
      </c>
      <c r="C12" t="s">
        <v>12</v>
      </c>
      <c r="D12">
        <v>125014</v>
      </c>
      <c r="E12">
        <v>89</v>
      </c>
      <c r="F12">
        <v>7</v>
      </c>
      <c r="G12">
        <v>42</v>
      </c>
      <c r="H12" t="s">
        <v>13</v>
      </c>
      <c r="I12">
        <v>451.82</v>
      </c>
    </row>
    <row r="13" spans="1:9" x14ac:dyDescent="0.25">
      <c r="A13">
        <v>118</v>
      </c>
      <c r="B13">
        <v>62</v>
      </c>
      <c r="C13" t="s">
        <v>12</v>
      </c>
      <c r="D13">
        <v>48693</v>
      </c>
      <c r="E13">
        <v>36</v>
      </c>
      <c r="F13">
        <v>9</v>
      </c>
      <c r="G13">
        <v>44</v>
      </c>
      <c r="H13" t="s">
        <v>13</v>
      </c>
      <c r="I13">
        <v>755.67</v>
      </c>
    </row>
    <row r="14" spans="1:9" x14ac:dyDescent="0.25">
      <c r="A14">
        <v>124</v>
      </c>
      <c r="B14">
        <v>30</v>
      </c>
      <c r="C14" t="s">
        <v>12</v>
      </c>
      <c r="D14">
        <v>51454</v>
      </c>
      <c r="E14">
        <v>94</v>
      </c>
      <c r="F14">
        <v>8</v>
      </c>
      <c r="G14">
        <v>17</v>
      </c>
      <c r="H14" t="s">
        <v>13</v>
      </c>
      <c r="I14">
        <v>553.35</v>
      </c>
    </row>
    <row r="15" spans="1:9" x14ac:dyDescent="0.25">
      <c r="A15">
        <v>142</v>
      </c>
      <c r="B15">
        <v>37</v>
      </c>
      <c r="C15" t="s">
        <v>12</v>
      </c>
      <c r="D15">
        <v>61695</v>
      </c>
      <c r="E15">
        <v>13</v>
      </c>
      <c r="F15">
        <v>5</v>
      </c>
      <c r="G15">
        <v>45</v>
      </c>
      <c r="H15" t="s">
        <v>13</v>
      </c>
      <c r="I15">
        <v>18.489999999999998</v>
      </c>
    </row>
    <row r="16" spans="1:9" x14ac:dyDescent="0.25">
      <c r="A16">
        <v>171</v>
      </c>
      <c r="B16">
        <v>21</v>
      </c>
      <c r="C16" t="s">
        <v>12</v>
      </c>
      <c r="D16">
        <v>140801</v>
      </c>
      <c r="E16">
        <v>13</v>
      </c>
      <c r="F16">
        <v>3</v>
      </c>
      <c r="G16">
        <v>43</v>
      </c>
      <c r="H16" t="s">
        <v>13</v>
      </c>
      <c r="I16">
        <v>82.88</v>
      </c>
    </row>
    <row r="17" spans="1:9" x14ac:dyDescent="0.25">
      <c r="A17">
        <v>180</v>
      </c>
      <c r="B17">
        <v>48</v>
      </c>
      <c r="C17" t="s">
        <v>12</v>
      </c>
      <c r="D17">
        <v>121325</v>
      </c>
      <c r="E17">
        <v>30</v>
      </c>
      <c r="F17">
        <v>3</v>
      </c>
      <c r="G17">
        <v>35</v>
      </c>
      <c r="H17" t="s">
        <v>13</v>
      </c>
      <c r="I17">
        <v>624.36</v>
      </c>
    </row>
    <row r="18" spans="1:9" x14ac:dyDescent="0.25">
      <c r="A18">
        <v>196</v>
      </c>
      <c r="B18">
        <v>48</v>
      </c>
      <c r="C18" t="s">
        <v>12</v>
      </c>
      <c r="D18">
        <v>108550</v>
      </c>
      <c r="E18">
        <v>5</v>
      </c>
      <c r="F18">
        <v>6</v>
      </c>
      <c r="G18">
        <v>35</v>
      </c>
      <c r="H18" t="s">
        <v>13</v>
      </c>
      <c r="I18">
        <v>410.05</v>
      </c>
    </row>
    <row r="19" spans="1:9" x14ac:dyDescent="0.25">
      <c r="A19">
        <v>204</v>
      </c>
      <c r="B19">
        <v>49</v>
      </c>
      <c r="C19" t="s">
        <v>12</v>
      </c>
      <c r="D19">
        <v>100258</v>
      </c>
      <c r="E19">
        <v>53</v>
      </c>
      <c r="F19">
        <v>6</v>
      </c>
      <c r="G19">
        <v>27</v>
      </c>
      <c r="H19" t="s">
        <v>13</v>
      </c>
      <c r="I19">
        <v>436.43</v>
      </c>
    </row>
    <row r="20" spans="1:9" x14ac:dyDescent="0.25">
      <c r="A20">
        <v>214</v>
      </c>
      <c r="B20">
        <v>33</v>
      </c>
      <c r="C20" t="s">
        <v>12</v>
      </c>
      <c r="D20">
        <v>84883</v>
      </c>
      <c r="E20">
        <v>43</v>
      </c>
      <c r="F20">
        <v>2</v>
      </c>
      <c r="G20">
        <v>49</v>
      </c>
      <c r="H20" t="s">
        <v>13</v>
      </c>
      <c r="I20">
        <v>956.03</v>
      </c>
    </row>
    <row r="21" spans="1:9" x14ac:dyDescent="0.25">
      <c r="A21">
        <v>228</v>
      </c>
      <c r="B21">
        <v>53</v>
      </c>
      <c r="C21" t="s">
        <v>12</v>
      </c>
      <c r="D21">
        <v>57651</v>
      </c>
      <c r="E21">
        <v>27</v>
      </c>
      <c r="F21">
        <v>7</v>
      </c>
      <c r="G21">
        <v>16</v>
      </c>
      <c r="H21" t="s">
        <v>13</v>
      </c>
      <c r="I21">
        <v>345.62</v>
      </c>
    </row>
    <row r="22" spans="1:9" x14ac:dyDescent="0.25">
      <c r="A22">
        <v>250</v>
      </c>
      <c r="B22">
        <v>47</v>
      </c>
      <c r="C22" t="s">
        <v>12</v>
      </c>
      <c r="D22">
        <v>91491</v>
      </c>
      <c r="E22">
        <v>52</v>
      </c>
      <c r="F22">
        <v>5</v>
      </c>
      <c r="G22">
        <v>10</v>
      </c>
      <c r="H22" t="s">
        <v>13</v>
      </c>
      <c r="I22">
        <v>21.43</v>
      </c>
    </row>
    <row r="23" spans="1:9" x14ac:dyDescent="0.25">
      <c r="A23">
        <v>288</v>
      </c>
      <c r="B23">
        <v>56</v>
      </c>
      <c r="C23" t="s">
        <v>12</v>
      </c>
      <c r="D23">
        <v>117922</v>
      </c>
      <c r="E23">
        <v>69</v>
      </c>
      <c r="F23">
        <v>2</v>
      </c>
      <c r="G23">
        <v>41</v>
      </c>
      <c r="H23" t="s">
        <v>13</v>
      </c>
      <c r="I23">
        <v>98.83</v>
      </c>
    </row>
    <row r="24" spans="1:9" x14ac:dyDescent="0.25">
      <c r="A24">
        <v>324</v>
      </c>
      <c r="B24">
        <v>30</v>
      </c>
      <c r="C24" t="s">
        <v>12</v>
      </c>
      <c r="D24">
        <v>119162</v>
      </c>
      <c r="E24">
        <v>15</v>
      </c>
      <c r="F24">
        <v>9</v>
      </c>
      <c r="G24">
        <v>38</v>
      </c>
      <c r="H24" t="s">
        <v>13</v>
      </c>
      <c r="I24">
        <v>937.85</v>
      </c>
    </row>
    <row r="25" spans="1:9" x14ac:dyDescent="0.25">
      <c r="A25">
        <v>343</v>
      </c>
      <c r="B25">
        <v>32</v>
      </c>
      <c r="C25" t="s">
        <v>12</v>
      </c>
      <c r="D25">
        <v>48445</v>
      </c>
      <c r="E25">
        <v>91</v>
      </c>
      <c r="F25">
        <v>8</v>
      </c>
      <c r="G25">
        <v>27</v>
      </c>
      <c r="H25" t="s">
        <v>13</v>
      </c>
      <c r="I25">
        <v>265.17</v>
      </c>
    </row>
    <row r="26" spans="1:9" x14ac:dyDescent="0.25">
      <c r="A26">
        <v>344</v>
      </c>
      <c r="B26">
        <v>41</v>
      </c>
      <c r="C26" t="s">
        <v>12</v>
      </c>
      <c r="D26">
        <v>136928</v>
      </c>
      <c r="E26">
        <v>42</v>
      </c>
      <c r="F26">
        <v>5</v>
      </c>
      <c r="G26">
        <v>33</v>
      </c>
      <c r="H26" t="s">
        <v>13</v>
      </c>
      <c r="I26">
        <v>239.72</v>
      </c>
    </row>
    <row r="27" spans="1:9" x14ac:dyDescent="0.25">
      <c r="A27">
        <v>362</v>
      </c>
      <c r="B27">
        <v>21</v>
      </c>
      <c r="C27" t="s">
        <v>12</v>
      </c>
      <c r="D27">
        <v>107934</v>
      </c>
      <c r="E27">
        <v>32</v>
      </c>
      <c r="F27">
        <v>5</v>
      </c>
      <c r="G27">
        <v>38</v>
      </c>
      <c r="H27" t="s">
        <v>13</v>
      </c>
      <c r="I27">
        <v>533.17999999999995</v>
      </c>
    </row>
    <row r="28" spans="1:9" x14ac:dyDescent="0.25">
      <c r="A28">
        <v>377</v>
      </c>
      <c r="B28">
        <v>46</v>
      </c>
      <c r="C28" t="s">
        <v>12</v>
      </c>
      <c r="D28">
        <v>123037</v>
      </c>
      <c r="E28">
        <v>100</v>
      </c>
      <c r="F28">
        <v>1</v>
      </c>
      <c r="G28">
        <v>9</v>
      </c>
      <c r="H28" t="s">
        <v>13</v>
      </c>
      <c r="I28">
        <v>617.74</v>
      </c>
    </row>
    <row r="29" spans="1:9" x14ac:dyDescent="0.25">
      <c r="A29">
        <v>384</v>
      </c>
      <c r="B29">
        <v>46</v>
      </c>
      <c r="C29" t="s">
        <v>12</v>
      </c>
      <c r="D29">
        <v>120914</v>
      </c>
      <c r="E29">
        <v>1</v>
      </c>
      <c r="F29">
        <v>1</v>
      </c>
      <c r="G29">
        <v>41</v>
      </c>
      <c r="H29" t="s">
        <v>13</v>
      </c>
      <c r="I29">
        <v>329.9</v>
      </c>
    </row>
    <row r="30" spans="1:9" x14ac:dyDescent="0.25">
      <c r="A30">
        <v>392</v>
      </c>
      <c r="B30">
        <v>28</v>
      </c>
      <c r="C30" t="s">
        <v>12</v>
      </c>
      <c r="D30">
        <v>59278</v>
      </c>
      <c r="E30">
        <v>60</v>
      </c>
      <c r="F30">
        <v>2</v>
      </c>
      <c r="G30">
        <v>8</v>
      </c>
      <c r="H30" t="s">
        <v>13</v>
      </c>
      <c r="I30">
        <v>362.41</v>
      </c>
    </row>
    <row r="31" spans="1:9" x14ac:dyDescent="0.25">
      <c r="A31">
        <v>405</v>
      </c>
      <c r="B31">
        <v>21</v>
      </c>
      <c r="C31" t="s">
        <v>12</v>
      </c>
      <c r="D31">
        <v>42889</v>
      </c>
      <c r="E31">
        <v>12</v>
      </c>
      <c r="F31">
        <v>2</v>
      </c>
      <c r="G31">
        <v>20</v>
      </c>
      <c r="H31" t="s">
        <v>13</v>
      </c>
      <c r="I31">
        <v>789.92</v>
      </c>
    </row>
    <row r="32" spans="1:9" x14ac:dyDescent="0.25">
      <c r="A32">
        <v>420</v>
      </c>
      <c r="B32">
        <v>46</v>
      </c>
      <c r="C32" t="s">
        <v>12</v>
      </c>
      <c r="D32">
        <v>60671</v>
      </c>
      <c r="E32">
        <v>57</v>
      </c>
      <c r="F32">
        <v>5</v>
      </c>
      <c r="G32">
        <v>48</v>
      </c>
      <c r="H32" t="s">
        <v>13</v>
      </c>
      <c r="I32">
        <v>817.69</v>
      </c>
    </row>
    <row r="33" spans="1:9" x14ac:dyDescent="0.25">
      <c r="A33">
        <v>449</v>
      </c>
      <c r="B33">
        <v>50</v>
      </c>
      <c r="C33" t="s">
        <v>12</v>
      </c>
      <c r="D33">
        <v>46524</v>
      </c>
      <c r="E33">
        <v>1</v>
      </c>
      <c r="F33">
        <v>4</v>
      </c>
      <c r="G33">
        <v>7</v>
      </c>
      <c r="H33" t="s">
        <v>13</v>
      </c>
      <c r="I33">
        <v>371.62</v>
      </c>
    </row>
    <row r="34" spans="1:9" x14ac:dyDescent="0.25">
      <c r="A34">
        <v>454</v>
      </c>
      <c r="B34">
        <v>27</v>
      </c>
      <c r="C34" t="s">
        <v>12</v>
      </c>
      <c r="D34">
        <v>143992</v>
      </c>
      <c r="E34">
        <v>31</v>
      </c>
      <c r="F34">
        <v>2</v>
      </c>
      <c r="G34">
        <v>32</v>
      </c>
      <c r="H34" t="s">
        <v>13</v>
      </c>
      <c r="I34">
        <v>994.1</v>
      </c>
    </row>
    <row r="35" spans="1:9" x14ac:dyDescent="0.25">
      <c r="A35">
        <v>461</v>
      </c>
      <c r="B35">
        <v>41</v>
      </c>
      <c r="C35" t="s">
        <v>12</v>
      </c>
      <c r="D35">
        <v>141605</v>
      </c>
      <c r="E35">
        <v>100</v>
      </c>
      <c r="F35">
        <v>4</v>
      </c>
      <c r="G35">
        <v>20</v>
      </c>
      <c r="H35" t="s">
        <v>13</v>
      </c>
      <c r="I35">
        <v>693.02</v>
      </c>
    </row>
    <row r="36" spans="1:9" x14ac:dyDescent="0.25">
      <c r="A36">
        <v>485</v>
      </c>
      <c r="B36">
        <v>65</v>
      </c>
      <c r="C36" t="s">
        <v>12</v>
      </c>
      <c r="D36">
        <v>39113</v>
      </c>
      <c r="E36">
        <v>85</v>
      </c>
      <c r="F36">
        <v>9</v>
      </c>
      <c r="G36">
        <v>42</v>
      </c>
      <c r="H36" t="s">
        <v>13</v>
      </c>
      <c r="I36">
        <v>964.87</v>
      </c>
    </row>
    <row r="37" spans="1:9" x14ac:dyDescent="0.25">
      <c r="A37">
        <v>532</v>
      </c>
      <c r="B37">
        <v>19</v>
      </c>
      <c r="C37" t="s">
        <v>12</v>
      </c>
      <c r="D37">
        <v>146165</v>
      </c>
      <c r="E37">
        <v>38</v>
      </c>
      <c r="F37">
        <v>9</v>
      </c>
      <c r="G37">
        <v>45</v>
      </c>
      <c r="H37" t="s">
        <v>13</v>
      </c>
      <c r="I37">
        <v>819.92</v>
      </c>
    </row>
    <row r="38" spans="1:9" x14ac:dyDescent="0.25">
      <c r="A38">
        <v>557</v>
      </c>
      <c r="B38">
        <v>45</v>
      </c>
      <c r="C38" t="s">
        <v>12</v>
      </c>
      <c r="D38">
        <v>95367</v>
      </c>
      <c r="E38">
        <v>83</v>
      </c>
      <c r="F38">
        <v>5</v>
      </c>
      <c r="G38">
        <v>30</v>
      </c>
      <c r="H38" t="s">
        <v>13</v>
      </c>
      <c r="I38">
        <v>845.33</v>
      </c>
    </row>
    <row r="39" spans="1:9" x14ac:dyDescent="0.25">
      <c r="A39">
        <v>559</v>
      </c>
      <c r="B39">
        <v>33</v>
      </c>
      <c r="C39" t="s">
        <v>12</v>
      </c>
      <c r="D39">
        <v>121639</v>
      </c>
      <c r="E39">
        <v>17</v>
      </c>
      <c r="F39">
        <v>7</v>
      </c>
      <c r="G39">
        <v>28</v>
      </c>
      <c r="H39" t="s">
        <v>13</v>
      </c>
      <c r="I39">
        <v>422.14</v>
      </c>
    </row>
    <row r="40" spans="1:9" x14ac:dyDescent="0.25">
      <c r="A40">
        <v>560</v>
      </c>
      <c r="B40">
        <v>63</v>
      </c>
      <c r="C40" t="s">
        <v>12</v>
      </c>
      <c r="D40">
        <v>82296</v>
      </c>
      <c r="E40">
        <v>61</v>
      </c>
      <c r="F40">
        <v>4</v>
      </c>
      <c r="G40">
        <v>43</v>
      </c>
      <c r="H40" t="s">
        <v>13</v>
      </c>
      <c r="I40">
        <v>390.89</v>
      </c>
    </row>
    <row r="41" spans="1:9" x14ac:dyDescent="0.25">
      <c r="A41">
        <v>583</v>
      </c>
      <c r="B41">
        <v>33</v>
      </c>
      <c r="C41" t="s">
        <v>12</v>
      </c>
      <c r="D41">
        <v>38240</v>
      </c>
      <c r="E41">
        <v>92</v>
      </c>
      <c r="F41">
        <v>3</v>
      </c>
      <c r="G41">
        <v>37</v>
      </c>
      <c r="H41" t="s">
        <v>13</v>
      </c>
      <c r="I41">
        <v>626.82000000000005</v>
      </c>
    </row>
    <row r="42" spans="1:9" x14ac:dyDescent="0.25">
      <c r="A42">
        <v>596</v>
      </c>
      <c r="B42">
        <v>46</v>
      </c>
      <c r="C42" t="s">
        <v>12</v>
      </c>
      <c r="D42">
        <v>73370</v>
      </c>
      <c r="E42">
        <v>2</v>
      </c>
      <c r="F42">
        <v>4</v>
      </c>
      <c r="G42">
        <v>29</v>
      </c>
      <c r="H42" t="s">
        <v>13</v>
      </c>
      <c r="I42">
        <v>486.5</v>
      </c>
    </row>
    <row r="43" spans="1:9" x14ac:dyDescent="0.25">
      <c r="A43">
        <v>597</v>
      </c>
      <c r="B43">
        <v>50</v>
      </c>
      <c r="C43" t="s">
        <v>12</v>
      </c>
      <c r="D43">
        <v>132598</v>
      </c>
      <c r="E43">
        <v>57</v>
      </c>
      <c r="F43">
        <v>7</v>
      </c>
      <c r="G43">
        <v>21</v>
      </c>
      <c r="H43" t="s">
        <v>13</v>
      </c>
      <c r="I43">
        <v>930.91</v>
      </c>
    </row>
    <row r="44" spans="1:9" x14ac:dyDescent="0.25">
      <c r="A44">
        <v>604</v>
      </c>
      <c r="B44">
        <v>47</v>
      </c>
      <c r="C44" t="s">
        <v>12</v>
      </c>
      <c r="D44">
        <v>64592</v>
      </c>
      <c r="E44">
        <v>25</v>
      </c>
      <c r="F44">
        <v>4</v>
      </c>
      <c r="G44">
        <v>12</v>
      </c>
      <c r="H44" t="s">
        <v>13</v>
      </c>
      <c r="I44">
        <v>237.34</v>
      </c>
    </row>
    <row r="45" spans="1:9" x14ac:dyDescent="0.25">
      <c r="A45">
        <v>606</v>
      </c>
      <c r="B45">
        <v>39</v>
      </c>
      <c r="C45" t="s">
        <v>12</v>
      </c>
      <c r="D45">
        <v>48641</v>
      </c>
      <c r="E45">
        <v>45</v>
      </c>
      <c r="F45">
        <v>3</v>
      </c>
      <c r="G45">
        <v>46</v>
      </c>
      <c r="H45" t="s">
        <v>13</v>
      </c>
      <c r="I45">
        <v>415.19</v>
      </c>
    </row>
    <row r="46" spans="1:9" x14ac:dyDescent="0.25">
      <c r="A46">
        <v>607</v>
      </c>
      <c r="B46">
        <v>30</v>
      </c>
      <c r="C46" t="s">
        <v>12</v>
      </c>
      <c r="D46">
        <v>102200</v>
      </c>
      <c r="E46">
        <v>88</v>
      </c>
      <c r="F46">
        <v>5</v>
      </c>
      <c r="G46">
        <v>47</v>
      </c>
      <c r="H46" t="s">
        <v>13</v>
      </c>
      <c r="I46">
        <v>131.84</v>
      </c>
    </row>
    <row r="47" spans="1:9" x14ac:dyDescent="0.25">
      <c r="A47">
        <v>625</v>
      </c>
      <c r="B47">
        <v>41</v>
      </c>
      <c r="C47" t="s">
        <v>12</v>
      </c>
      <c r="D47">
        <v>36763</v>
      </c>
      <c r="E47">
        <v>50</v>
      </c>
      <c r="F47">
        <v>5</v>
      </c>
      <c r="G47">
        <v>36</v>
      </c>
      <c r="H47" t="s">
        <v>13</v>
      </c>
      <c r="I47">
        <v>490.62</v>
      </c>
    </row>
    <row r="48" spans="1:9" x14ac:dyDescent="0.25">
      <c r="A48">
        <v>640</v>
      </c>
      <c r="B48">
        <v>57</v>
      </c>
      <c r="C48" t="s">
        <v>12</v>
      </c>
      <c r="D48">
        <v>97035</v>
      </c>
      <c r="E48">
        <v>28</v>
      </c>
      <c r="F48">
        <v>6</v>
      </c>
      <c r="G48">
        <v>42</v>
      </c>
      <c r="H48" t="s">
        <v>13</v>
      </c>
      <c r="I48">
        <v>741.41</v>
      </c>
    </row>
    <row r="49" spans="1:9" x14ac:dyDescent="0.25">
      <c r="A49">
        <v>653</v>
      </c>
      <c r="B49">
        <v>41</v>
      </c>
      <c r="C49" t="s">
        <v>12</v>
      </c>
      <c r="D49">
        <v>140959</v>
      </c>
      <c r="E49">
        <v>35</v>
      </c>
      <c r="F49">
        <v>7</v>
      </c>
      <c r="G49">
        <v>14</v>
      </c>
      <c r="H49" t="s">
        <v>13</v>
      </c>
      <c r="I49">
        <v>232.42</v>
      </c>
    </row>
    <row r="50" spans="1:9" x14ac:dyDescent="0.25">
      <c r="A50">
        <v>665</v>
      </c>
      <c r="B50">
        <v>37</v>
      </c>
      <c r="C50" t="s">
        <v>12</v>
      </c>
      <c r="D50">
        <v>105623</v>
      </c>
      <c r="E50">
        <v>26</v>
      </c>
      <c r="F50">
        <v>5</v>
      </c>
      <c r="G50">
        <v>47</v>
      </c>
      <c r="H50" t="s">
        <v>13</v>
      </c>
      <c r="I50">
        <v>94.79</v>
      </c>
    </row>
    <row r="51" spans="1:9" x14ac:dyDescent="0.25">
      <c r="A51">
        <v>671</v>
      </c>
      <c r="B51">
        <v>34</v>
      </c>
      <c r="C51" t="s">
        <v>12</v>
      </c>
      <c r="D51">
        <v>54274</v>
      </c>
      <c r="E51">
        <v>27</v>
      </c>
      <c r="F51">
        <v>2</v>
      </c>
      <c r="G51">
        <v>17</v>
      </c>
      <c r="H51" t="s">
        <v>13</v>
      </c>
      <c r="I51">
        <v>954.46</v>
      </c>
    </row>
    <row r="52" spans="1:9" x14ac:dyDescent="0.25">
      <c r="A52">
        <v>672</v>
      </c>
      <c r="B52">
        <v>30</v>
      </c>
      <c r="C52" t="s">
        <v>12</v>
      </c>
      <c r="D52">
        <v>94803</v>
      </c>
      <c r="E52">
        <v>76</v>
      </c>
      <c r="F52">
        <v>6</v>
      </c>
      <c r="G52">
        <v>33</v>
      </c>
      <c r="H52" t="s">
        <v>13</v>
      </c>
      <c r="I52">
        <v>596.98</v>
      </c>
    </row>
    <row r="53" spans="1:9" x14ac:dyDescent="0.25">
      <c r="A53">
        <v>685</v>
      </c>
      <c r="B53">
        <v>37</v>
      </c>
      <c r="C53" t="s">
        <v>12</v>
      </c>
      <c r="D53">
        <v>104041</v>
      </c>
      <c r="E53">
        <v>64</v>
      </c>
      <c r="F53">
        <v>9</v>
      </c>
      <c r="G53">
        <v>49</v>
      </c>
      <c r="H53" t="s">
        <v>13</v>
      </c>
      <c r="I53">
        <v>117.52</v>
      </c>
    </row>
    <row r="54" spans="1:9" x14ac:dyDescent="0.25">
      <c r="A54">
        <v>687</v>
      </c>
      <c r="B54">
        <v>59</v>
      </c>
      <c r="C54" t="s">
        <v>12</v>
      </c>
      <c r="D54">
        <v>65196</v>
      </c>
      <c r="E54">
        <v>22</v>
      </c>
      <c r="F54">
        <v>2</v>
      </c>
      <c r="G54">
        <v>36</v>
      </c>
      <c r="H54" t="s">
        <v>13</v>
      </c>
      <c r="I54">
        <v>625.33000000000004</v>
      </c>
    </row>
    <row r="55" spans="1:9" x14ac:dyDescent="0.25">
      <c r="A55">
        <v>712</v>
      </c>
      <c r="B55">
        <v>18</v>
      </c>
      <c r="C55" t="s">
        <v>12</v>
      </c>
      <c r="D55">
        <v>141318</v>
      </c>
      <c r="E55">
        <v>37</v>
      </c>
      <c r="F55">
        <v>6</v>
      </c>
      <c r="G55">
        <v>28</v>
      </c>
      <c r="H55" t="s">
        <v>13</v>
      </c>
      <c r="I55">
        <v>428.33</v>
      </c>
    </row>
    <row r="56" spans="1:9" x14ac:dyDescent="0.25">
      <c r="A56">
        <v>722</v>
      </c>
      <c r="B56">
        <v>45</v>
      </c>
      <c r="C56" t="s">
        <v>12</v>
      </c>
      <c r="D56">
        <v>127989</v>
      </c>
      <c r="E56">
        <v>99</v>
      </c>
      <c r="F56">
        <v>1</v>
      </c>
      <c r="G56">
        <v>42</v>
      </c>
      <c r="H56" t="s">
        <v>13</v>
      </c>
      <c r="I56">
        <v>683.99</v>
      </c>
    </row>
    <row r="57" spans="1:9" x14ac:dyDescent="0.25">
      <c r="A57">
        <v>730</v>
      </c>
      <c r="B57">
        <v>19</v>
      </c>
      <c r="C57" t="s">
        <v>12</v>
      </c>
      <c r="D57">
        <v>85349</v>
      </c>
      <c r="E57">
        <v>77</v>
      </c>
      <c r="F57">
        <v>8</v>
      </c>
      <c r="G57">
        <v>29</v>
      </c>
      <c r="H57" t="s">
        <v>13</v>
      </c>
      <c r="I57">
        <v>381.04</v>
      </c>
    </row>
    <row r="58" spans="1:9" x14ac:dyDescent="0.25">
      <c r="A58">
        <v>749</v>
      </c>
      <c r="B58">
        <v>22</v>
      </c>
      <c r="C58" t="s">
        <v>12</v>
      </c>
      <c r="D58">
        <v>73023</v>
      </c>
      <c r="E58">
        <v>30</v>
      </c>
      <c r="F58">
        <v>1</v>
      </c>
      <c r="G58">
        <v>19</v>
      </c>
      <c r="H58" t="s">
        <v>13</v>
      </c>
      <c r="I58">
        <v>661.7</v>
      </c>
    </row>
    <row r="59" spans="1:9" x14ac:dyDescent="0.25">
      <c r="A59">
        <v>752</v>
      </c>
      <c r="B59">
        <v>31</v>
      </c>
      <c r="C59" t="s">
        <v>12</v>
      </c>
      <c r="D59">
        <v>85928</v>
      </c>
      <c r="E59">
        <v>10</v>
      </c>
      <c r="F59">
        <v>2</v>
      </c>
      <c r="G59">
        <v>40</v>
      </c>
      <c r="H59" t="s">
        <v>13</v>
      </c>
      <c r="I59">
        <v>34.1</v>
      </c>
    </row>
    <row r="60" spans="1:9" x14ac:dyDescent="0.25">
      <c r="A60">
        <v>758</v>
      </c>
      <c r="B60">
        <v>35</v>
      </c>
      <c r="C60" t="s">
        <v>12</v>
      </c>
      <c r="D60">
        <v>94896</v>
      </c>
      <c r="E60">
        <v>36</v>
      </c>
      <c r="F60">
        <v>6</v>
      </c>
      <c r="G60">
        <v>4</v>
      </c>
      <c r="H60" t="s">
        <v>13</v>
      </c>
      <c r="I60">
        <v>102.23</v>
      </c>
    </row>
    <row r="61" spans="1:9" x14ac:dyDescent="0.25">
      <c r="A61">
        <v>761</v>
      </c>
      <c r="B61">
        <v>47</v>
      </c>
      <c r="C61" t="s">
        <v>12</v>
      </c>
      <c r="D61">
        <v>112510</v>
      </c>
      <c r="E61">
        <v>1</v>
      </c>
      <c r="F61">
        <v>2</v>
      </c>
      <c r="G61">
        <v>10</v>
      </c>
      <c r="H61" t="s">
        <v>13</v>
      </c>
      <c r="I61">
        <v>618.20000000000005</v>
      </c>
    </row>
    <row r="62" spans="1:9" x14ac:dyDescent="0.25">
      <c r="A62">
        <v>763</v>
      </c>
      <c r="B62">
        <v>63</v>
      </c>
      <c r="C62" t="s">
        <v>12</v>
      </c>
      <c r="D62">
        <v>115204</v>
      </c>
      <c r="E62">
        <v>12</v>
      </c>
      <c r="F62">
        <v>2</v>
      </c>
      <c r="G62">
        <v>19</v>
      </c>
      <c r="H62" t="s">
        <v>13</v>
      </c>
      <c r="I62">
        <v>910.59</v>
      </c>
    </row>
    <row r="63" spans="1:9" x14ac:dyDescent="0.25">
      <c r="A63">
        <v>774</v>
      </c>
      <c r="B63">
        <v>52</v>
      </c>
      <c r="C63" t="s">
        <v>12</v>
      </c>
      <c r="D63">
        <v>52167</v>
      </c>
      <c r="E63">
        <v>19</v>
      </c>
      <c r="F63">
        <v>5</v>
      </c>
      <c r="G63">
        <v>50</v>
      </c>
      <c r="H63" t="s">
        <v>13</v>
      </c>
      <c r="I63">
        <v>961.55</v>
      </c>
    </row>
    <row r="64" spans="1:9" x14ac:dyDescent="0.25">
      <c r="A64">
        <v>781</v>
      </c>
      <c r="B64">
        <v>53</v>
      </c>
      <c r="C64" t="s">
        <v>12</v>
      </c>
      <c r="D64">
        <v>147355</v>
      </c>
      <c r="E64">
        <v>10</v>
      </c>
      <c r="F64">
        <v>2</v>
      </c>
      <c r="G64">
        <v>38</v>
      </c>
      <c r="H64" t="s">
        <v>13</v>
      </c>
      <c r="I64">
        <v>866.3</v>
      </c>
    </row>
    <row r="65" spans="1:9" x14ac:dyDescent="0.25">
      <c r="A65">
        <v>788</v>
      </c>
      <c r="B65">
        <v>33</v>
      </c>
      <c r="C65" t="s">
        <v>12</v>
      </c>
      <c r="D65">
        <v>38558</v>
      </c>
      <c r="E65">
        <v>71</v>
      </c>
      <c r="F65">
        <v>8</v>
      </c>
      <c r="G65">
        <v>22</v>
      </c>
      <c r="H65" t="s">
        <v>13</v>
      </c>
      <c r="I65">
        <v>223.73</v>
      </c>
    </row>
    <row r="66" spans="1:9" x14ac:dyDescent="0.25">
      <c r="A66">
        <v>796</v>
      </c>
      <c r="B66">
        <v>47</v>
      </c>
      <c r="C66" t="s">
        <v>12</v>
      </c>
      <c r="D66">
        <v>92114</v>
      </c>
      <c r="E66">
        <v>17</v>
      </c>
      <c r="F66">
        <v>7</v>
      </c>
      <c r="G66">
        <v>8</v>
      </c>
      <c r="H66" t="s">
        <v>13</v>
      </c>
      <c r="I66">
        <v>997.15</v>
      </c>
    </row>
    <row r="67" spans="1:9" x14ac:dyDescent="0.25">
      <c r="A67">
        <v>797</v>
      </c>
      <c r="B67">
        <v>47</v>
      </c>
      <c r="C67" t="s">
        <v>12</v>
      </c>
      <c r="D67">
        <v>86651</v>
      </c>
      <c r="E67">
        <v>54</v>
      </c>
      <c r="F67">
        <v>3</v>
      </c>
      <c r="G67">
        <v>49</v>
      </c>
      <c r="H67" t="s">
        <v>13</v>
      </c>
      <c r="I67">
        <v>678.41</v>
      </c>
    </row>
    <row r="68" spans="1:9" x14ac:dyDescent="0.25">
      <c r="A68">
        <v>818</v>
      </c>
      <c r="B68">
        <v>69</v>
      </c>
      <c r="C68" t="s">
        <v>12</v>
      </c>
      <c r="D68">
        <v>129445</v>
      </c>
      <c r="E68">
        <v>32</v>
      </c>
      <c r="F68">
        <v>3</v>
      </c>
      <c r="G68">
        <v>6</v>
      </c>
      <c r="H68" t="s">
        <v>13</v>
      </c>
      <c r="I68">
        <v>42.19</v>
      </c>
    </row>
    <row r="69" spans="1:9" x14ac:dyDescent="0.25">
      <c r="A69">
        <v>829</v>
      </c>
      <c r="B69">
        <v>37</v>
      </c>
      <c r="C69" t="s">
        <v>12</v>
      </c>
      <c r="D69">
        <v>112949</v>
      </c>
      <c r="E69">
        <v>33</v>
      </c>
      <c r="F69">
        <v>8</v>
      </c>
      <c r="G69">
        <v>40</v>
      </c>
      <c r="H69" t="s">
        <v>13</v>
      </c>
      <c r="I69">
        <v>424.07</v>
      </c>
    </row>
    <row r="70" spans="1:9" x14ac:dyDescent="0.25">
      <c r="A70">
        <v>830</v>
      </c>
      <c r="B70">
        <v>28</v>
      </c>
      <c r="C70" t="s">
        <v>12</v>
      </c>
      <c r="D70">
        <v>136418</v>
      </c>
      <c r="E70">
        <v>17</v>
      </c>
      <c r="F70">
        <v>5</v>
      </c>
      <c r="G70">
        <v>17</v>
      </c>
      <c r="H70" t="s">
        <v>13</v>
      </c>
      <c r="I70">
        <v>765.53</v>
      </c>
    </row>
    <row r="71" spans="1:9" x14ac:dyDescent="0.25">
      <c r="A71">
        <v>844</v>
      </c>
      <c r="B71">
        <v>43</v>
      </c>
      <c r="C71" t="s">
        <v>12</v>
      </c>
      <c r="D71">
        <v>140638</v>
      </c>
      <c r="E71">
        <v>62</v>
      </c>
      <c r="F71">
        <v>10</v>
      </c>
      <c r="G71">
        <v>18</v>
      </c>
      <c r="H71" t="s">
        <v>13</v>
      </c>
      <c r="I71">
        <v>78.52</v>
      </c>
    </row>
    <row r="72" spans="1:9" x14ac:dyDescent="0.25">
      <c r="A72">
        <v>895</v>
      </c>
      <c r="B72">
        <v>27</v>
      </c>
      <c r="C72" t="s">
        <v>12</v>
      </c>
      <c r="D72">
        <v>128640</v>
      </c>
      <c r="E72">
        <v>3</v>
      </c>
      <c r="F72">
        <v>5</v>
      </c>
      <c r="G72">
        <v>2</v>
      </c>
      <c r="H72" t="s">
        <v>13</v>
      </c>
      <c r="I72">
        <v>140.52000000000001</v>
      </c>
    </row>
    <row r="73" spans="1:9" x14ac:dyDescent="0.25">
      <c r="A73">
        <v>921</v>
      </c>
      <c r="B73">
        <v>66</v>
      </c>
      <c r="C73" t="s">
        <v>12</v>
      </c>
      <c r="D73">
        <v>122436</v>
      </c>
      <c r="E73">
        <v>73</v>
      </c>
      <c r="F73">
        <v>7</v>
      </c>
      <c r="G73">
        <v>47</v>
      </c>
      <c r="H73" t="s">
        <v>13</v>
      </c>
      <c r="I73">
        <v>666.62</v>
      </c>
    </row>
    <row r="74" spans="1:9" x14ac:dyDescent="0.25">
      <c r="A74">
        <v>931</v>
      </c>
      <c r="B74">
        <v>59</v>
      </c>
      <c r="C74" t="s">
        <v>12</v>
      </c>
      <c r="D74">
        <v>48329</v>
      </c>
      <c r="E74">
        <v>6</v>
      </c>
      <c r="F74">
        <v>8</v>
      </c>
      <c r="G74">
        <v>26</v>
      </c>
      <c r="H74" t="s">
        <v>13</v>
      </c>
      <c r="I74">
        <v>36.76</v>
      </c>
    </row>
    <row r="75" spans="1:9" x14ac:dyDescent="0.25">
      <c r="A75">
        <v>936</v>
      </c>
      <c r="B75">
        <v>51</v>
      </c>
      <c r="C75" t="s">
        <v>12</v>
      </c>
      <c r="D75">
        <v>148784</v>
      </c>
      <c r="E75">
        <v>17</v>
      </c>
      <c r="F75">
        <v>1</v>
      </c>
      <c r="G75">
        <v>50</v>
      </c>
      <c r="H75" t="s">
        <v>13</v>
      </c>
      <c r="I75">
        <v>302.81</v>
      </c>
    </row>
    <row r="76" spans="1:9" x14ac:dyDescent="0.25">
      <c r="A76">
        <v>939</v>
      </c>
      <c r="B76">
        <v>37</v>
      </c>
      <c r="C76" t="s">
        <v>12</v>
      </c>
      <c r="D76">
        <v>70213</v>
      </c>
      <c r="E76">
        <v>84</v>
      </c>
      <c r="F76">
        <v>3</v>
      </c>
      <c r="G76">
        <v>37</v>
      </c>
      <c r="H76" t="s">
        <v>13</v>
      </c>
      <c r="I76">
        <v>785.53</v>
      </c>
    </row>
    <row r="77" spans="1:9" x14ac:dyDescent="0.25">
      <c r="A77">
        <v>981</v>
      </c>
      <c r="B77">
        <v>30</v>
      </c>
      <c r="C77" t="s">
        <v>12</v>
      </c>
      <c r="D77">
        <v>117373</v>
      </c>
      <c r="E77">
        <v>32</v>
      </c>
      <c r="F77">
        <v>1</v>
      </c>
      <c r="G77">
        <v>49</v>
      </c>
      <c r="H77" t="s">
        <v>13</v>
      </c>
      <c r="I77">
        <v>129.35</v>
      </c>
    </row>
    <row r="78" spans="1:9" x14ac:dyDescent="0.25">
      <c r="A78">
        <v>989</v>
      </c>
      <c r="B78">
        <v>26</v>
      </c>
      <c r="C78" t="s">
        <v>12</v>
      </c>
      <c r="D78">
        <v>45147</v>
      </c>
      <c r="E78">
        <v>93</v>
      </c>
      <c r="F78">
        <v>1</v>
      </c>
      <c r="G78">
        <v>32</v>
      </c>
      <c r="H78" t="s">
        <v>13</v>
      </c>
      <c r="I78">
        <v>750.58</v>
      </c>
    </row>
    <row r="79" spans="1:9" x14ac:dyDescent="0.25">
      <c r="A79">
        <v>30</v>
      </c>
      <c r="B79">
        <v>23</v>
      </c>
      <c r="C79" t="s">
        <v>12</v>
      </c>
      <c r="D79">
        <v>104106</v>
      </c>
      <c r="E79">
        <v>30</v>
      </c>
      <c r="F79">
        <v>4</v>
      </c>
      <c r="G79">
        <v>20</v>
      </c>
      <c r="H79" t="s">
        <v>14</v>
      </c>
      <c r="I79">
        <v>950.56</v>
      </c>
    </row>
    <row r="80" spans="1:9" x14ac:dyDescent="0.25">
      <c r="A80">
        <v>33</v>
      </c>
      <c r="B80">
        <v>29</v>
      </c>
      <c r="C80" t="s">
        <v>12</v>
      </c>
      <c r="D80">
        <v>71951</v>
      </c>
      <c r="E80">
        <v>2</v>
      </c>
      <c r="F80">
        <v>6</v>
      </c>
      <c r="G80">
        <v>47</v>
      </c>
      <c r="H80" t="s">
        <v>14</v>
      </c>
      <c r="I80">
        <v>91.94</v>
      </c>
    </row>
    <row r="81" spans="1:9" x14ac:dyDescent="0.25">
      <c r="A81">
        <v>37</v>
      </c>
      <c r="B81">
        <v>47</v>
      </c>
      <c r="C81" t="s">
        <v>12</v>
      </c>
      <c r="D81">
        <v>108074</v>
      </c>
      <c r="E81">
        <v>78</v>
      </c>
      <c r="F81">
        <v>4</v>
      </c>
      <c r="G81">
        <v>38</v>
      </c>
      <c r="H81" t="s">
        <v>14</v>
      </c>
      <c r="I81">
        <v>128.19999999999999</v>
      </c>
    </row>
    <row r="82" spans="1:9" x14ac:dyDescent="0.25">
      <c r="A82">
        <v>47</v>
      </c>
      <c r="B82">
        <v>56</v>
      </c>
      <c r="C82" t="s">
        <v>12</v>
      </c>
      <c r="D82">
        <v>129005</v>
      </c>
      <c r="E82">
        <v>40</v>
      </c>
      <c r="F82">
        <v>6</v>
      </c>
      <c r="G82">
        <v>8</v>
      </c>
      <c r="H82" t="s">
        <v>14</v>
      </c>
      <c r="I82">
        <v>355.34</v>
      </c>
    </row>
    <row r="83" spans="1:9" x14ac:dyDescent="0.25">
      <c r="A83">
        <v>48</v>
      </c>
      <c r="B83">
        <v>48</v>
      </c>
      <c r="C83" t="s">
        <v>12</v>
      </c>
      <c r="D83">
        <v>76317</v>
      </c>
      <c r="E83">
        <v>94</v>
      </c>
      <c r="F83">
        <v>9</v>
      </c>
      <c r="G83">
        <v>3</v>
      </c>
      <c r="H83" t="s">
        <v>14</v>
      </c>
      <c r="I83">
        <v>189.28</v>
      </c>
    </row>
    <row r="84" spans="1:9" x14ac:dyDescent="0.25">
      <c r="A84">
        <v>69</v>
      </c>
      <c r="B84">
        <v>32</v>
      </c>
      <c r="C84" t="s">
        <v>12</v>
      </c>
      <c r="D84">
        <v>135861</v>
      </c>
      <c r="E84">
        <v>88</v>
      </c>
      <c r="F84">
        <v>5</v>
      </c>
      <c r="G84">
        <v>16</v>
      </c>
      <c r="H84" t="s">
        <v>14</v>
      </c>
      <c r="I84">
        <v>103.33</v>
      </c>
    </row>
    <row r="85" spans="1:9" x14ac:dyDescent="0.25">
      <c r="A85">
        <v>84</v>
      </c>
      <c r="B85">
        <v>56</v>
      </c>
      <c r="C85" t="s">
        <v>12</v>
      </c>
      <c r="D85">
        <v>58971</v>
      </c>
      <c r="E85">
        <v>77</v>
      </c>
      <c r="F85">
        <v>9</v>
      </c>
      <c r="G85">
        <v>35</v>
      </c>
      <c r="H85" t="s">
        <v>14</v>
      </c>
      <c r="I85">
        <v>13.16</v>
      </c>
    </row>
    <row r="86" spans="1:9" x14ac:dyDescent="0.25">
      <c r="A86">
        <v>93</v>
      </c>
      <c r="B86">
        <v>65</v>
      </c>
      <c r="C86" t="s">
        <v>12</v>
      </c>
      <c r="D86">
        <v>62792</v>
      </c>
      <c r="E86">
        <v>83</v>
      </c>
      <c r="F86">
        <v>8</v>
      </c>
      <c r="G86">
        <v>11</v>
      </c>
      <c r="H86" t="s">
        <v>14</v>
      </c>
      <c r="I86">
        <v>230.58</v>
      </c>
    </row>
    <row r="87" spans="1:9" x14ac:dyDescent="0.25">
      <c r="A87">
        <v>115</v>
      </c>
      <c r="B87">
        <v>64</v>
      </c>
      <c r="C87" t="s">
        <v>12</v>
      </c>
      <c r="D87">
        <v>87595</v>
      </c>
      <c r="E87">
        <v>11</v>
      </c>
      <c r="F87">
        <v>5</v>
      </c>
      <c r="G87">
        <v>21</v>
      </c>
      <c r="H87" t="s">
        <v>14</v>
      </c>
      <c r="I87">
        <v>69.78</v>
      </c>
    </row>
    <row r="88" spans="1:9" x14ac:dyDescent="0.25">
      <c r="A88">
        <v>117</v>
      </c>
      <c r="B88">
        <v>62</v>
      </c>
      <c r="C88" t="s">
        <v>12</v>
      </c>
      <c r="D88">
        <v>128322</v>
      </c>
      <c r="E88">
        <v>44</v>
      </c>
      <c r="F88">
        <v>4</v>
      </c>
      <c r="G88">
        <v>31</v>
      </c>
      <c r="H88" t="s">
        <v>14</v>
      </c>
      <c r="I88">
        <v>668.91</v>
      </c>
    </row>
    <row r="89" spans="1:9" x14ac:dyDescent="0.25">
      <c r="A89">
        <v>122</v>
      </c>
      <c r="B89">
        <v>43</v>
      </c>
      <c r="C89" t="s">
        <v>12</v>
      </c>
      <c r="D89">
        <v>42855</v>
      </c>
      <c r="E89">
        <v>66</v>
      </c>
      <c r="F89">
        <v>6</v>
      </c>
      <c r="G89">
        <v>23</v>
      </c>
      <c r="H89" t="s">
        <v>14</v>
      </c>
      <c r="I89">
        <v>138.51</v>
      </c>
    </row>
    <row r="90" spans="1:9" x14ac:dyDescent="0.25">
      <c r="A90">
        <v>147</v>
      </c>
      <c r="B90">
        <v>69</v>
      </c>
      <c r="C90" t="s">
        <v>12</v>
      </c>
      <c r="D90">
        <v>90929</v>
      </c>
      <c r="E90">
        <v>2</v>
      </c>
      <c r="F90">
        <v>10</v>
      </c>
      <c r="G90">
        <v>29</v>
      </c>
      <c r="H90" t="s">
        <v>14</v>
      </c>
      <c r="I90">
        <v>518.70000000000005</v>
      </c>
    </row>
    <row r="91" spans="1:9" x14ac:dyDescent="0.25">
      <c r="A91">
        <v>182</v>
      </c>
      <c r="B91">
        <v>40</v>
      </c>
      <c r="C91" t="s">
        <v>12</v>
      </c>
      <c r="D91">
        <v>136323</v>
      </c>
      <c r="E91">
        <v>36</v>
      </c>
      <c r="F91">
        <v>6</v>
      </c>
      <c r="G91">
        <v>25</v>
      </c>
      <c r="H91" t="s">
        <v>14</v>
      </c>
      <c r="I91">
        <v>625.28</v>
      </c>
    </row>
    <row r="92" spans="1:9" x14ac:dyDescent="0.25">
      <c r="A92">
        <v>187</v>
      </c>
      <c r="B92">
        <v>35</v>
      </c>
      <c r="C92" t="s">
        <v>12</v>
      </c>
      <c r="D92">
        <v>137307</v>
      </c>
      <c r="E92">
        <v>32</v>
      </c>
      <c r="F92">
        <v>6</v>
      </c>
      <c r="G92">
        <v>24</v>
      </c>
      <c r="H92" t="s">
        <v>14</v>
      </c>
      <c r="I92">
        <v>111.27</v>
      </c>
    </row>
    <row r="93" spans="1:9" x14ac:dyDescent="0.25">
      <c r="A93">
        <v>189</v>
      </c>
      <c r="B93">
        <v>45</v>
      </c>
      <c r="C93" t="s">
        <v>12</v>
      </c>
      <c r="D93">
        <v>108335</v>
      </c>
      <c r="E93">
        <v>62</v>
      </c>
      <c r="F93">
        <v>1</v>
      </c>
      <c r="G93">
        <v>35</v>
      </c>
      <c r="H93" t="s">
        <v>14</v>
      </c>
      <c r="I93">
        <v>940.93</v>
      </c>
    </row>
    <row r="94" spans="1:9" x14ac:dyDescent="0.25">
      <c r="A94">
        <v>191</v>
      </c>
      <c r="B94">
        <v>35</v>
      </c>
      <c r="C94" t="s">
        <v>12</v>
      </c>
      <c r="D94">
        <v>100208</v>
      </c>
      <c r="E94">
        <v>80</v>
      </c>
      <c r="F94">
        <v>2</v>
      </c>
      <c r="G94">
        <v>27</v>
      </c>
      <c r="H94" t="s">
        <v>14</v>
      </c>
      <c r="I94">
        <v>23.73</v>
      </c>
    </row>
    <row r="95" spans="1:9" x14ac:dyDescent="0.25">
      <c r="A95">
        <v>205</v>
      </c>
      <c r="B95">
        <v>27</v>
      </c>
      <c r="C95" t="s">
        <v>12</v>
      </c>
      <c r="D95">
        <v>132541</v>
      </c>
      <c r="E95">
        <v>78</v>
      </c>
      <c r="F95">
        <v>8</v>
      </c>
      <c r="G95">
        <v>42</v>
      </c>
      <c r="H95" t="s">
        <v>14</v>
      </c>
      <c r="I95">
        <v>825.01</v>
      </c>
    </row>
    <row r="96" spans="1:9" x14ac:dyDescent="0.25">
      <c r="A96">
        <v>206</v>
      </c>
      <c r="B96">
        <v>34</v>
      </c>
      <c r="C96" t="s">
        <v>12</v>
      </c>
      <c r="D96">
        <v>97962</v>
      </c>
      <c r="E96">
        <v>18</v>
      </c>
      <c r="F96">
        <v>3</v>
      </c>
      <c r="G96">
        <v>19</v>
      </c>
      <c r="H96" t="s">
        <v>14</v>
      </c>
      <c r="I96">
        <v>947.73</v>
      </c>
    </row>
    <row r="97" spans="1:9" x14ac:dyDescent="0.25">
      <c r="A97">
        <v>220</v>
      </c>
      <c r="B97">
        <v>69</v>
      </c>
      <c r="C97" t="s">
        <v>12</v>
      </c>
      <c r="D97">
        <v>142216</v>
      </c>
      <c r="E97">
        <v>90</v>
      </c>
      <c r="F97">
        <v>7</v>
      </c>
      <c r="G97">
        <v>29</v>
      </c>
      <c r="H97" t="s">
        <v>14</v>
      </c>
      <c r="I97">
        <v>559.73</v>
      </c>
    </row>
    <row r="98" spans="1:9" x14ac:dyDescent="0.25">
      <c r="A98">
        <v>227</v>
      </c>
      <c r="B98">
        <v>65</v>
      </c>
      <c r="C98" t="s">
        <v>12</v>
      </c>
      <c r="D98">
        <v>89274</v>
      </c>
      <c r="E98">
        <v>71</v>
      </c>
      <c r="F98">
        <v>10</v>
      </c>
      <c r="G98">
        <v>34</v>
      </c>
      <c r="H98" t="s">
        <v>14</v>
      </c>
      <c r="I98">
        <v>840.45</v>
      </c>
    </row>
    <row r="99" spans="1:9" x14ac:dyDescent="0.25">
      <c r="A99">
        <v>230</v>
      </c>
      <c r="B99">
        <v>56</v>
      </c>
      <c r="C99" t="s">
        <v>12</v>
      </c>
      <c r="D99">
        <v>31154</v>
      </c>
      <c r="E99">
        <v>40</v>
      </c>
      <c r="F99">
        <v>4</v>
      </c>
      <c r="G99">
        <v>25</v>
      </c>
      <c r="H99" t="s">
        <v>14</v>
      </c>
      <c r="I99">
        <v>197.54</v>
      </c>
    </row>
    <row r="100" spans="1:9" x14ac:dyDescent="0.25">
      <c r="A100">
        <v>246</v>
      </c>
      <c r="B100">
        <v>44</v>
      </c>
      <c r="C100" t="s">
        <v>12</v>
      </c>
      <c r="D100">
        <v>83880</v>
      </c>
      <c r="E100">
        <v>31</v>
      </c>
      <c r="F100">
        <v>6</v>
      </c>
      <c r="G100">
        <v>32</v>
      </c>
      <c r="H100" t="s">
        <v>14</v>
      </c>
      <c r="I100">
        <v>464.42</v>
      </c>
    </row>
    <row r="101" spans="1:9" x14ac:dyDescent="0.25">
      <c r="A101">
        <v>251</v>
      </c>
      <c r="B101">
        <v>43</v>
      </c>
      <c r="C101" t="s">
        <v>12</v>
      </c>
      <c r="D101">
        <v>89688</v>
      </c>
      <c r="E101">
        <v>27</v>
      </c>
      <c r="F101">
        <v>10</v>
      </c>
      <c r="G101">
        <v>30</v>
      </c>
      <c r="H101" t="s">
        <v>14</v>
      </c>
      <c r="I101">
        <v>223.64</v>
      </c>
    </row>
    <row r="102" spans="1:9" x14ac:dyDescent="0.25">
      <c r="A102">
        <v>283</v>
      </c>
      <c r="B102">
        <v>33</v>
      </c>
      <c r="C102" t="s">
        <v>12</v>
      </c>
      <c r="D102">
        <v>113187</v>
      </c>
      <c r="E102">
        <v>27</v>
      </c>
      <c r="F102">
        <v>9</v>
      </c>
      <c r="G102">
        <v>46</v>
      </c>
      <c r="H102" t="s">
        <v>14</v>
      </c>
      <c r="I102">
        <v>886.3</v>
      </c>
    </row>
    <row r="103" spans="1:9" x14ac:dyDescent="0.25">
      <c r="A103">
        <v>284</v>
      </c>
      <c r="B103">
        <v>43</v>
      </c>
      <c r="C103" t="s">
        <v>12</v>
      </c>
      <c r="D103">
        <v>77006</v>
      </c>
      <c r="E103">
        <v>27</v>
      </c>
      <c r="F103">
        <v>3</v>
      </c>
      <c r="G103">
        <v>36</v>
      </c>
      <c r="H103" t="s">
        <v>14</v>
      </c>
      <c r="I103">
        <v>223.98</v>
      </c>
    </row>
    <row r="104" spans="1:9" x14ac:dyDescent="0.25">
      <c r="A104">
        <v>290</v>
      </c>
      <c r="B104">
        <v>43</v>
      </c>
      <c r="C104" t="s">
        <v>12</v>
      </c>
      <c r="D104">
        <v>64136</v>
      </c>
      <c r="E104">
        <v>61</v>
      </c>
      <c r="F104">
        <v>1</v>
      </c>
      <c r="G104">
        <v>19</v>
      </c>
      <c r="H104" t="s">
        <v>14</v>
      </c>
      <c r="I104">
        <v>680.92</v>
      </c>
    </row>
    <row r="105" spans="1:9" x14ac:dyDescent="0.25">
      <c r="A105">
        <v>311</v>
      </c>
      <c r="B105">
        <v>53</v>
      </c>
      <c r="C105" t="s">
        <v>12</v>
      </c>
      <c r="D105">
        <v>138922</v>
      </c>
      <c r="E105">
        <v>45</v>
      </c>
      <c r="F105">
        <v>5</v>
      </c>
      <c r="G105">
        <v>22</v>
      </c>
      <c r="H105" t="s">
        <v>14</v>
      </c>
      <c r="I105">
        <v>154.06</v>
      </c>
    </row>
    <row r="106" spans="1:9" x14ac:dyDescent="0.25">
      <c r="A106">
        <v>358</v>
      </c>
      <c r="B106">
        <v>57</v>
      </c>
      <c r="C106" t="s">
        <v>12</v>
      </c>
      <c r="D106">
        <v>137205</v>
      </c>
      <c r="E106">
        <v>18</v>
      </c>
      <c r="F106">
        <v>1</v>
      </c>
      <c r="G106">
        <v>21</v>
      </c>
      <c r="H106" t="s">
        <v>14</v>
      </c>
      <c r="I106">
        <v>862.12</v>
      </c>
    </row>
    <row r="107" spans="1:9" x14ac:dyDescent="0.25">
      <c r="A107">
        <v>360</v>
      </c>
      <c r="B107">
        <v>38</v>
      </c>
      <c r="C107" t="s">
        <v>12</v>
      </c>
      <c r="D107">
        <v>40590</v>
      </c>
      <c r="E107">
        <v>91</v>
      </c>
      <c r="F107">
        <v>7</v>
      </c>
      <c r="G107">
        <v>27</v>
      </c>
      <c r="H107" t="s">
        <v>14</v>
      </c>
      <c r="I107">
        <v>617.64</v>
      </c>
    </row>
    <row r="108" spans="1:9" x14ac:dyDescent="0.25">
      <c r="A108">
        <v>390</v>
      </c>
      <c r="B108">
        <v>37</v>
      </c>
      <c r="C108" t="s">
        <v>12</v>
      </c>
      <c r="D108">
        <v>65343</v>
      </c>
      <c r="E108">
        <v>89</v>
      </c>
      <c r="F108">
        <v>3</v>
      </c>
      <c r="G108">
        <v>2</v>
      </c>
      <c r="H108" t="s">
        <v>14</v>
      </c>
      <c r="I108">
        <v>668.23</v>
      </c>
    </row>
    <row r="109" spans="1:9" x14ac:dyDescent="0.25">
      <c r="A109">
        <v>425</v>
      </c>
      <c r="B109">
        <v>41</v>
      </c>
      <c r="C109" t="s">
        <v>12</v>
      </c>
      <c r="D109">
        <v>67039</v>
      </c>
      <c r="E109">
        <v>100</v>
      </c>
      <c r="F109">
        <v>1</v>
      </c>
      <c r="G109">
        <v>36</v>
      </c>
      <c r="H109" t="s">
        <v>14</v>
      </c>
      <c r="I109">
        <v>178.68</v>
      </c>
    </row>
    <row r="110" spans="1:9" x14ac:dyDescent="0.25">
      <c r="A110">
        <v>429</v>
      </c>
      <c r="B110">
        <v>20</v>
      </c>
      <c r="C110" t="s">
        <v>12</v>
      </c>
      <c r="D110">
        <v>49308</v>
      </c>
      <c r="E110">
        <v>29</v>
      </c>
      <c r="F110">
        <v>6</v>
      </c>
      <c r="G110">
        <v>19</v>
      </c>
      <c r="H110" t="s">
        <v>14</v>
      </c>
      <c r="I110">
        <v>351.64</v>
      </c>
    </row>
    <row r="111" spans="1:9" x14ac:dyDescent="0.25">
      <c r="A111">
        <v>434</v>
      </c>
      <c r="B111">
        <v>57</v>
      </c>
      <c r="C111" t="s">
        <v>12</v>
      </c>
      <c r="D111">
        <v>60668</v>
      </c>
      <c r="E111">
        <v>66</v>
      </c>
      <c r="F111">
        <v>6</v>
      </c>
      <c r="G111">
        <v>28</v>
      </c>
      <c r="H111" t="s">
        <v>14</v>
      </c>
      <c r="I111">
        <v>984.6</v>
      </c>
    </row>
    <row r="112" spans="1:9" x14ac:dyDescent="0.25">
      <c r="A112">
        <v>446</v>
      </c>
      <c r="B112">
        <v>53</v>
      </c>
      <c r="C112" t="s">
        <v>12</v>
      </c>
      <c r="D112">
        <v>56570</v>
      </c>
      <c r="E112">
        <v>29</v>
      </c>
      <c r="F112">
        <v>7</v>
      </c>
      <c r="G112">
        <v>37</v>
      </c>
      <c r="H112" t="s">
        <v>14</v>
      </c>
      <c r="I112">
        <v>432.65</v>
      </c>
    </row>
    <row r="113" spans="1:9" x14ac:dyDescent="0.25">
      <c r="A113">
        <v>450</v>
      </c>
      <c r="B113">
        <v>48</v>
      </c>
      <c r="C113" t="s">
        <v>12</v>
      </c>
      <c r="D113">
        <v>60382</v>
      </c>
      <c r="E113">
        <v>13</v>
      </c>
      <c r="F113">
        <v>3</v>
      </c>
      <c r="G113">
        <v>27</v>
      </c>
      <c r="H113" t="s">
        <v>14</v>
      </c>
      <c r="I113">
        <v>694.59</v>
      </c>
    </row>
    <row r="114" spans="1:9" x14ac:dyDescent="0.25">
      <c r="A114">
        <v>453</v>
      </c>
      <c r="B114">
        <v>30</v>
      </c>
      <c r="C114" t="s">
        <v>12</v>
      </c>
      <c r="D114">
        <v>35565</v>
      </c>
      <c r="E114">
        <v>83</v>
      </c>
      <c r="F114">
        <v>8</v>
      </c>
      <c r="G114">
        <v>17</v>
      </c>
      <c r="H114" t="s">
        <v>14</v>
      </c>
      <c r="I114">
        <v>238.79</v>
      </c>
    </row>
    <row r="115" spans="1:9" x14ac:dyDescent="0.25">
      <c r="A115">
        <v>503</v>
      </c>
      <c r="B115">
        <v>22</v>
      </c>
      <c r="C115" t="s">
        <v>12</v>
      </c>
      <c r="D115">
        <v>75626</v>
      </c>
      <c r="E115">
        <v>52</v>
      </c>
      <c r="F115">
        <v>7</v>
      </c>
      <c r="G115">
        <v>34</v>
      </c>
      <c r="H115" t="s">
        <v>14</v>
      </c>
      <c r="I115">
        <v>154.66999999999999</v>
      </c>
    </row>
    <row r="116" spans="1:9" x14ac:dyDescent="0.25">
      <c r="A116">
        <v>505</v>
      </c>
      <c r="B116">
        <v>22</v>
      </c>
      <c r="C116" t="s">
        <v>12</v>
      </c>
      <c r="D116">
        <v>53863</v>
      </c>
      <c r="E116">
        <v>96</v>
      </c>
      <c r="F116">
        <v>10</v>
      </c>
      <c r="G116">
        <v>41</v>
      </c>
      <c r="H116" t="s">
        <v>14</v>
      </c>
      <c r="I116">
        <v>491.64</v>
      </c>
    </row>
    <row r="117" spans="1:9" x14ac:dyDescent="0.25">
      <c r="A117">
        <v>520</v>
      </c>
      <c r="B117">
        <v>38</v>
      </c>
      <c r="C117" t="s">
        <v>12</v>
      </c>
      <c r="D117">
        <v>54918</v>
      </c>
      <c r="E117">
        <v>1</v>
      </c>
      <c r="F117">
        <v>6</v>
      </c>
      <c r="G117">
        <v>6</v>
      </c>
      <c r="H117" t="s">
        <v>14</v>
      </c>
      <c r="I117">
        <v>979.26</v>
      </c>
    </row>
    <row r="118" spans="1:9" x14ac:dyDescent="0.25">
      <c r="A118">
        <v>539</v>
      </c>
      <c r="B118">
        <v>27</v>
      </c>
      <c r="C118" t="s">
        <v>12</v>
      </c>
      <c r="D118">
        <v>73823</v>
      </c>
      <c r="E118">
        <v>11</v>
      </c>
      <c r="F118">
        <v>8</v>
      </c>
      <c r="G118">
        <v>23</v>
      </c>
      <c r="H118" t="s">
        <v>14</v>
      </c>
      <c r="I118">
        <v>27.4</v>
      </c>
    </row>
    <row r="119" spans="1:9" x14ac:dyDescent="0.25">
      <c r="A119">
        <v>551</v>
      </c>
      <c r="B119">
        <v>50</v>
      </c>
      <c r="C119" t="s">
        <v>12</v>
      </c>
      <c r="D119">
        <v>43965</v>
      </c>
      <c r="E119">
        <v>83</v>
      </c>
      <c r="F119">
        <v>3</v>
      </c>
      <c r="G119">
        <v>17</v>
      </c>
      <c r="H119" t="s">
        <v>14</v>
      </c>
      <c r="I119">
        <v>83.38</v>
      </c>
    </row>
    <row r="120" spans="1:9" x14ac:dyDescent="0.25">
      <c r="A120">
        <v>572</v>
      </c>
      <c r="B120">
        <v>19</v>
      </c>
      <c r="C120" t="s">
        <v>12</v>
      </c>
      <c r="D120">
        <v>134193</v>
      </c>
      <c r="E120">
        <v>95</v>
      </c>
      <c r="F120">
        <v>7</v>
      </c>
      <c r="G120">
        <v>44</v>
      </c>
      <c r="H120" t="s">
        <v>14</v>
      </c>
      <c r="I120">
        <v>97.65</v>
      </c>
    </row>
    <row r="121" spans="1:9" x14ac:dyDescent="0.25">
      <c r="A121">
        <v>578</v>
      </c>
      <c r="B121">
        <v>64</v>
      </c>
      <c r="C121" t="s">
        <v>12</v>
      </c>
      <c r="D121">
        <v>43175</v>
      </c>
      <c r="E121">
        <v>59</v>
      </c>
      <c r="F121">
        <v>10</v>
      </c>
      <c r="G121">
        <v>35</v>
      </c>
      <c r="H121" t="s">
        <v>14</v>
      </c>
      <c r="I121">
        <v>363.86</v>
      </c>
    </row>
    <row r="122" spans="1:9" x14ac:dyDescent="0.25">
      <c r="A122">
        <v>582</v>
      </c>
      <c r="B122">
        <v>19</v>
      </c>
      <c r="C122" t="s">
        <v>12</v>
      </c>
      <c r="D122">
        <v>135968</v>
      </c>
      <c r="E122">
        <v>50</v>
      </c>
      <c r="F122">
        <v>4</v>
      </c>
      <c r="G122">
        <v>49</v>
      </c>
      <c r="H122" t="s">
        <v>14</v>
      </c>
      <c r="I122">
        <v>174.43</v>
      </c>
    </row>
    <row r="123" spans="1:9" x14ac:dyDescent="0.25">
      <c r="A123">
        <v>591</v>
      </c>
      <c r="B123">
        <v>53</v>
      </c>
      <c r="C123" t="s">
        <v>12</v>
      </c>
      <c r="D123">
        <v>108263</v>
      </c>
      <c r="E123">
        <v>21</v>
      </c>
      <c r="F123">
        <v>1</v>
      </c>
      <c r="G123">
        <v>47</v>
      </c>
      <c r="H123" t="s">
        <v>14</v>
      </c>
      <c r="I123">
        <v>734.48</v>
      </c>
    </row>
    <row r="124" spans="1:9" x14ac:dyDescent="0.25">
      <c r="A124">
        <v>602</v>
      </c>
      <c r="B124">
        <v>20</v>
      </c>
      <c r="C124" t="s">
        <v>12</v>
      </c>
      <c r="D124">
        <v>145924</v>
      </c>
      <c r="E124">
        <v>64</v>
      </c>
      <c r="F124">
        <v>5</v>
      </c>
      <c r="G124">
        <v>18</v>
      </c>
      <c r="H124" t="s">
        <v>14</v>
      </c>
      <c r="I124">
        <v>495.49</v>
      </c>
    </row>
    <row r="125" spans="1:9" x14ac:dyDescent="0.25">
      <c r="A125">
        <v>615</v>
      </c>
      <c r="B125">
        <v>69</v>
      </c>
      <c r="C125" t="s">
        <v>12</v>
      </c>
      <c r="D125">
        <v>141965</v>
      </c>
      <c r="E125">
        <v>98</v>
      </c>
      <c r="F125">
        <v>5</v>
      </c>
      <c r="G125">
        <v>35</v>
      </c>
      <c r="H125" t="s">
        <v>14</v>
      </c>
      <c r="I125">
        <v>616.66</v>
      </c>
    </row>
    <row r="126" spans="1:9" x14ac:dyDescent="0.25">
      <c r="A126">
        <v>621</v>
      </c>
      <c r="B126">
        <v>20</v>
      </c>
      <c r="C126" t="s">
        <v>12</v>
      </c>
      <c r="D126">
        <v>122028</v>
      </c>
      <c r="E126">
        <v>40</v>
      </c>
      <c r="F126">
        <v>3</v>
      </c>
      <c r="G126">
        <v>6</v>
      </c>
      <c r="H126" t="s">
        <v>14</v>
      </c>
      <c r="I126">
        <v>777.44</v>
      </c>
    </row>
    <row r="127" spans="1:9" x14ac:dyDescent="0.25">
      <c r="A127">
        <v>646</v>
      </c>
      <c r="B127">
        <v>62</v>
      </c>
      <c r="C127" t="s">
        <v>12</v>
      </c>
      <c r="D127">
        <v>113856</v>
      </c>
      <c r="E127">
        <v>78</v>
      </c>
      <c r="F127">
        <v>6</v>
      </c>
      <c r="G127">
        <v>50</v>
      </c>
      <c r="H127" t="s">
        <v>14</v>
      </c>
      <c r="I127">
        <v>720.47</v>
      </c>
    </row>
    <row r="128" spans="1:9" x14ac:dyDescent="0.25">
      <c r="A128">
        <v>657</v>
      </c>
      <c r="B128">
        <v>27</v>
      </c>
      <c r="C128" t="s">
        <v>12</v>
      </c>
      <c r="D128">
        <v>81110</v>
      </c>
      <c r="E128">
        <v>44</v>
      </c>
      <c r="F128">
        <v>6</v>
      </c>
      <c r="G128">
        <v>8</v>
      </c>
      <c r="H128" t="s">
        <v>14</v>
      </c>
      <c r="I128">
        <v>654.04999999999995</v>
      </c>
    </row>
    <row r="129" spans="1:9" x14ac:dyDescent="0.25">
      <c r="A129">
        <v>682</v>
      </c>
      <c r="B129">
        <v>61</v>
      </c>
      <c r="C129" t="s">
        <v>12</v>
      </c>
      <c r="D129">
        <v>136973</v>
      </c>
      <c r="E129">
        <v>27</v>
      </c>
      <c r="F129">
        <v>7</v>
      </c>
      <c r="G129">
        <v>2</v>
      </c>
      <c r="H129" t="s">
        <v>14</v>
      </c>
      <c r="I129">
        <v>269.2</v>
      </c>
    </row>
    <row r="130" spans="1:9" x14ac:dyDescent="0.25">
      <c r="A130">
        <v>692</v>
      </c>
      <c r="B130">
        <v>23</v>
      </c>
      <c r="C130" t="s">
        <v>12</v>
      </c>
      <c r="D130">
        <v>57558</v>
      </c>
      <c r="E130">
        <v>28</v>
      </c>
      <c r="F130">
        <v>6</v>
      </c>
      <c r="G130">
        <v>23</v>
      </c>
      <c r="H130" t="s">
        <v>14</v>
      </c>
      <c r="I130">
        <v>800.78</v>
      </c>
    </row>
    <row r="131" spans="1:9" x14ac:dyDescent="0.25">
      <c r="A131">
        <v>695</v>
      </c>
      <c r="B131">
        <v>45</v>
      </c>
      <c r="C131" t="s">
        <v>12</v>
      </c>
      <c r="D131">
        <v>53474</v>
      </c>
      <c r="E131">
        <v>79</v>
      </c>
      <c r="F131">
        <v>8</v>
      </c>
      <c r="G131">
        <v>21</v>
      </c>
      <c r="H131" t="s">
        <v>14</v>
      </c>
      <c r="I131">
        <v>40.32</v>
      </c>
    </row>
    <row r="132" spans="1:9" x14ac:dyDescent="0.25">
      <c r="A132">
        <v>700</v>
      </c>
      <c r="B132">
        <v>31</v>
      </c>
      <c r="C132" t="s">
        <v>12</v>
      </c>
      <c r="D132">
        <v>33604</v>
      </c>
      <c r="E132">
        <v>8</v>
      </c>
      <c r="F132">
        <v>5</v>
      </c>
      <c r="G132">
        <v>2</v>
      </c>
      <c r="H132" t="s">
        <v>14</v>
      </c>
      <c r="I132">
        <v>984.15</v>
      </c>
    </row>
    <row r="133" spans="1:9" x14ac:dyDescent="0.25">
      <c r="A133">
        <v>733</v>
      </c>
      <c r="B133">
        <v>49</v>
      </c>
      <c r="C133" t="s">
        <v>12</v>
      </c>
      <c r="D133">
        <v>56707</v>
      </c>
      <c r="E133">
        <v>6</v>
      </c>
      <c r="F133">
        <v>8</v>
      </c>
      <c r="G133">
        <v>29</v>
      </c>
      <c r="H133" t="s">
        <v>14</v>
      </c>
      <c r="I133">
        <v>604.53</v>
      </c>
    </row>
    <row r="134" spans="1:9" x14ac:dyDescent="0.25">
      <c r="A134">
        <v>739</v>
      </c>
      <c r="B134">
        <v>61</v>
      </c>
      <c r="C134" t="s">
        <v>12</v>
      </c>
      <c r="D134">
        <v>113380</v>
      </c>
      <c r="E134">
        <v>27</v>
      </c>
      <c r="F134">
        <v>2</v>
      </c>
      <c r="G134">
        <v>17</v>
      </c>
      <c r="H134" t="s">
        <v>14</v>
      </c>
      <c r="I134">
        <v>177.5</v>
      </c>
    </row>
    <row r="135" spans="1:9" x14ac:dyDescent="0.25">
      <c r="A135">
        <v>744</v>
      </c>
      <c r="B135">
        <v>56</v>
      </c>
      <c r="C135" t="s">
        <v>12</v>
      </c>
      <c r="D135">
        <v>90816</v>
      </c>
      <c r="E135">
        <v>20</v>
      </c>
      <c r="F135">
        <v>10</v>
      </c>
      <c r="G135">
        <v>35</v>
      </c>
      <c r="H135" t="s">
        <v>14</v>
      </c>
      <c r="I135">
        <v>808.16</v>
      </c>
    </row>
    <row r="136" spans="1:9" x14ac:dyDescent="0.25">
      <c r="A136">
        <v>746</v>
      </c>
      <c r="B136">
        <v>60</v>
      </c>
      <c r="C136" t="s">
        <v>12</v>
      </c>
      <c r="D136">
        <v>34657</v>
      </c>
      <c r="E136">
        <v>99</v>
      </c>
      <c r="F136">
        <v>10</v>
      </c>
      <c r="G136">
        <v>3</v>
      </c>
      <c r="H136" t="s">
        <v>14</v>
      </c>
      <c r="I136">
        <v>983.3</v>
      </c>
    </row>
    <row r="137" spans="1:9" x14ac:dyDescent="0.25">
      <c r="A137">
        <v>782</v>
      </c>
      <c r="B137">
        <v>22</v>
      </c>
      <c r="C137" t="s">
        <v>12</v>
      </c>
      <c r="D137">
        <v>118840</v>
      </c>
      <c r="E137">
        <v>32</v>
      </c>
      <c r="F137">
        <v>9</v>
      </c>
      <c r="G137">
        <v>9</v>
      </c>
      <c r="H137" t="s">
        <v>14</v>
      </c>
      <c r="I137">
        <v>819.14</v>
      </c>
    </row>
    <row r="138" spans="1:9" x14ac:dyDescent="0.25">
      <c r="A138">
        <v>794</v>
      </c>
      <c r="B138">
        <v>50</v>
      </c>
      <c r="C138" t="s">
        <v>12</v>
      </c>
      <c r="D138">
        <v>103921</v>
      </c>
      <c r="E138">
        <v>58</v>
      </c>
      <c r="F138">
        <v>2</v>
      </c>
      <c r="G138">
        <v>3</v>
      </c>
      <c r="H138" t="s">
        <v>14</v>
      </c>
      <c r="I138">
        <v>687.32</v>
      </c>
    </row>
    <row r="139" spans="1:9" x14ac:dyDescent="0.25">
      <c r="A139">
        <v>810</v>
      </c>
      <c r="B139">
        <v>35</v>
      </c>
      <c r="C139" t="s">
        <v>12</v>
      </c>
      <c r="D139">
        <v>83547</v>
      </c>
      <c r="E139">
        <v>27</v>
      </c>
      <c r="F139">
        <v>7</v>
      </c>
      <c r="G139">
        <v>40</v>
      </c>
      <c r="H139" t="s">
        <v>14</v>
      </c>
      <c r="I139">
        <v>570.08000000000004</v>
      </c>
    </row>
    <row r="140" spans="1:9" x14ac:dyDescent="0.25">
      <c r="A140">
        <v>828</v>
      </c>
      <c r="B140">
        <v>34</v>
      </c>
      <c r="C140" t="s">
        <v>12</v>
      </c>
      <c r="D140">
        <v>43316</v>
      </c>
      <c r="E140">
        <v>72</v>
      </c>
      <c r="F140">
        <v>7</v>
      </c>
      <c r="G140">
        <v>13</v>
      </c>
      <c r="H140" t="s">
        <v>14</v>
      </c>
      <c r="I140">
        <v>274.88</v>
      </c>
    </row>
    <row r="141" spans="1:9" x14ac:dyDescent="0.25">
      <c r="A141">
        <v>838</v>
      </c>
      <c r="B141">
        <v>57</v>
      </c>
      <c r="C141" t="s">
        <v>12</v>
      </c>
      <c r="D141">
        <v>98928</v>
      </c>
      <c r="E141">
        <v>80</v>
      </c>
      <c r="F141">
        <v>3</v>
      </c>
      <c r="G141">
        <v>33</v>
      </c>
      <c r="H141" t="s">
        <v>14</v>
      </c>
      <c r="I141">
        <v>934.98</v>
      </c>
    </row>
    <row r="142" spans="1:9" x14ac:dyDescent="0.25">
      <c r="A142">
        <v>859</v>
      </c>
      <c r="B142">
        <v>22</v>
      </c>
      <c r="C142" t="s">
        <v>12</v>
      </c>
      <c r="D142">
        <v>62752</v>
      </c>
      <c r="E142">
        <v>2</v>
      </c>
      <c r="F142">
        <v>10</v>
      </c>
      <c r="G142">
        <v>22</v>
      </c>
      <c r="H142" t="s">
        <v>14</v>
      </c>
      <c r="I142">
        <v>469.36</v>
      </c>
    </row>
    <row r="143" spans="1:9" x14ac:dyDescent="0.25">
      <c r="A143">
        <v>860</v>
      </c>
      <c r="B143">
        <v>22</v>
      </c>
      <c r="C143" t="s">
        <v>12</v>
      </c>
      <c r="D143">
        <v>46866</v>
      </c>
      <c r="E143">
        <v>3</v>
      </c>
      <c r="F143">
        <v>7</v>
      </c>
      <c r="G143">
        <v>46</v>
      </c>
      <c r="H143" t="s">
        <v>14</v>
      </c>
      <c r="I143">
        <v>737.44</v>
      </c>
    </row>
    <row r="144" spans="1:9" x14ac:dyDescent="0.25">
      <c r="A144">
        <v>864</v>
      </c>
      <c r="B144">
        <v>41</v>
      </c>
      <c r="C144" t="s">
        <v>12</v>
      </c>
      <c r="D144">
        <v>92371</v>
      </c>
      <c r="E144">
        <v>28</v>
      </c>
      <c r="F144">
        <v>10</v>
      </c>
      <c r="G144">
        <v>48</v>
      </c>
      <c r="H144" t="s">
        <v>14</v>
      </c>
      <c r="I144">
        <v>594.96</v>
      </c>
    </row>
    <row r="145" spans="1:9" x14ac:dyDescent="0.25">
      <c r="A145">
        <v>866</v>
      </c>
      <c r="B145">
        <v>22</v>
      </c>
      <c r="C145" t="s">
        <v>12</v>
      </c>
      <c r="D145">
        <v>48068</v>
      </c>
      <c r="E145">
        <v>57</v>
      </c>
      <c r="F145">
        <v>2</v>
      </c>
      <c r="G145">
        <v>24</v>
      </c>
      <c r="H145" t="s">
        <v>14</v>
      </c>
      <c r="I145">
        <v>683.02</v>
      </c>
    </row>
    <row r="146" spans="1:9" x14ac:dyDescent="0.25">
      <c r="A146">
        <v>897</v>
      </c>
      <c r="B146">
        <v>32</v>
      </c>
      <c r="C146" t="s">
        <v>12</v>
      </c>
      <c r="D146">
        <v>81701</v>
      </c>
      <c r="E146">
        <v>96</v>
      </c>
      <c r="F146">
        <v>9</v>
      </c>
      <c r="G146">
        <v>49</v>
      </c>
      <c r="H146" t="s">
        <v>14</v>
      </c>
      <c r="I146">
        <v>77.45</v>
      </c>
    </row>
    <row r="147" spans="1:9" x14ac:dyDescent="0.25">
      <c r="A147">
        <v>899</v>
      </c>
      <c r="B147">
        <v>48</v>
      </c>
      <c r="C147" t="s">
        <v>12</v>
      </c>
      <c r="D147">
        <v>134463</v>
      </c>
      <c r="E147">
        <v>32</v>
      </c>
      <c r="F147">
        <v>2</v>
      </c>
      <c r="G147">
        <v>7</v>
      </c>
      <c r="H147" t="s">
        <v>14</v>
      </c>
      <c r="I147">
        <v>535.1</v>
      </c>
    </row>
    <row r="148" spans="1:9" x14ac:dyDescent="0.25">
      <c r="A148">
        <v>906</v>
      </c>
      <c r="B148">
        <v>25</v>
      </c>
      <c r="C148" t="s">
        <v>12</v>
      </c>
      <c r="D148">
        <v>130604</v>
      </c>
      <c r="E148">
        <v>100</v>
      </c>
      <c r="F148">
        <v>4</v>
      </c>
      <c r="G148">
        <v>41</v>
      </c>
      <c r="H148" t="s">
        <v>14</v>
      </c>
      <c r="I148">
        <v>355.45</v>
      </c>
    </row>
    <row r="149" spans="1:9" x14ac:dyDescent="0.25">
      <c r="A149">
        <v>913</v>
      </c>
      <c r="B149">
        <v>38</v>
      </c>
      <c r="C149" t="s">
        <v>12</v>
      </c>
      <c r="D149">
        <v>45551</v>
      </c>
      <c r="E149">
        <v>100</v>
      </c>
      <c r="F149">
        <v>10</v>
      </c>
      <c r="G149">
        <v>22</v>
      </c>
      <c r="H149" t="s">
        <v>14</v>
      </c>
      <c r="I149">
        <v>99.63</v>
      </c>
    </row>
    <row r="150" spans="1:9" x14ac:dyDescent="0.25">
      <c r="A150">
        <v>914</v>
      </c>
      <c r="B150">
        <v>55</v>
      </c>
      <c r="C150" t="s">
        <v>12</v>
      </c>
      <c r="D150">
        <v>109314</v>
      </c>
      <c r="E150">
        <v>72</v>
      </c>
      <c r="F150">
        <v>10</v>
      </c>
      <c r="G150">
        <v>47</v>
      </c>
      <c r="H150" t="s">
        <v>14</v>
      </c>
      <c r="I150">
        <v>438.97</v>
      </c>
    </row>
    <row r="151" spans="1:9" x14ac:dyDescent="0.25">
      <c r="A151">
        <v>929</v>
      </c>
      <c r="B151">
        <v>35</v>
      </c>
      <c r="C151" t="s">
        <v>12</v>
      </c>
      <c r="D151">
        <v>48768</v>
      </c>
      <c r="E151">
        <v>43</v>
      </c>
      <c r="F151">
        <v>2</v>
      </c>
      <c r="G151">
        <v>5</v>
      </c>
      <c r="H151" t="s">
        <v>14</v>
      </c>
      <c r="I151">
        <v>746.74</v>
      </c>
    </row>
    <row r="152" spans="1:9" x14ac:dyDescent="0.25">
      <c r="A152">
        <v>933</v>
      </c>
      <c r="B152">
        <v>18</v>
      </c>
      <c r="C152" t="s">
        <v>12</v>
      </c>
      <c r="D152">
        <v>117893</v>
      </c>
      <c r="E152">
        <v>84</v>
      </c>
      <c r="F152">
        <v>3</v>
      </c>
      <c r="G152">
        <v>24</v>
      </c>
      <c r="H152" t="s">
        <v>14</v>
      </c>
      <c r="I152">
        <v>413.27</v>
      </c>
    </row>
    <row r="153" spans="1:9" x14ac:dyDescent="0.25">
      <c r="A153">
        <v>954</v>
      </c>
      <c r="B153">
        <v>44</v>
      </c>
      <c r="C153" t="s">
        <v>12</v>
      </c>
      <c r="D153">
        <v>123822</v>
      </c>
      <c r="E153">
        <v>20</v>
      </c>
      <c r="F153">
        <v>4</v>
      </c>
      <c r="G153">
        <v>8</v>
      </c>
      <c r="H153" t="s">
        <v>14</v>
      </c>
      <c r="I153">
        <v>209.75</v>
      </c>
    </row>
    <row r="154" spans="1:9" x14ac:dyDescent="0.25">
      <c r="A154">
        <v>976</v>
      </c>
      <c r="B154">
        <v>30</v>
      </c>
      <c r="C154" t="s">
        <v>12</v>
      </c>
      <c r="D154">
        <v>54930</v>
      </c>
      <c r="E154">
        <v>12</v>
      </c>
      <c r="F154">
        <v>9</v>
      </c>
      <c r="G154">
        <v>13</v>
      </c>
      <c r="H154" t="s">
        <v>14</v>
      </c>
      <c r="I154">
        <v>724.88</v>
      </c>
    </row>
    <row r="155" spans="1:9" x14ac:dyDescent="0.25">
      <c r="A155">
        <v>9</v>
      </c>
      <c r="B155">
        <v>53</v>
      </c>
      <c r="C155" t="s">
        <v>12</v>
      </c>
      <c r="D155">
        <v>34424</v>
      </c>
      <c r="E155">
        <v>29</v>
      </c>
      <c r="F155">
        <v>6</v>
      </c>
      <c r="G155">
        <v>7</v>
      </c>
      <c r="H155" t="s">
        <v>15</v>
      </c>
      <c r="I155">
        <v>951.71</v>
      </c>
    </row>
    <row r="156" spans="1:9" x14ac:dyDescent="0.25">
      <c r="A156">
        <v>18</v>
      </c>
      <c r="B156">
        <v>22</v>
      </c>
      <c r="C156" t="s">
        <v>12</v>
      </c>
      <c r="D156">
        <v>41849</v>
      </c>
      <c r="E156">
        <v>22</v>
      </c>
      <c r="F156">
        <v>1</v>
      </c>
      <c r="G156">
        <v>31</v>
      </c>
      <c r="H156" t="s">
        <v>15</v>
      </c>
      <c r="I156">
        <v>844.08</v>
      </c>
    </row>
    <row r="157" spans="1:9" x14ac:dyDescent="0.25">
      <c r="A157">
        <v>88</v>
      </c>
      <c r="B157">
        <v>31</v>
      </c>
      <c r="C157" t="s">
        <v>12</v>
      </c>
      <c r="D157">
        <v>55100</v>
      </c>
      <c r="E157">
        <v>20</v>
      </c>
      <c r="F157">
        <v>7</v>
      </c>
      <c r="G157">
        <v>31</v>
      </c>
      <c r="H157" t="s">
        <v>15</v>
      </c>
      <c r="I157">
        <v>59.84</v>
      </c>
    </row>
    <row r="158" spans="1:9" x14ac:dyDescent="0.25">
      <c r="A158">
        <v>111</v>
      </c>
      <c r="B158">
        <v>37</v>
      </c>
      <c r="C158" t="s">
        <v>12</v>
      </c>
      <c r="D158">
        <v>111242</v>
      </c>
      <c r="E158">
        <v>33</v>
      </c>
      <c r="F158">
        <v>5</v>
      </c>
      <c r="G158">
        <v>34</v>
      </c>
      <c r="H158" t="s">
        <v>15</v>
      </c>
      <c r="I158">
        <v>756.32</v>
      </c>
    </row>
    <row r="159" spans="1:9" x14ac:dyDescent="0.25">
      <c r="A159">
        <v>114</v>
      </c>
      <c r="B159">
        <v>32</v>
      </c>
      <c r="C159" t="s">
        <v>12</v>
      </c>
      <c r="D159">
        <v>35514</v>
      </c>
      <c r="E159">
        <v>4</v>
      </c>
      <c r="F159">
        <v>5</v>
      </c>
      <c r="G159">
        <v>36</v>
      </c>
      <c r="H159" t="s">
        <v>15</v>
      </c>
      <c r="I159">
        <v>415.44</v>
      </c>
    </row>
    <row r="160" spans="1:9" x14ac:dyDescent="0.25">
      <c r="A160">
        <v>127</v>
      </c>
      <c r="B160">
        <v>58</v>
      </c>
      <c r="C160" t="s">
        <v>12</v>
      </c>
      <c r="D160">
        <v>32860</v>
      </c>
      <c r="E160">
        <v>90</v>
      </c>
      <c r="F160">
        <v>5</v>
      </c>
      <c r="G160">
        <v>18</v>
      </c>
      <c r="H160" t="s">
        <v>15</v>
      </c>
      <c r="I160">
        <v>405.05</v>
      </c>
    </row>
    <row r="161" spans="1:9" x14ac:dyDescent="0.25">
      <c r="A161">
        <v>131</v>
      </c>
      <c r="B161">
        <v>51</v>
      </c>
      <c r="C161" t="s">
        <v>12</v>
      </c>
      <c r="D161">
        <v>42337</v>
      </c>
      <c r="E161">
        <v>70</v>
      </c>
      <c r="F161">
        <v>9</v>
      </c>
      <c r="G161">
        <v>28</v>
      </c>
      <c r="H161" t="s">
        <v>15</v>
      </c>
      <c r="I161">
        <v>914.97</v>
      </c>
    </row>
    <row r="162" spans="1:9" x14ac:dyDescent="0.25">
      <c r="A162">
        <v>134</v>
      </c>
      <c r="B162">
        <v>26</v>
      </c>
      <c r="C162" t="s">
        <v>12</v>
      </c>
      <c r="D162">
        <v>62131</v>
      </c>
      <c r="E162">
        <v>91</v>
      </c>
      <c r="F162">
        <v>6</v>
      </c>
      <c r="G162">
        <v>18</v>
      </c>
      <c r="H162" t="s">
        <v>15</v>
      </c>
      <c r="I162">
        <v>70.56</v>
      </c>
    </row>
    <row r="163" spans="1:9" x14ac:dyDescent="0.25">
      <c r="A163">
        <v>136</v>
      </c>
      <c r="B163">
        <v>31</v>
      </c>
      <c r="C163" t="s">
        <v>12</v>
      </c>
      <c r="D163">
        <v>145261</v>
      </c>
      <c r="E163">
        <v>25</v>
      </c>
      <c r="F163">
        <v>10</v>
      </c>
      <c r="G163">
        <v>37</v>
      </c>
      <c r="H163" t="s">
        <v>15</v>
      </c>
      <c r="I163">
        <v>378.4</v>
      </c>
    </row>
    <row r="164" spans="1:9" x14ac:dyDescent="0.25">
      <c r="A164">
        <v>137</v>
      </c>
      <c r="B164">
        <v>48</v>
      </c>
      <c r="C164" t="s">
        <v>12</v>
      </c>
      <c r="D164">
        <v>81763</v>
      </c>
      <c r="E164">
        <v>49</v>
      </c>
      <c r="F164">
        <v>6</v>
      </c>
      <c r="G164">
        <v>46</v>
      </c>
      <c r="H164" t="s">
        <v>15</v>
      </c>
      <c r="I164">
        <v>179.25</v>
      </c>
    </row>
    <row r="165" spans="1:9" x14ac:dyDescent="0.25">
      <c r="A165">
        <v>163</v>
      </c>
      <c r="B165">
        <v>45</v>
      </c>
      <c r="C165" t="s">
        <v>12</v>
      </c>
      <c r="D165">
        <v>76259</v>
      </c>
      <c r="E165">
        <v>72</v>
      </c>
      <c r="F165">
        <v>5</v>
      </c>
      <c r="G165">
        <v>41</v>
      </c>
      <c r="H165" t="s">
        <v>15</v>
      </c>
      <c r="I165">
        <v>228.88</v>
      </c>
    </row>
    <row r="166" spans="1:9" x14ac:dyDescent="0.25">
      <c r="A166">
        <v>176</v>
      </c>
      <c r="B166">
        <v>34</v>
      </c>
      <c r="C166" t="s">
        <v>12</v>
      </c>
      <c r="D166">
        <v>79572</v>
      </c>
      <c r="E166">
        <v>62</v>
      </c>
      <c r="F166">
        <v>2</v>
      </c>
      <c r="G166">
        <v>24</v>
      </c>
      <c r="H166" t="s">
        <v>15</v>
      </c>
      <c r="I166">
        <v>843.15</v>
      </c>
    </row>
    <row r="167" spans="1:9" x14ac:dyDescent="0.25">
      <c r="A167">
        <v>188</v>
      </c>
      <c r="B167">
        <v>55</v>
      </c>
      <c r="C167" t="s">
        <v>12</v>
      </c>
      <c r="D167">
        <v>77060</v>
      </c>
      <c r="E167">
        <v>14</v>
      </c>
      <c r="F167">
        <v>2</v>
      </c>
      <c r="G167">
        <v>16</v>
      </c>
      <c r="H167" t="s">
        <v>15</v>
      </c>
      <c r="I167">
        <v>286.79000000000002</v>
      </c>
    </row>
    <row r="168" spans="1:9" x14ac:dyDescent="0.25">
      <c r="A168">
        <v>202</v>
      </c>
      <c r="B168">
        <v>25</v>
      </c>
      <c r="C168" t="s">
        <v>12</v>
      </c>
      <c r="D168">
        <v>30570</v>
      </c>
      <c r="E168">
        <v>16</v>
      </c>
      <c r="F168">
        <v>8</v>
      </c>
      <c r="G168">
        <v>44</v>
      </c>
      <c r="H168" t="s">
        <v>15</v>
      </c>
      <c r="I168">
        <v>971.09</v>
      </c>
    </row>
    <row r="169" spans="1:9" x14ac:dyDescent="0.25">
      <c r="A169">
        <v>207</v>
      </c>
      <c r="B169">
        <v>58</v>
      </c>
      <c r="C169" t="s">
        <v>12</v>
      </c>
      <c r="D169">
        <v>48714</v>
      </c>
      <c r="E169">
        <v>75</v>
      </c>
      <c r="F169">
        <v>10</v>
      </c>
      <c r="G169">
        <v>40</v>
      </c>
      <c r="H169" t="s">
        <v>15</v>
      </c>
      <c r="I169">
        <v>324.91000000000003</v>
      </c>
    </row>
    <row r="170" spans="1:9" x14ac:dyDescent="0.25">
      <c r="A170">
        <v>257</v>
      </c>
      <c r="B170">
        <v>26</v>
      </c>
      <c r="C170" t="s">
        <v>12</v>
      </c>
      <c r="D170">
        <v>134203</v>
      </c>
      <c r="E170">
        <v>19</v>
      </c>
      <c r="F170">
        <v>3</v>
      </c>
      <c r="G170">
        <v>28</v>
      </c>
      <c r="H170" t="s">
        <v>15</v>
      </c>
      <c r="I170">
        <v>935.64</v>
      </c>
    </row>
    <row r="171" spans="1:9" x14ac:dyDescent="0.25">
      <c r="A171">
        <v>289</v>
      </c>
      <c r="B171">
        <v>38</v>
      </c>
      <c r="C171" t="s">
        <v>12</v>
      </c>
      <c r="D171">
        <v>84577</v>
      </c>
      <c r="E171">
        <v>70</v>
      </c>
      <c r="F171">
        <v>7</v>
      </c>
      <c r="G171">
        <v>27</v>
      </c>
      <c r="H171" t="s">
        <v>15</v>
      </c>
      <c r="I171">
        <v>631.28</v>
      </c>
    </row>
    <row r="172" spans="1:9" x14ac:dyDescent="0.25">
      <c r="A172">
        <v>297</v>
      </c>
      <c r="B172">
        <v>40</v>
      </c>
      <c r="C172" t="s">
        <v>12</v>
      </c>
      <c r="D172">
        <v>97995</v>
      </c>
      <c r="E172">
        <v>47</v>
      </c>
      <c r="F172">
        <v>4</v>
      </c>
      <c r="G172">
        <v>9</v>
      </c>
      <c r="H172" t="s">
        <v>15</v>
      </c>
      <c r="I172">
        <v>101.35</v>
      </c>
    </row>
    <row r="173" spans="1:9" x14ac:dyDescent="0.25">
      <c r="A173">
        <v>298</v>
      </c>
      <c r="B173">
        <v>39</v>
      </c>
      <c r="C173" t="s">
        <v>12</v>
      </c>
      <c r="D173">
        <v>132488</v>
      </c>
      <c r="E173">
        <v>40</v>
      </c>
      <c r="F173">
        <v>5</v>
      </c>
      <c r="G173">
        <v>37</v>
      </c>
      <c r="H173" t="s">
        <v>15</v>
      </c>
      <c r="I173">
        <v>82.16</v>
      </c>
    </row>
    <row r="174" spans="1:9" x14ac:dyDescent="0.25">
      <c r="A174">
        <v>305</v>
      </c>
      <c r="B174">
        <v>32</v>
      </c>
      <c r="C174" t="s">
        <v>12</v>
      </c>
      <c r="D174">
        <v>39407</v>
      </c>
      <c r="E174">
        <v>50</v>
      </c>
      <c r="F174">
        <v>6</v>
      </c>
      <c r="G174">
        <v>13</v>
      </c>
      <c r="H174" t="s">
        <v>15</v>
      </c>
      <c r="I174">
        <v>844.22</v>
      </c>
    </row>
    <row r="175" spans="1:9" x14ac:dyDescent="0.25">
      <c r="A175">
        <v>306</v>
      </c>
      <c r="B175">
        <v>48</v>
      </c>
      <c r="C175" t="s">
        <v>12</v>
      </c>
      <c r="D175">
        <v>39407</v>
      </c>
      <c r="E175">
        <v>82</v>
      </c>
      <c r="F175">
        <v>5</v>
      </c>
      <c r="G175">
        <v>27</v>
      </c>
      <c r="H175" t="s">
        <v>15</v>
      </c>
      <c r="I175">
        <v>463.07</v>
      </c>
    </row>
    <row r="176" spans="1:9" x14ac:dyDescent="0.25">
      <c r="A176">
        <v>310</v>
      </c>
      <c r="B176">
        <v>50</v>
      </c>
      <c r="C176" t="s">
        <v>12</v>
      </c>
      <c r="D176">
        <v>100320</v>
      </c>
      <c r="E176">
        <v>45</v>
      </c>
      <c r="F176">
        <v>7</v>
      </c>
      <c r="G176">
        <v>29</v>
      </c>
      <c r="H176" t="s">
        <v>15</v>
      </c>
      <c r="I176">
        <v>139.38999999999999</v>
      </c>
    </row>
    <row r="177" spans="1:9" x14ac:dyDescent="0.25">
      <c r="A177">
        <v>312</v>
      </c>
      <c r="B177">
        <v>30</v>
      </c>
      <c r="C177" t="s">
        <v>12</v>
      </c>
      <c r="D177">
        <v>143200</v>
      </c>
      <c r="E177">
        <v>38</v>
      </c>
      <c r="F177">
        <v>8</v>
      </c>
      <c r="G177">
        <v>30</v>
      </c>
      <c r="H177" t="s">
        <v>15</v>
      </c>
      <c r="I177">
        <v>684.43</v>
      </c>
    </row>
    <row r="178" spans="1:9" x14ac:dyDescent="0.25">
      <c r="A178">
        <v>349</v>
      </c>
      <c r="B178">
        <v>44</v>
      </c>
      <c r="C178" t="s">
        <v>12</v>
      </c>
      <c r="D178">
        <v>32030</v>
      </c>
      <c r="E178">
        <v>38</v>
      </c>
      <c r="F178">
        <v>2</v>
      </c>
      <c r="G178">
        <v>19</v>
      </c>
      <c r="H178" t="s">
        <v>15</v>
      </c>
      <c r="I178">
        <v>912.15</v>
      </c>
    </row>
    <row r="179" spans="1:9" x14ac:dyDescent="0.25">
      <c r="A179">
        <v>383</v>
      </c>
      <c r="B179">
        <v>65</v>
      </c>
      <c r="C179" t="s">
        <v>12</v>
      </c>
      <c r="D179">
        <v>124796</v>
      </c>
      <c r="E179">
        <v>4</v>
      </c>
      <c r="F179">
        <v>5</v>
      </c>
      <c r="G179">
        <v>38</v>
      </c>
      <c r="H179" t="s">
        <v>15</v>
      </c>
      <c r="I179">
        <v>247.96</v>
      </c>
    </row>
    <row r="180" spans="1:9" x14ac:dyDescent="0.25">
      <c r="A180">
        <v>385</v>
      </c>
      <c r="B180">
        <v>38</v>
      </c>
      <c r="C180" t="s">
        <v>12</v>
      </c>
      <c r="D180">
        <v>78829</v>
      </c>
      <c r="E180">
        <v>73</v>
      </c>
      <c r="F180">
        <v>7</v>
      </c>
      <c r="G180">
        <v>20</v>
      </c>
      <c r="H180" t="s">
        <v>15</v>
      </c>
      <c r="I180">
        <v>665.25</v>
      </c>
    </row>
    <row r="181" spans="1:9" x14ac:dyDescent="0.25">
      <c r="A181">
        <v>398</v>
      </c>
      <c r="B181">
        <v>48</v>
      </c>
      <c r="C181" t="s">
        <v>12</v>
      </c>
      <c r="D181">
        <v>36282</v>
      </c>
      <c r="E181">
        <v>14</v>
      </c>
      <c r="F181">
        <v>10</v>
      </c>
      <c r="G181">
        <v>3</v>
      </c>
      <c r="H181" t="s">
        <v>15</v>
      </c>
      <c r="I181">
        <v>210.43</v>
      </c>
    </row>
    <row r="182" spans="1:9" x14ac:dyDescent="0.25">
      <c r="A182">
        <v>477</v>
      </c>
      <c r="B182">
        <v>42</v>
      </c>
      <c r="C182" t="s">
        <v>12</v>
      </c>
      <c r="D182">
        <v>115342</v>
      </c>
      <c r="E182">
        <v>19</v>
      </c>
      <c r="F182">
        <v>4</v>
      </c>
      <c r="G182">
        <v>47</v>
      </c>
      <c r="H182" t="s">
        <v>15</v>
      </c>
      <c r="I182">
        <v>13.69</v>
      </c>
    </row>
    <row r="183" spans="1:9" x14ac:dyDescent="0.25">
      <c r="A183">
        <v>481</v>
      </c>
      <c r="B183">
        <v>54</v>
      </c>
      <c r="C183" t="s">
        <v>12</v>
      </c>
      <c r="D183">
        <v>105641</v>
      </c>
      <c r="E183">
        <v>17</v>
      </c>
      <c r="F183">
        <v>9</v>
      </c>
      <c r="G183">
        <v>37</v>
      </c>
      <c r="H183" t="s">
        <v>15</v>
      </c>
      <c r="I183">
        <v>173.81</v>
      </c>
    </row>
    <row r="184" spans="1:9" x14ac:dyDescent="0.25">
      <c r="A184">
        <v>492</v>
      </c>
      <c r="B184">
        <v>39</v>
      </c>
      <c r="C184" t="s">
        <v>12</v>
      </c>
      <c r="D184">
        <v>84725</v>
      </c>
      <c r="E184">
        <v>100</v>
      </c>
      <c r="F184">
        <v>8</v>
      </c>
      <c r="G184">
        <v>49</v>
      </c>
      <c r="H184" t="s">
        <v>15</v>
      </c>
      <c r="I184">
        <v>906.07</v>
      </c>
    </row>
    <row r="185" spans="1:9" x14ac:dyDescent="0.25">
      <c r="A185">
        <v>494</v>
      </c>
      <c r="B185">
        <v>35</v>
      </c>
      <c r="C185" t="s">
        <v>12</v>
      </c>
      <c r="D185">
        <v>141134</v>
      </c>
      <c r="E185">
        <v>24</v>
      </c>
      <c r="F185">
        <v>4</v>
      </c>
      <c r="G185">
        <v>48</v>
      </c>
      <c r="H185" t="s">
        <v>15</v>
      </c>
      <c r="I185">
        <v>649.61</v>
      </c>
    </row>
    <row r="186" spans="1:9" x14ac:dyDescent="0.25">
      <c r="A186">
        <v>495</v>
      </c>
      <c r="B186">
        <v>59</v>
      </c>
      <c r="C186" t="s">
        <v>12</v>
      </c>
      <c r="D186">
        <v>140809</v>
      </c>
      <c r="E186">
        <v>45</v>
      </c>
      <c r="F186">
        <v>5</v>
      </c>
      <c r="G186">
        <v>45</v>
      </c>
      <c r="H186" t="s">
        <v>15</v>
      </c>
      <c r="I186">
        <v>917.5</v>
      </c>
    </row>
    <row r="187" spans="1:9" x14ac:dyDescent="0.25">
      <c r="A187">
        <v>497</v>
      </c>
      <c r="B187">
        <v>56</v>
      </c>
      <c r="C187" t="s">
        <v>12</v>
      </c>
      <c r="D187">
        <v>145254</v>
      </c>
      <c r="E187">
        <v>48</v>
      </c>
      <c r="F187">
        <v>6</v>
      </c>
      <c r="G187">
        <v>43</v>
      </c>
      <c r="H187" t="s">
        <v>15</v>
      </c>
      <c r="I187">
        <v>422.32</v>
      </c>
    </row>
    <row r="188" spans="1:9" x14ac:dyDescent="0.25">
      <c r="A188">
        <v>506</v>
      </c>
      <c r="B188">
        <v>66</v>
      </c>
      <c r="C188" t="s">
        <v>12</v>
      </c>
      <c r="D188">
        <v>149505</v>
      </c>
      <c r="E188">
        <v>79</v>
      </c>
      <c r="F188">
        <v>4</v>
      </c>
      <c r="G188">
        <v>8</v>
      </c>
      <c r="H188" t="s">
        <v>15</v>
      </c>
      <c r="I188">
        <v>334.95</v>
      </c>
    </row>
    <row r="189" spans="1:9" x14ac:dyDescent="0.25">
      <c r="A189">
        <v>507</v>
      </c>
      <c r="B189">
        <v>58</v>
      </c>
      <c r="C189" t="s">
        <v>12</v>
      </c>
      <c r="D189">
        <v>132215</v>
      </c>
      <c r="E189">
        <v>91</v>
      </c>
      <c r="F189">
        <v>8</v>
      </c>
      <c r="G189">
        <v>6</v>
      </c>
      <c r="H189" t="s">
        <v>15</v>
      </c>
      <c r="I189">
        <v>275.70999999999998</v>
      </c>
    </row>
    <row r="190" spans="1:9" x14ac:dyDescent="0.25">
      <c r="A190">
        <v>510</v>
      </c>
      <c r="B190">
        <v>19</v>
      </c>
      <c r="C190" t="s">
        <v>12</v>
      </c>
      <c r="D190">
        <v>111238</v>
      </c>
      <c r="E190">
        <v>7</v>
      </c>
      <c r="F190">
        <v>2</v>
      </c>
      <c r="G190">
        <v>30</v>
      </c>
      <c r="H190" t="s">
        <v>15</v>
      </c>
      <c r="I190">
        <v>813.37</v>
      </c>
    </row>
    <row r="191" spans="1:9" x14ac:dyDescent="0.25">
      <c r="A191">
        <v>512</v>
      </c>
      <c r="B191">
        <v>33</v>
      </c>
      <c r="C191" t="s">
        <v>12</v>
      </c>
      <c r="D191">
        <v>132968</v>
      </c>
      <c r="E191">
        <v>49</v>
      </c>
      <c r="F191">
        <v>10</v>
      </c>
      <c r="G191">
        <v>45</v>
      </c>
      <c r="H191" t="s">
        <v>15</v>
      </c>
      <c r="I191">
        <v>641.53</v>
      </c>
    </row>
    <row r="192" spans="1:9" x14ac:dyDescent="0.25">
      <c r="A192">
        <v>513</v>
      </c>
      <c r="B192">
        <v>19</v>
      </c>
      <c r="C192" t="s">
        <v>12</v>
      </c>
      <c r="D192">
        <v>82506</v>
      </c>
      <c r="E192">
        <v>10</v>
      </c>
      <c r="F192">
        <v>5</v>
      </c>
      <c r="G192">
        <v>41</v>
      </c>
      <c r="H192" t="s">
        <v>15</v>
      </c>
      <c r="I192">
        <v>406.32</v>
      </c>
    </row>
    <row r="193" spans="1:9" x14ac:dyDescent="0.25">
      <c r="A193">
        <v>529</v>
      </c>
      <c r="B193">
        <v>57</v>
      </c>
      <c r="C193" t="s">
        <v>12</v>
      </c>
      <c r="D193">
        <v>139366</v>
      </c>
      <c r="E193">
        <v>39</v>
      </c>
      <c r="F193">
        <v>5</v>
      </c>
      <c r="G193">
        <v>50</v>
      </c>
      <c r="H193" t="s">
        <v>15</v>
      </c>
      <c r="I193">
        <v>34.5</v>
      </c>
    </row>
    <row r="194" spans="1:9" x14ac:dyDescent="0.25">
      <c r="A194">
        <v>530</v>
      </c>
      <c r="B194">
        <v>27</v>
      </c>
      <c r="C194" t="s">
        <v>12</v>
      </c>
      <c r="D194">
        <v>106944</v>
      </c>
      <c r="E194">
        <v>63</v>
      </c>
      <c r="F194">
        <v>1</v>
      </c>
      <c r="G194">
        <v>28</v>
      </c>
      <c r="H194" t="s">
        <v>15</v>
      </c>
      <c r="I194">
        <v>36.39</v>
      </c>
    </row>
    <row r="195" spans="1:9" x14ac:dyDescent="0.25">
      <c r="A195">
        <v>531</v>
      </c>
      <c r="B195">
        <v>61</v>
      </c>
      <c r="C195" t="s">
        <v>12</v>
      </c>
      <c r="D195">
        <v>92031</v>
      </c>
      <c r="E195">
        <v>44</v>
      </c>
      <c r="F195">
        <v>7</v>
      </c>
      <c r="G195">
        <v>11</v>
      </c>
      <c r="H195" t="s">
        <v>15</v>
      </c>
      <c r="I195">
        <v>573.30999999999995</v>
      </c>
    </row>
    <row r="196" spans="1:9" x14ac:dyDescent="0.25">
      <c r="A196">
        <v>534</v>
      </c>
      <c r="B196">
        <v>28</v>
      </c>
      <c r="C196" t="s">
        <v>12</v>
      </c>
      <c r="D196">
        <v>121073</v>
      </c>
      <c r="E196">
        <v>44</v>
      </c>
      <c r="F196">
        <v>3</v>
      </c>
      <c r="G196">
        <v>16</v>
      </c>
      <c r="H196" t="s">
        <v>15</v>
      </c>
      <c r="I196">
        <v>482.35</v>
      </c>
    </row>
    <row r="197" spans="1:9" x14ac:dyDescent="0.25">
      <c r="A197">
        <v>549</v>
      </c>
      <c r="B197">
        <v>39</v>
      </c>
      <c r="C197" t="s">
        <v>12</v>
      </c>
      <c r="D197">
        <v>30004</v>
      </c>
      <c r="E197">
        <v>32</v>
      </c>
      <c r="F197">
        <v>6</v>
      </c>
      <c r="G197">
        <v>48</v>
      </c>
      <c r="H197" t="s">
        <v>15</v>
      </c>
      <c r="I197">
        <v>863.47</v>
      </c>
    </row>
    <row r="198" spans="1:9" x14ac:dyDescent="0.25">
      <c r="A198">
        <v>550</v>
      </c>
      <c r="B198">
        <v>53</v>
      </c>
      <c r="C198" t="s">
        <v>12</v>
      </c>
      <c r="D198">
        <v>47499</v>
      </c>
      <c r="E198">
        <v>85</v>
      </c>
      <c r="F198">
        <v>2</v>
      </c>
      <c r="G198">
        <v>45</v>
      </c>
      <c r="H198" t="s">
        <v>15</v>
      </c>
      <c r="I198">
        <v>338.69</v>
      </c>
    </row>
    <row r="199" spans="1:9" x14ac:dyDescent="0.25">
      <c r="A199">
        <v>553</v>
      </c>
      <c r="B199">
        <v>69</v>
      </c>
      <c r="C199" t="s">
        <v>12</v>
      </c>
      <c r="D199">
        <v>51759</v>
      </c>
      <c r="E199">
        <v>18</v>
      </c>
      <c r="F199">
        <v>9</v>
      </c>
      <c r="G199">
        <v>14</v>
      </c>
      <c r="H199" t="s">
        <v>15</v>
      </c>
      <c r="I199">
        <v>563.48</v>
      </c>
    </row>
    <row r="200" spans="1:9" x14ac:dyDescent="0.25">
      <c r="A200">
        <v>558</v>
      </c>
      <c r="B200">
        <v>40</v>
      </c>
      <c r="C200" t="s">
        <v>12</v>
      </c>
      <c r="D200">
        <v>62536</v>
      </c>
      <c r="E200">
        <v>84</v>
      </c>
      <c r="F200">
        <v>4</v>
      </c>
      <c r="G200">
        <v>28</v>
      </c>
      <c r="H200" t="s">
        <v>15</v>
      </c>
      <c r="I200">
        <v>149.07</v>
      </c>
    </row>
    <row r="201" spans="1:9" x14ac:dyDescent="0.25">
      <c r="A201">
        <v>590</v>
      </c>
      <c r="B201">
        <v>33</v>
      </c>
      <c r="C201" t="s">
        <v>12</v>
      </c>
      <c r="D201">
        <v>93599</v>
      </c>
      <c r="E201">
        <v>22</v>
      </c>
      <c r="F201">
        <v>4</v>
      </c>
      <c r="G201">
        <v>37</v>
      </c>
      <c r="H201" t="s">
        <v>15</v>
      </c>
      <c r="I201">
        <v>274.95999999999998</v>
      </c>
    </row>
    <row r="202" spans="1:9" x14ac:dyDescent="0.25">
      <c r="A202">
        <v>592</v>
      </c>
      <c r="B202">
        <v>22</v>
      </c>
      <c r="C202" t="s">
        <v>12</v>
      </c>
      <c r="D202">
        <v>100730</v>
      </c>
      <c r="E202">
        <v>4</v>
      </c>
      <c r="F202">
        <v>5</v>
      </c>
      <c r="G202">
        <v>10</v>
      </c>
      <c r="H202" t="s">
        <v>15</v>
      </c>
      <c r="I202">
        <v>459.58</v>
      </c>
    </row>
    <row r="203" spans="1:9" x14ac:dyDescent="0.25">
      <c r="A203">
        <v>600</v>
      </c>
      <c r="B203">
        <v>52</v>
      </c>
      <c r="C203" t="s">
        <v>12</v>
      </c>
      <c r="D203">
        <v>127010</v>
      </c>
      <c r="E203">
        <v>76</v>
      </c>
      <c r="F203">
        <v>8</v>
      </c>
      <c r="G203">
        <v>26</v>
      </c>
      <c r="H203" t="s">
        <v>15</v>
      </c>
      <c r="I203">
        <v>13.46</v>
      </c>
    </row>
    <row r="204" spans="1:9" x14ac:dyDescent="0.25">
      <c r="A204">
        <v>644</v>
      </c>
      <c r="B204">
        <v>54</v>
      </c>
      <c r="C204" t="s">
        <v>12</v>
      </c>
      <c r="D204">
        <v>132403</v>
      </c>
      <c r="E204">
        <v>83</v>
      </c>
      <c r="F204">
        <v>3</v>
      </c>
      <c r="G204">
        <v>2</v>
      </c>
      <c r="H204" t="s">
        <v>15</v>
      </c>
      <c r="I204">
        <v>45.2</v>
      </c>
    </row>
    <row r="205" spans="1:9" x14ac:dyDescent="0.25">
      <c r="A205">
        <v>649</v>
      </c>
      <c r="B205">
        <v>27</v>
      </c>
      <c r="C205" t="s">
        <v>12</v>
      </c>
      <c r="D205">
        <v>147360</v>
      </c>
      <c r="E205">
        <v>96</v>
      </c>
      <c r="F205">
        <v>3</v>
      </c>
      <c r="G205">
        <v>26</v>
      </c>
      <c r="H205" t="s">
        <v>15</v>
      </c>
      <c r="I205">
        <v>26.1</v>
      </c>
    </row>
    <row r="206" spans="1:9" x14ac:dyDescent="0.25">
      <c r="A206">
        <v>654</v>
      </c>
      <c r="B206">
        <v>48</v>
      </c>
      <c r="C206" t="s">
        <v>12</v>
      </c>
      <c r="D206">
        <v>82356</v>
      </c>
      <c r="E206">
        <v>97</v>
      </c>
      <c r="F206">
        <v>1</v>
      </c>
      <c r="G206">
        <v>35</v>
      </c>
      <c r="H206" t="s">
        <v>15</v>
      </c>
      <c r="I206">
        <v>204.55</v>
      </c>
    </row>
    <row r="207" spans="1:9" x14ac:dyDescent="0.25">
      <c r="A207">
        <v>688</v>
      </c>
      <c r="B207">
        <v>30</v>
      </c>
      <c r="C207" t="s">
        <v>12</v>
      </c>
      <c r="D207">
        <v>94970</v>
      </c>
      <c r="E207">
        <v>15</v>
      </c>
      <c r="F207">
        <v>4</v>
      </c>
      <c r="G207">
        <v>11</v>
      </c>
      <c r="H207" t="s">
        <v>15</v>
      </c>
      <c r="I207">
        <v>250.07</v>
      </c>
    </row>
    <row r="208" spans="1:9" x14ac:dyDescent="0.25">
      <c r="A208">
        <v>694</v>
      </c>
      <c r="B208">
        <v>64</v>
      </c>
      <c r="C208" t="s">
        <v>12</v>
      </c>
      <c r="D208">
        <v>32144</v>
      </c>
      <c r="E208">
        <v>76</v>
      </c>
      <c r="F208">
        <v>2</v>
      </c>
      <c r="G208">
        <v>28</v>
      </c>
      <c r="H208" t="s">
        <v>15</v>
      </c>
      <c r="I208">
        <v>902.66</v>
      </c>
    </row>
    <row r="209" spans="1:9" x14ac:dyDescent="0.25">
      <c r="A209">
        <v>714</v>
      </c>
      <c r="B209">
        <v>30</v>
      </c>
      <c r="C209" t="s">
        <v>12</v>
      </c>
      <c r="D209">
        <v>100115</v>
      </c>
      <c r="E209">
        <v>54</v>
      </c>
      <c r="F209">
        <v>2</v>
      </c>
      <c r="G209">
        <v>36</v>
      </c>
      <c r="H209" t="s">
        <v>15</v>
      </c>
      <c r="I209">
        <v>789.67</v>
      </c>
    </row>
    <row r="210" spans="1:9" x14ac:dyDescent="0.25">
      <c r="A210">
        <v>729</v>
      </c>
      <c r="B210">
        <v>50</v>
      </c>
      <c r="C210" t="s">
        <v>12</v>
      </c>
      <c r="D210">
        <v>86985</v>
      </c>
      <c r="E210">
        <v>77</v>
      </c>
      <c r="F210">
        <v>8</v>
      </c>
      <c r="G210">
        <v>11</v>
      </c>
      <c r="H210" t="s">
        <v>15</v>
      </c>
      <c r="I210">
        <v>964.1</v>
      </c>
    </row>
    <row r="211" spans="1:9" x14ac:dyDescent="0.25">
      <c r="A211">
        <v>743</v>
      </c>
      <c r="B211">
        <v>64</v>
      </c>
      <c r="C211" t="s">
        <v>12</v>
      </c>
      <c r="D211">
        <v>132277</v>
      </c>
      <c r="E211">
        <v>81</v>
      </c>
      <c r="F211">
        <v>5</v>
      </c>
      <c r="G211">
        <v>30</v>
      </c>
      <c r="H211" t="s">
        <v>15</v>
      </c>
      <c r="I211">
        <v>505.24</v>
      </c>
    </row>
    <row r="212" spans="1:9" x14ac:dyDescent="0.25">
      <c r="A212">
        <v>760</v>
      </c>
      <c r="B212">
        <v>27</v>
      </c>
      <c r="C212" t="s">
        <v>12</v>
      </c>
      <c r="D212">
        <v>80545</v>
      </c>
      <c r="E212">
        <v>63</v>
      </c>
      <c r="F212">
        <v>6</v>
      </c>
      <c r="G212">
        <v>46</v>
      </c>
      <c r="H212" t="s">
        <v>15</v>
      </c>
      <c r="I212">
        <v>575.98</v>
      </c>
    </row>
    <row r="213" spans="1:9" x14ac:dyDescent="0.25">
      <c r="A213">
        <v>762</v>
      </c>
      <c r="B213">
        <v>57</v>
      </c>
      <c r="C213" t="s">
        <v>12</v>
      </c>
      <c r="D213">
        <v>145190</v>
      </c>
      <c r="E213">
        <v>42</v>
      </c>
      <c r="F213">
        <v>9</v>
      </c>
      <c r="G213">
        <v>8</v>
      </c>
      <c r="H213" t="s">
        <v>15</v>
      </c>
      <c r="I213">
        <v>971.83</v>
      </c>
    </row>
    <row r="214" spans="1:9" x14ac:dyDescent="0.25">
      <c r="A214">
        <v>769</v>
      </c>
      <c r="B214">
        <v>19</v>
      </c>
      <c r="C214" t="s">
        <v>12</v>
      </c>
      <c r="D214">
        <v>85583</v>
      </c>
      <c r="E214">
        <v>61</v>
      </c>
      <c r="F214">
        <v>5</v>
      </c>
      <c r="G214">
        <v>43</v>
      </c>
      <c r="H214" t="s">
        <v>15</v>
      </c>
      <c r="I214">
        <v>316.35000000000002</v>
      </c>
    </row>
    <row r="215" spans="1:9" x14ac:dyDescent="0.25">
      <c r="A215">
        <v>775</v>
      </c>
      <c r="B215">
        <v>24</v>
      </c>
      <c r="C215" t="s">
        <v>12</v>
      </c>
      <c r="D215">
        <v>51225</v>
      </c>
      <c r="E215">
        <v>21</v>
      </c>
      <c r="F215">
        <v>6</v>
      </c>
      <c r="G215">
        <v>31</v>
      </c>
      <c r="H215" t="s">
        <v>15</v>
      </c>
      <c r="I215">
        <v>235.64</v>
      </c>
    </row>
    <row r="216" spans="1:9" x14ac:dyDescent="0.25">
      <c r="A216">
        <v>786</v>
      </c>
      <c r="B216">
        <v>30</v>
      </c>
      <c r="C216" t="s">
        <v>12</v>
      </c>
      <c r="D216">
        <v>43192</v>
      </c>
      <c r="E216">
        <v>61</v>
      </c>
      <c r="F216">
        <v>1</v>
      </c>
      <c r="G216">
        <v>27</v>
      </c>
      <c r="H216" t="s">
        <v>15</v>
      </c>
      <c r="I216">
        <v>614.39</v>
      </c>
    </row>
    <row r="217" spans="1:9" x14ac:dyDescent="0.25">
      <c r="A217">
        <v>790</v>
      </c>
      <c r="B217">
        <v>61</v>
      </c>
      <c r="C217" t="s">
        <v>12</v>
      </c>
      <c r="D217">
        <v>96409</v>
      </c>
      <c r="E217">
        <v>66</v>
      </c>
      <c r="F217">
        <v>1</v>
      </c>
      <c r="G217">
        <v>32</v>
      </c>
      <c r="H217" t="s">
        <v>15</v>
      </c>
      <c r="I217">
        <v>674.93</v>
      </c>
    </row>
    <row r="218" spans="1:9" x14ac:dyDescent="0.25">
      <c r="A218">
        <v>813</v>
      </c>
      <c r="B218">
        <v>19</v>
      </c>
      <c r="C218" t="s">
        <v>12</v>
      </c>
      <c r="D218">
        <v>68304</v>
      </c>
      <c r="E218">
        <v>9</v>
      </c>
      <c r="F218">
        <v>10</v>
      </c>
      <c r="G218">
        <v>28</v>
      </c>
      <c r="H218" t="s">
        <v>15</v>
      </c>
      <c r="I218">
        <v>864.57</v>
      </c>
    </row>
    <row r="219" spans="1:9" x14ac:dyDescent="0.25">
      <c r="A219">
        <v>823</v>
      </c>
      <c r="B219">
        <v>69</v>
      </c>
      <c r="C219" t="s">
        <v>12</v>
      </c>
      <c r="D219">
        <v>85068</v>
      </c>
      <c r="E219">
        <v>54</v>
      </c>
      <c r="F219">
        <v>6</v>
      </c>
      <c r="G219">
        <v>24</v>
      </c>
      <c r="H219" t="s">
        <v>15</v>
      </c>
      <c r="I219">
        <v>846.68</v>
      </c>
    </row>
    <row r="220" spans="1:9" x14ac:dyDescent="0.25">
      <c r="A220">
        <v>839</v>
      </c>
      <c r="B220">
        <v>43</v>
      </c>
      <c r="C220" t="s">
        <v>12</v>
      </c>
      <c r="D220">
        <v>90687</v>
      </c>
      <c r="E220">
        <v>9</v>
      </c>
      <c r="F220">
        <v>5</v>
      </c>
      <c r="G220">
        <v>24</v>
      </c>
      <c r="H220" t="s">
        <v>15</v>
      </c>
      <c r="I220">
        <v>531.25</v>
      </c>
    </row>
    <row r="221" spans="1:9" x14ac:dyDescent="0.25">
      <c r="A221">
        <v>855</v>
      </c>
      <c r="B221">
        <v>18</v>
      </c>
      <c r="C221" t="s">
        <v>12</v>
      </c>
      <c r="D221">
        <v>30102</v>
      </c>
      <c r="E221">
        <v>35</v>
      </c>
      <c r="F221">
        <v>2</v>
      </c>
      <c r="G221">
        <v>6</v>
      </c>
      <c r="H221" t="s">
        <v>15</v>
      </c>
      <c r="I221">
        <v>739.27</v>
      </c>
    </row>
    <row r="222" spans="1:9" x14ac:dyDescent="0.25">
      <c r="A222">
        <v>872</v>
      </c>
      <c r="B222">
        <v>63</v>
      </c>
      <c r="C222" t="s">
        <v>12</v>
      </c>
      <c r="D222">
        <v>33546</v>
      </c>
      <c r="E222">
        <v>18</v>
      </c>
      <c r="F222">
        <v>9</v>
      </c>
      <c r="G222">
        <v>31</v>
      </c>
      <c r="H222" t="s">
        <v>15</v>
      </c>
      <c r="I222">
        <v>191.8</v>
      </c>
    </row>
    <row r="223" spans="1:9" x14ac:dyDescent="0.25">
      <c r="A223">
        <v>879</v>
      </c>
      <c r="B223">
        <v>51</v>
      </c>
      <c r="C223" t="s">
        <v>12</v>
      </c>
      <c r="D223">
        <v>80995</v>
      </c>
      <c r="E223">
        <v>68</v>
      </c>
      <c r="F223">
        <v>1</v>
      </c>
      <c r="G223">
        <v>18</v>
      </c>
      <c r="H223" t="s">
        <v>15</v>
      </c>
      <c r="I223">
        <v>863.54</v>
      </c>
    </row>
    <row r="224" spans="1:9" x14ac:dyDescent="0.25">
      <c r="A224">
        <v>896</v>
      </c>
      <c r="B224">
        <v>53</v>
      </c>
      <c r="C224" t="s">
        <v>12</v>
      </c>
      <c r="D224">
        <v>137307</v>
      </c>
      <c r="E224">
        <v>34</v>
      </c>
      <c r="F224">
        <v>1</v>
      </c>
      <c r="G224">
        <v>26</v>
      </c>
      <c r="H224" t="s">
        <v>15</v>
      </c>
      <c r="I224">
        <v>952.12</v>
      </c>
    </row>
    <row r="225" spans="1:9" x14ac:dyDescent="0.25">
      <c r="A225">
        <v>905</v>
      </c>
      <c r="B225">
        <v>64</v>
      </c>
      <c r="C225" t="s">
        <v>12</v>
      </c>
      <c r="D225">
        <v>139658</v>
      </c>
      <c r="E225">
        <v>77</v>
      </c>
      <c r="F225">
        <v>6</v>
      </c>
      <c r="G225">
        <v>26</v>
      </c>
      <c r="H225" t="s">
        <v>15</v>
      </c>
      <c r="I225">
        <v>71.97</v>
      </c>
    </row>
    <row r="226" spans="1:9" x14ac:dyDescent="0.25">
      <c r="A226">
        <v>923</v>
      </c>
      <c r="B226">
        <v>68</v>
      </c>
      <c r="C226" t="s">
        <v>12</v>
      </c>
      <c r="D226">
        <v>107702</v>
      </c>
      <c r="E226">
        <v>73</v>
      </c>
      <c r="F226">
        <v>4</v>
      </c>
      <c r="G226">
        <v>2</v>
      </c>
      <c r="H226" t="s">
        <v>15</v>
      </c>
      <c r="I226">
        <v>136.03</v>
      </c>
    </row>
    <row r="227" spans="1:9" x14ac:dyDescent="0.25">
      <c r="A227">
        <v>942</v>
      </c>
      <c r="B227">
        <v>36</v>
      </c>
      <c r="C227" t="s">
        <v>12</v>
      </c>
      <c r="D227">
        <v>33087</v>
      </c>
      <c r="E227">
        <v>69</v>
      </c>
      <c r="F227">
        <v>7</v>
      </c>
      <c r="G227">
        <v>21</v>
      </c>
      <c r="H227" t="s">
        <v>15</v>
      </c>
      <c r="I227">
        <v>651.79999999999995</v>
      </c>
    </row>
    <row r="228" spans="1:9" x14ac:dyDescent="0.25">
      <c r="A228">
        <v>953</v>
      </c>
      <c r="B228">
        <v>51</v>
      </c>
      <c r="C228" t="s">
        <v>12</v>
      </c>
      <c r="D228">
        <v>104830</v>
      </c>
      <c r="E228">
        <v>43</v>
      </c>
      <c r="F228">
        <v>9</v>
      </c>
      <c r="G228">
        <v>36</v>
      </c>
      <c r="H228" t="s">
        <v>15</v>
      </c>
      <c r="I228">
        <v>593.91999999999996</v>
      </c>
    </row>
    <row r="229" spans="1:9" x14ac:dyDescent="0.25">
      <c r="A229">
        <v>955</v>
      </c>
      <c r="B229">
        <v>30</v>
      </c>
      <c r="C229" t="s">
        <v>12</v>
      </c>
      <c r="D229">
        <v>50661</v>
      </c>
      <c r="E229">
        <v>89</v>
      </c>
      <c r="F229">
        <v>9</v>
      </c>
      <c r="G229">
        <v>22</v>
      </c>
      <c r="H229" t="s">
        <v>15</v>
      </c>
      <c r="I229">
        <v>630.37</v>
      </c>
    </row>
    <row r="230" spans="1:9" x14ac:dyDescent="0.25">
      <c r="A230">
        <v>987</v>
      </c>
      <c r="B230">
        <v>22</v>
      </c>
      <c r="C230" t="s">
        <v>12</v>
      </c>
      <c r="D230">
        <v>80049</v>
      </c>
      <c r="E230">
        <v>1</v>
      </c>
      <c r="F230">
        <v>10</v>
      </c>
      <c r="G230">
        <v>47</v>
      </c>
      <c r="H230" t="s">
        <v>15</v>
      </c>
      <c r="I230">
        <v>16.97</v>
      </c>
    </row>
    <row r="231" spans="1:9" x14ac:dyDescent="0.25">
      <c r="A231">
        <v>998</v>
      </c>
      <c r="B231">
        <v>23</v>
      </c>
      <c r="C231" t="s">
        <v>12</v>
      </c>
      <c r="D231">
        <v>113097</v>
      </c>
      <c r="E231">
        <v>40</v>
      </c>
      <c r="F231">
        <v>5</v>
      </c>
      <c r="G231">
        <v>42</v>
      </c>
      <c r="H231" t="s">
        <v>15</v>
      </c>
      <c r="I231">
        <v>75.09</v>
      </c>
    </row>
    <row r="232" spans="1:9" x14ac:dyDescent="0.25">
      <c r="A232">
        <v>8</v>
      </c>
      <c r="B232">
        <v>43</v>
      </c>
      <c r="C232" t="s">
        <v>12</v>
      </c>
      <c r="D232">
        <v>108115</v>
      </c>
      <c r="E232">
        <v>94</v>
      </c>
      <c r="F232">
        <v>9</v>
      </c>
      <c r="G232">
        <v>27</v>
      </c>
      <c r="H232" t="s">
        <v>16</v>
      </c>
      <c r="I232">
        <v>734.56</v>
      </c>
    </row>
    <row r="233" spans="1:9" x14ac:dyDescent="0.25">
      <c r="A233">
        <v>20</v>
      </c>
      <c r="B233">
        <v>31</v>
      </c>
      <c r="C233" t="s">
        <v>12</v>
      </c>
      <c r="D233">
        <v>97103</v>
      </c>
      <c r="E233">
        <v>70</v>
      </c>
      <c r="F233">
        <v>3</v>
      </c>
      <c r="G233">
        <v>17</v>
      </c>
      <c r="H233" t="s">
        <v>16</v>
      </c>
      <c r="I233">
        <v>61.3</v>
      </c>
    </row>
    <row r="234" spans="1:9" x14ac:dyDescent="0.25">
      <c r="A234">
        <v>27</v>
      </c>
      <c r="B234">
        <v>54</v>
      </c>
      <c r="C234" t="s">
        <v>12</v>
      </c>
      <c r="D234">
        <v>35394</v>
      </c>
      <c r="E234">
        <v>10</v>
      </c>
      <c r="F234">
        <v>9</v>
      </c>
      <c r="G234">
        <v>4</v>
      </c>
      <c r="H234" t="s">
        <v>16</v>
      </c>
      <c r="I234">
        <v>124.29</v>
      </c>
    </row>
    <row r="235" spans="1:9" x14ac:dyDescent="0.25">
      <c r="A235">
        <v>61</v>
      </c>
      <c r="B235">
        <v>23</v>
      </c>
      <c r="C235" t="s">
        <v>12</v>
      </c>
      <c r="D235">
        <v>69133</v>
      </c>
      <c r="E235">
        <v>14</v>
      </c>
      <c r="F235">
        <v>6</v>
      </c>
      <c r="G235">
        <v>7</v>
      </c>
      <c r="H235" t="s">
        <v>16</v>
      </c>
      <c r="I235">
        <v>224.86</v>
      </c>
    </row>
    <row r="236" spans="1:9" x14ac:dyDescent="0.25">
      <c r="A236">
        <v>77</v>
      </c>
      <c r="B236">
        <v>49</v>
      </c>
      <c r="C236" t="s">
        <v>12</v>
      </c>
      <c r="D236">
        <v>30708</v>
      </c>
      <c r="E236">
        <v>4</v>
      </c>
      <c r="F236">
        <v>1</v>
      </c>
      <c r="G236">
        <v>36</v>
      </c>
      <c r="H236" t="s">
        <v>16</v>
      </c>
      <c r="I236">
        <v>990</v>
      </c>
    </row>
    <row r="237" spans="1:9" x14ac:dyDescent="0.25">
      <c r="A237">
        <v>102</v>
      </c>
      <c r="B237">
        <v>18</v>
      </c>
      <c r="C237" t="s">
        <v>12</v>
      </c>
      <c r="D237">
        <v>49346</v>
      </c>
      <c r="E237">
        <v>70</v>
      </c>
      <c r="F237">
        <v>7</v>
      </c>
      <c r="G237">
        <v>38</v>
      </c>
      <c r="H237" t="s">
        <v>16</v>
      </c>
      <c r="I237">
        <v>127.14</v>
      </c>
    </row>
    <row r="238" spans="1:9" x14ac:dyDescent="0.25">
      <c r="A238">
        <v>113</v>
      </c>
      <c r="B238">
        <v>58</v>
      </c>
      <c r="C238" t="s">
        <v>12</v>
      </c>
      <c r="D238">
        <v>82856</v>
      </c>
      <c r="E238">
        <v>33</v>
      </c>
      <c r="F238">
        <v>7</v>
      </c>
      <c r="G238">
        <v>20</v>
      </c>
      <c r="H238" t="s">
        <v>16</v>
      </c>
      <c r="I238">
        <v>450.72</v>
      </c>
    </row>
    <row r="239" spans="1:9" x14ac:dyDescent="0.25">
      <c r="A239">
        <v>119</v>
      </c>
      <c r="B239">
        <v>33</v>
      </c>
      <c r="C239" t="s">
        <v>12</v>
      </c>
      <c r="D239">
        <v>113154</v>
      </c>
      <c r="E239">
        <v>75</v>
      </c>
      <c r="F239">
        <v>8</v>
      </c>
      <c r="G239">
        <v>46</v>
      </c>
      <c r="H239" t="s">
        <v>16</v>
      </c>
      <c r="I239">
        <v>895.58</v>
      </c>
    </row>
    <row r="240" spans="1:9" x14ac:dyDescent="0.25">
      <c r="A240">
        <v>153</v>
      </c>
      <c r="B240">
        <v>43</v>
      </c>
      <c r="C240" t="s">
        <v>12</v>
      </c>
      <c r="D240">
        <v>33030</v>
      </c>
      <c r="E240">
        <v>61</v>
      </c>
      <c r="F240">
        <v>8</v>
      </c>
      <c r="G240">
        <v>40</v>
      </c>
      <c r="H240" t="s">
        <v>16</v>
      </c>
      <c r="I240">
        <v>711.04</v>
      </c>
    </row>
    <row r="241" spans="1:9" x14ac:dyDescent="0.25">
      <c r="A241">
        <v>170</v>
      </c>
      <c r="B241">
        <v>37</v>
      </c>
      <c r="C241" t="s">
        <v>12</v>
      </c>
      <c r="D241">
        <v>33987</v>
      </c>
      <c r="E241">
        <v>60</v>
      </c>
      <c r="F241">
        <v>8</v>
      </c>
      <c r="G241">
        <v>39</v>
      </c>
      <c r="H241" t="s">
        <v>16</v>
      </c>
      <c r="I241">
        <v>975.1</v>
      </c>
    </row>
    <row r="242" spans="1:9" x14ac:dyDescent="0.25">
      <c r="A242">
        <v>172</v>
      </c>
      <c r="B242">
        <v>19</v>
      </c>
      <c r="C242" t="s">
        <v>12</v>
      </c>
      <c r="D242">
        <v>98446</v>
      </c>
      <c r="E242">
        <v>25</v>
      </c>
      <c r="F242">
        <v>4</v>
      </c>
      <c r="G242">
        <v>34</v>
      </c>
      <c r="H242" t="s">
        <v>16</v>
      </c>
      <c r="I242">
        <v>696.59</v>
      </c>
    </row>
    <row r="243" spans="1:9" x14ac:dyDescent="0.25">
      <c r="A243">
        <v>181</v>
      </c>
      <c r="B243">
        <v>49</v>
      </c>
      <c r="C243" t="s">
        <v>12</v>
      </c>
      <c r="D243">
        <v>76202</v>
      </c>
      <c r="E243">
        <v>83</v>
      </c>
      <c r="F243">
        <v>3</v>
      </c>
      <c r="G243">
        <v>6</v>
      </c>
      <c r="H243" t="s">
        <v>16</v>
      </c>
      <c r="I243">
        <v>208.79</v>
      </c>
    </row>
    <row r="244" spans="1:9" x14ac:dyDescent="0.25">
      <c r="A244">
        <v>184</v>
      </c>
      <c r="B244">
        <v>27</v>
      </c>
      <c r="C244" t="s">
        <v>12</v>
      </c>
      <c r="D244">
        <v>63313</v>
      </c>
      <c r="E244">
        <v>8</v>
      </c>
      <c r="F244">
        <v>10</v>
      </c>
      <c r="G244">
        <v>42</v>
      </c>
      <c r="H244" t="s">
        <v>16</v>
      </c>
      <c r="I244">
        <v>35.01</v>
      </c>
    </row>
    <row r="245" spans="1:9" x14ac:dyDescent="0.25">
      <c r="A245">
        <v>198</v>
      </c>
      <c r="B245">
        <v>39</v>
      </c>
      <c r="C245" t="s">
        <v>12</v>
      </c>
      <c r="D245">
        <v>116566</v>
      </c>
      <c r="E245">
        <v>76</v>
      </c>
      <c r="F245">
        <v>9</v>
      </c>
      <c r="G245">
        <v>21</v>
      </c>
      <c r="H245" t="s">
        <v>16</v>
      </c>
      <c r="I245">
        <v>32.380000000000003</v>
      </c>
    </row>
    <row r="246" spans="1:9" x14ac:dyDescent="0.25">
      <c r="A246">
        <v>201</v>
      </c>
      <c r="B246">
        <v>45</v>
      </c>
      <c r="C246" t="s">
        <v>12</v>
      </c>
      <c r="D246">
        <v>111788</v>
      </c>
      <c r="E246">
        <v>28</v>
      </c>
      <c r="F246">
        <v>9</v>
      </c>
      <c r="G246">
        <v>49</v>
      </c>
      <c r="H246" t="s">
        <v>16</v>
      </c>
      <c r="I246">
        <v>628.42999999999995</v>
      </c>
    </row>
    <row r="247" spans="1:9" x14ac:dyDescent="0.25">
      <c r="A247">
        <v>232</v>
      </c>
      <c r="B247">
        <v>66</v>
      </c>
      <c r="C247" t="s">
        <v>12</v>
      </c>
      <c r="D247">
        <v>144573</v>
      </c>
      <c r="E247">
        <v>41</v>
      </c>
      <c r="F247">
        <v>7</v>
      </c>
      <c r="G247">
        <v>24</v>
      </c>
      <c r="H247" t="s">
        <v>16</v>
      </c>
      <c r="I247">
        <v>66.599999999999994</v>
      </c>
    </row>
    <row r="248" spans="1:9" x14ac:dyDescent="0.25">
      <c r="A248">
        <v>259</v>
      </c>
      <c r="B248">
        <v>68</v>
      </c>
      <c r="C248" t="s">
        <v>12</v>
      </c>
      <c r="D248">
        <v>49725</v>
      </c>
      <c r="E248">
        <v>59</v>
      </c>
      <c r="F248">
        <v>2</v>
      </c>
      <c r="G248">
        <v>35</v>
      </c>
      <c r="H248" t="s">
        <v>16</v>
      </c>
      <c r="I248">
        <v>12.36</v>
      </c>
    </row>
    <row r="249" spans="1:9" x14ac:dyDescent="0.25">
      <c r="A249">
        <v>271</v>
      </c>
      <c r="B249">
        <v>69</v>
      </c>
      <c r="C249" t="s">
        <v>12</v>
      </c>
      <c r="D249">
        <v>47458</v>
      </c>
      <c r="E249">
        <v>14</v>
      </c>
      <c r="F249">
        <v>2</v>
      </c>
      <c r="G249">
        <v>10</v>
      </c>
      <c r="H249" t="s">
        <v>16</v>
      </c>
      <c r="I249">
        <v>874.32</v>
      </c>
    </row>
    <row r="250" spans="1:9" x14ac:dyDescent="0.25">
      <c r="A250">
        <v>299</v>
      </c>
      <c r="B250">
        <v>59</v>
      </c>
      <c r="C250" t="s">
        <v>12</v>
      </c>
      <c r="D250">
        <v>36383</v>
      </c>
      <c r="E250">
        <v>5</v>
      </c>
      <c r="F250">
        <v>6</v>
      </c>
      <c r="G250">
        <v>31</v>
      </c>
      <c r="H250" t="s">
        <v>16</v>
      </c>
      <c r="I250">
        <v>82.77</v>
      </c>
    </row>
    <row r="251" spans="1:9" x14ac:dyDescent="0.25">
      <c r="A251">
        <v>314</v>
      </c>
      <c r="B251">
        <v>44</v>
      </c>
      <c r="C251" t="s">
        <v>12</v>
      </c>
      <c r="D251">
        <v>141748</v>
      </c>
      <c r="E251">
        <v>55</v>
      </c>
      <c r="F251">
        <v>2</v>
      </c>
      <c r="G251">
        <v>50</v>
      </c>
      <c r="H251" t="s">
        <v>16</v>
      </c>
      <c r="I251">
        <v>897.57</v>
      </c>
    </row>
    <row r="252" spans="1:9" x14ac:dyDescent="0.25">
      <c r="A252">
        <v>330</v>
      </c>
      <c r="B252">
        <v>28</v>
      </c>
      <c r="C252" t="s">
        <v>12</v>
      </c>
      <c r="D252">
        <v>51087</v>
      </c>
      <c r="E252">
        <v>60</v>
      </c>
      <c r="F252">
        <v>4</v>
      </c>
      <c r="G252">
        <v>42</v>
      </c>
      <c r="H252" t="s">
        <v>16</v>
      </c>
      <c r="I252">
        <v>68.31</v>
      </c>
    </row>
    <row r="253" spans="1:9" x14ac:dyDescent="0.25">
      <c r="A253">
        <v>331</v>
      </c>
      <c r="B253">
        <v>30</v>
      </c>
      <c r="C253" t="s">
        <v>12</v>
      </c>
      <c r="D253">
        <v>90651</v>
      </c>
      <c r="E253">
        <v>88</v>
      </c>
      <c r="F253">
        <v>9</v>
      </c>
      <c r="G253">
        <v>37</v>
      </c>
      <c r="H253" t="s">
        <v>16</v>
      </c>
      <c r="I253">
        <v>555.41</v>
      </c>
    </row>
    <row r="254" spans="1:9" x14ac:dyDescent="0.25">
      <c r="A254">
        <v>335</v>
      </c>
      <c r="B254">
        <v>60</v>
      </c>
      <c r="C254" t="s">
        <v>12</v>
      </c>
      <c r="D254">
        <v>145308</v>
      </c>
      <c r="E254">
        <v>83</v>
      </c>
      <c r="F254">
        <v>3</v>
      </c>
      <c r="G254">
        <v>31</v>
      </c>
      <c r="H254" t="s">
        <v>16</v>
      </c>
      <c r="I254">
        <v>53.26</v>
      </c>
    </row>
    <row r="255" spans="1:9" x14ac:dyDescent="0.25">
      <c r="A255">
        <v>337</v>
      </c>
      <c r="B255">
        <v>58</v>
      </c>
      <c r="C255" t="s">
        <v>12</v>
      </c>
      <c r="D255">
        <v>60768</v>
      </c>
      <c r="E255">
        <v>88</v>
      </c>
      <c r="F255">
        <v>2</v>
      </c>
      <c r="G255">
        <v>38</v>
      </c>
      <c r="H255" t="s">
        <v>16</v>
      </c>
      <c r="I255">
        <v>67.52</v>
      </c>
    </row>
    <row r="256" spans="1:9" x14ac:dyDescent="0.25">
      <c r="A256">
        <v>359</v>
      </c>
      <c r="B256">
        <v>50</v>
      </c>
      <c r="C256" t="s">
        <v>12</v>
      </c>
      <c r="D256">
        <v>85888</v>
      </c>
      <c r="E256">
        <v>19</v>
      </c>
      <c r="F256">
        <v>2</v>
      </c>
      <c r="G256">
        <v>25</v>
      </c>
      <c r="H256" t="s">
        <v>16</v>
      </c>
      <c r="I256">
        <v>910.52</v>
      </c>
    </row>
    <row r="257" spans="1:9" x14ac:dyDescent="0.25">
      <c r="A257">
        <v>371</v>
      </c>
      <c r="B257">
        <v>20</v>
      </c>
      <c r="C257" t="s">
        <v>12</v>
      </c>
      <c r="D257">
        <v>87520</v>
      </c>
      <c r="E257">
        <v>93</v>
      </c>
      <c r="F257">
        <v>4</v>
      </c>
      <c r="G257">
        <v>3</v>
      </c>
      <c r="H257" t="s">
        <v>16</v>
      </c>
      <c r="I257">
        <v>459.87</v>
      </c>
    </row>
    <row r="258" spans="1:9" x14ac:dyDescent="0.25">
      <c r="A258">
        <v>386</v>
      </c>
      <c r="B258">
        <v>69</v>
      </c>
      <c r="C258" t="s">
        <v>12</v>
      </c>
      <c r="D258">
        <v>105810</v>
      </c>
      <c r="E258">
        <v>57</v>
      </c>
      <c r="F258">
        <v>6</v>
      </c>
      <c r="G258">
        <v>28</v>
      </c>
      <c r="H258" t="s">
        <v>16</v>
      </c>
      <c r="I258">
        <v>985.94</v>
      </c>
    </row>
    <row r="259" spans="1:9" x14ac:dyDescent="0.25">
      <c r="A259">
        <v>404</v>
      </c>
      <c r="B259">
        <v>36</v>
      </c>
      <c r="C259" t="s">
        <v>12</v>
      </c>
      <c r="D259">
        <v>30121</v>
      </c>
      <c r="E259">
        <v>39</v>
      </c>
      <c r="F259">
        <v>10</v>
      </c>
      <c r="G259">
        <v>16</v>
      </c>
      <c r="H259" t="s">
        <v>16</v>
      </c>
      <c r="I259">
        <v>233.08</v>
      </c>
    </row>
    <row r="260" spans="1:9" x14ac:dyDescent="0.25">
      <c r="A260">
        <v>415</v>
      </c>
      <c r="B260">
        <v>57</v>
      </c>
      <c r="C260" t="s">
        <v>12</v>
      </c>
      <c r="D260">
        <v>52164</v>
      </c>
      <c r="E260">
        <v>53</v>
      </c>
      <c r="F260">
        <v>3</v>
      </c>
      <c r="G260">
        <v>36</v>
      </c>
      <c r="H260" t="s">
        <v>16</v>
      </c>
      <c r="I260">
        <v>710.84</v>
      </c>
    </row>
    <row r="261" spans="1:9" x14ac:dyDescent="0.25">
      <c r="A261">
        <v>424</v>
      </c>
      <c r="B261">
        <v>56</v>
      </c>
      <c r="C261" t="s">
        <v>12</v>
      </c>
      <c r="D261">
        <v>134502</v>
      </c>
      <c r="E261">
        <v>46</v>
      </c>
      <c r="F261">
        <v>5</v>
      </c>
      <c r="G261">
        <v>5</v>
      </c>
      <c r="H261" t="s">
        <v>16</v>
      </c>
      <c r="I261">
        <v>394.49</v>
      </c>
    </row>
    <row r="262" spans="1:9" x14ac:dyDescent="0.25">
      <c r="A262">
        <v>431</v>
      </c>
      <c r="B262">
        <v>40</v>
      </c>
      <c r="C262" t="s">
        <v>12</v>
      </c>
      <c r="D262">
        <v>99618</v>
      </c>
      <c r="E262">
        <v>80</v>
      </c>
      <c r="F262">
        <v>4</v>
      </c>
      <c r="G262">
        <v>22</v>
      </c>
      <c r="H262" t="s">
        <v>16</v>
      </c>
      <c r="I262">
        <v>15.04</v>
      </c>
    </row>
    <row r="263" spans="1:9" x14ac:dyDescent="0.25">
      <c r="A263">
        <v>458</v>
      </c>
      <c r="B263">
        <v>62</v>
      </c>
      <c r="C263" t="s">
        <v>12</v>
      </c>
      <c r="D263">
        <v>32827</v>
      </c>
      <c r="E263">
        <v>69</v>
      </c>
      <c r="F263">
        <v>8</v>
      </c>
      <c r="G263">
        <v>2</v>
      </c>
      <c r="H263" t="s">
        <v>16</v>
      </c>
      <c r="I263">
        <v>468.37</v>
      </c>
    </row>
    <row r="264" spans="1:9" x14ac:dyDescent="0.25">
      <c r="A264">
        <v>467</v>
      </c>
      <c r="B264">
        <v>25</v>
      </c>
      <c r="C264" t="s">
        <v>12</v>
      </c>
      <c r="D264">
        <v>99668</v>
      </c>
      <c r="E264">
        <v>1</v>
      </c>
      <c r="F264">
        <v>1</v>
      </c>
      <c r="G264">
        <v>50</v>
      </c>
      <c r="H264" t="s">
        <v>16</v>
      </c>
      <c r="I264">
        <v>937.86</v>
      </c>
    </row>
    <row r="265" spans="1:9" x14ac:dyDescent="0.25">
      <c r="A265">
        <v>471</v>
      </c>
      <c r="B265">
        <v>32</v>
      </c>
      <c r="C265" t="s">
        <v>12</v>
      </c>
      <c r="D265">
        <v>38683</v>
      </c>
      <c r="E265">
        <v>59</v>
      </c>
      <c r="F265">
        <v>10</v>
      </c>
      <c r="G265">
        <v>47</v>
      </c>
      <c r="H265" t="s">
        <v>16</v>
      </c>
      <c r="I265">
        <v>846.85</v>
      </c>
    </row>
    <row r="266" spans="1:9" x14ac:dyDescent="0.25">
      <c r="A266">
        <v>476</v>
      </c>
      <c r="B266">
        <v>38</v>
      </c>
      <c r="C266" t="s">
        <v>12</v>
      </c>
      <c r="D266">
        <v>144083</v>
      </c>
      <c r="E266">
        <v>23</v>
      </c>
      <c r="F266">
        <v>1</v>
      </c>
      <c r="G266">
        <v>28</v>
      </c>
      <c r="H266" t="s">
        <v>16</v>
      </c>
      <c r="I266">
        <v>158.15</v>
      </c>
    </row>
    <row r="267" spans="1:9" x14ac:dyDescent="0.25">
      <c r="A267">
        <v>484</v>
      </c>
      <c r="B267">
        <v>40</v>
      </c>
      <c r="C267" t="s">
        <v>12</v>
      </c>
      <c r="D267">
        <v>61052</v>
      </c>
      <c r="E267">
        <v>44</v>
      </c>
      <c r="F267">
        <v>4</v>
      </c>
      <c r="G267">
        <v>17</v>
      </c>
      <c r="H267" t="s">
        <v>16</v>
      </c>
      <c r="I267">
        <v>135.19</v>
      </c>
    </row>
    <row r="268" spans="1:9" x14ac:dyDescent="0.25">
      <c r="A268">
        <v>499</v>
      </c>
      <c r="B268">
        <v>25</v>
      </c>
      <c r="C268" t="s">
        <v>12</v>
      </c>
      <c r="D268">
        <v>33065</v>
      </c>
      <c r="E268">
        <v>61</v>
      </c>
      <c r="F268">
        <v>7</v>
      </c>
      <c r="G268">
        <v>40</v>
      </c>
      <c r="H268" t="s">
        <v>16</v>
      </c>
      <c r="I268">
        <v>317.98</v>
      </c>
    </row>
    <row r="269" spans="1:9" x14ac:dyDescent="0.25">
      <c r="A269">
        <v>515</v>
      </c>
      <c r="B269">
        <v>28</v>
      </c>
      <c r="C269" t="s">
        <v>12</v>
      </c>
      <c r="D269">
        <v>66961</v>
      </c>
      <c r="E269">
        <v>8</v>
      </c>
      <c r="F269">
        <v>10</v>
      </c>
      <c r="G269">
        <v>22</v>
      </c>
      <c r="H269" t="s">
        <v>16</v>
      </c>
      <c r="I269">
        <v>179.82</v>
      </c>
    </row>
    <row r="270" spans="1:9" x14ac:dyDescent="0.25">
      <c r="A270">
        <v>538</v>
      </c>
      <c r="B270">
        <v>39</v>
      </c>
      <c r="C270" t="s">
        <v>12</v>
      </c>
      <c r="D270">
        <v>49970</v>
      </c>
      <c r="E270">
        <v>53</v>
      </c>
      <c r="F270">
        <v>5</v>
      </c>
      <c r="G270">
        <v>24</v>
      </c>
      <c r="H270" t="s">
        <v>16</v>
      </c>
      <c r="I270">
        <v>728.58</v>
      </c>
    </row>
    <row r="271" spans="1:9" x14ac:dyDescent="0.25">
      <c r="A271">
        <v>540</v>
      </c>
      <c r="B271">
        <v>36</v>
      </c>
      <c r="C271" t="s">
        <v>12</v>
      </c>
      <c r="D271">
        <v>37595</v>
      </c>
      <c r="E271">
        <v>88</v>
      </c>
      <c r="F271">
        <v>8</v>
      </c>
      <c r="G271">
        <v>49</v>
      </c>
      <c r="H271" t="s">
        <v>16</v>
      </c>
      <c r="I271">
        <v>600.48</v>
      </c>
    </row>
    <row r="272" spans="1:9" x14ac:dyDescent="0.25">
      <c r="A272">
        <v>562</v>
      </c>
      <c r="B272">
        <v>18</v>
      </c>
      <c r="C272" t="s">
        <v>12</v>
      </c>
      <c r="D272">
        <v>143235</v>
      </c>
      <c r="E272">
        <v>46</v>
      </c>
      <c r="F272">
        <v>10</v>
      </c>
      <c r="G272">
        <v>31</v>
      </c>
      <c r="H272" t="s">
        <v>16</v>
      </c>
      <c r="I272">
        <v>143.75</v>
      </c>
    </row>
    <row r="273" spans="1:9" x14ac:dyDescent="0.25">
      <c r="A273">
        <v>563</v>
      </c>
      <c r="B273">
        <v>23</v>
      </c>
      <c r="C273" t="s">
        <v>12</v>
      </c>
      <c r="D273">
        <v>143899</v>
      </c>
      <c r="E273">
        <v>10</v>
      </c>
      <c r="F273">
        <v>3</v>
      </c>
      <c r="G273">
        <v>47</v>
      </c>
      <c r="H273" t="s">
        <v>16</v>
      </c>
      <c r="I273">
        <v>361.81</v>
      </c>
    </row>
    <row r="274" spans="1:9" x14ac:dyDescent="0.25">
      <c r="A274">
        <v>616</v>
      </c>
      <c r="B274">
        <v>43</v>
      </c>
      <c r="C274" t="s">
        <v>12</v>
      </c>
      <c r="D274">
        <v>38012</v>
      </c>
      <c r="E274">
        <v>55</v>
      </c>
      <c r="F274">
        <v>3</v>
      </c>
      <c r="G274">
        <v>24</v>
      </c>
      <c r="H274" t="s">
        <v>16</v>
      </c>
      <c r="I274">
        <v>943.37</v>
      </c>
    </row>
    <row r="275" spans="1:9" x14ac:dyDescent="0.25">
      <c r="A275">
        <v>626</v>
      </c>
      <c r="B275">
        <v>19</v>
      </c>
      <c r="C275" t="s">
        <v>12</v>
      </c>
      <c r="D275">
        <v>138008</v>
      </c>
      <c r="E275">
        <v>8</v>
      </c>
      <c r="F275">
        <v>9</v>
      </c>
      <c r="G275">
        <v>15</v>
      </c>
      <c r="H275" t="s">
        <v>16</v>
      </c>
      <c r="I275">
        <v>116.8</v>
      </c>
    </row>
    <row r="276" spans="1:9" x14ac:dyDescent="0.25">
      <c r="A276">
        <v>629</v>
      </c>
      <c r="B276">
        <v>65</v>
      </c>
      <c r="C276" t="s">
        <v>12</v>
      </c>
      <c r="D276">
        <v>84223</v>
      </c>
      <c r="E276">
        <v>83</v>
      </c>
      <c r="F276">
        <v>7</v>
      </c>
      <c r="G276">
        <v>46</v>
      </c>
      <c r="H276" t="s">
        <v>16</v>
      </c>
      <c r="I276">
        <v>971.93</v>
      </c>
    </row>
    <row r="277" spans="1:9" x14ac:dyDescent="0.25">
      <c r="A277">
        <v>639</v>
      </c>
      <c r="B277">
        <v>68</v>
      </c>
      <c r="C277" t="s">
        <v>12</v>
      </c>
      <c r="D277">
        <v>57700</v>
      </c>
      <c r="E277">
        <v>70</v>
      </c>
      <c r="F277">
        <v>8</v>
      </c>
      <c r="G277">
        <v>46</v>
      </c>
      <c r="H277" t="s">
        <v>16</v>
      </c>
      <c r="I277">
        <v>178.21</v>
      </c>
    </row>
    <row r="278" spans="1:9" x14ac:dyDescent="0.25">
      <c r="A278">
        <v>696</v>
      </c>
      <c r="B278">
        <v>61</v>
      </c>
      <c r="C278" t="s">
        <v>12</v>
      </c>
      <c r="D278">
        <v>89720</v>
      </c>
      <c r="E278">
        <v>4</v>
      </c>
      <c r="F278">
        <v>9</v>
      </c>
      <c r="G278">
        <v>8</v>
      </c>
      <c r="H278" t="s">
        <v>16</v>
      </c>
      <c r="I278">
        <v>795.49</v>
      </c>
    </row>
    <row r="279" spans="1:9" x14ac:dyDescent="0.25">
      <c r="A279">
        <v>701</v>
      </c>
      <c r="B279">
        <v>31</v>
      </c>
      <c r="C279" t="s">
        <v>12</v>
      </c>
      <c r="D279">
        <v>148121</v>
      </c>
      <c r="E279">
        <v>34</v>
      </c>
      <c r="F279">
        <v>9</v>
      </c>
      <c r="G279">
        <v>32</v>
      </c>
      <c r="H279" t="s">
        <v>16</v>
      </c>
      <c r="I279">
        <v>753.49</v>
      </c>
    </row>
    <row r="280" spans="1:9" x14ac:dyDescent="0.25">
      <c r="A280">
        <v>721</v>
      </c>
      <c r="B280">
        <v>27</v>
      </c>
      <c r="C280" t="s">
        <v>12</v>
      </c>
      <c r="D280">
        <v>114848</v>
      </c>
      <c r="E280">
        <v>66</v>
      </c>
      <c r="F280">
        <v>10</v>
      </c>
      <c r="G280">
        <v>38</v>
      </c>
      <c r="H280" t="s">
        <v>16</v>
      </c>
      <c r="I280">
        <v>912.58</v>
      </c>
    </row>
    <row r="281" spans="1:9" x14ac:dyDescent="0.25">
      <c r="A281">
        <v>723</v>
      </c>
      <c r="B281">
        <v>20</v>
      </c>
      <c r="C281" t="s">
        <v>12</v>
      </c>
      <c r="D281">
        <v>48504</v>
      </c>
      <c r="E281">
        <v>27</v>
      </c>
      <c r="F281">
        <v>3</v>
      </c>
      <c r="G281">
        <v>28</v>
      </c>
      <c r="H281" t="s">
        <v>16</v>
      </c>
      <c r="I281">
        <v>658.54</v>
      </c>
    </row>
    <row r="282" spans="1:9" x14ac:dyDescent="0.25">
      <c r="A282">
        <v>747</v>
      </c>
      <c r="B282">
        <v>26</v>
      </c>
      <c r="C282" t="s">
        <v>12</v>
      </c>
      <c r="D282">
        <v>44725</v>
      </c>
      <c r="E282">
        <v>40</v>
      </c>
      <c r="F282">
        <v>10</v>
      </c>
      <c r="G282">
        <v>17</v>
      </c>
      <c r="H282" t="s">
        <v>16</v>
      </c>
      <c r="I282">
        <v>307.42</v>
      </c>
    </row>
    <row r="283" spans="1:9" x14ac:dyDescent="0.25">
      <c r="A283">
        <v>751</v>
      </c>
      <c r="B283">
        <v>63</v>
      </c>
      <c r="C283" t="s">
        <v>12</v>
      </c>
      <c r="D283">
        <v>37201</v>
      </c>
      <c r="E283">
        <v>60</v>
      </c>
      <c r="F283">
        <v>6</v>
      </c>
      <c r="G283">
        <v>46</v>
      </c>
      <c r="H283" t="s">
        <v>16</v>
      </c>
      <c r="I283">
        <v>90.96</v>
      </c>
    </row>
    <row r="284" spans="1:9" x14ac:dyDescent="0.25">
      <c r="A284">
        <v>754</v>
      </c>
      <c r="B284">
        <v>52</v>
      </c>
      <c r="C284" t="s">
        <v>12</v>
      </c>
      <c r="D284">
        <v>49342</v>
      </c>
      <c r="E284">
        <v>77</v>
      </c>
      <c r="F284">
        <v>7</v>
      </c>
      <c r="G284">
        <v>29</v>
      </c>
      <c r="H284" t="s">
        <v>16</v>
      </c>
      <c r="I284">
        <v>622.86</v>
      </c>
    </row>
    <row r="285" spans="1:9" x14ac:dyDescent="0.25">
      <c r="A285">
        <v>770</v>
      </c>
      <c r="B285">
        <v>61</v>
      </c>
      <c r="C285" t="s">
        <v>12</v>
      </c>
      <c r="D285">
        <v>32692</v>
      </c>
      <c r="E285">
        <v>18</v>
      </c>
      <c r="F285">
        <v>8</v>
      </c>
      <c r="G285">
        <v>28</v>
      </c>
      <c r="H285" t="s">
        <v>16</v>
      </c>
      <c r="I285">
        <v>709.33</v>
      </c>
    </row>
    <row r="286" spans="1:9" x14ac:dyDescent="0.25">
      <c r="A286">
        <v>802</v>
      </c>
      <c r="B286">
        <v>51</v>
      </c>
      <c r="C286" t="s">
        <v>12</v>
      </c>
      <c r="D286">
        <v>107033</v>
      </c>
      <c r="E286">
        <v>96</v>
      </c>
      <c r="F286">
        <v>3</v>
      </c>
      <c r="G286">
        <v>42</v>
      </c>
      <c r="H286" t="s">
        <v>16</v>
      </c>
      <c r="I286">
        <v>992.17</v>
      </c>
    </row>
    <row r="287" spans="1:9" x14ac:dyDescent="0.25">
      <c r="A287">
        <v>803</v>
      </c>
      <c r="B287">
        <v>64</v>
      </c>
      <c r="C287" t="s">
        <v>12</v>
      </c>
      <c r="D287">
        <v>127745</v>
      </c>
      <c r="E287">
        <v>72</v>
      </c>
      <c r="F287">
        <v>2</v>
      </c>
      <c r="G287">
        <v>11</v>
      </c>
      <c r="H287" t="s">
        <v>16</v>
      </c>
      <c r="I287">
        <v>192.17</v>
      </c>
    </row>
    <row r="288" spans="1:9" x14ac:dyDescent="0.25">
      <c r="A288">
        <v>806</v>
      </c>
      <c r="B288">
        <v>49</v>
      </c>
      <c r="C288" t="s">
        <v>12</v>
      </c>
      <c r="D288">
        <v>69864</v>
      </c>
      <c r="E288">
        <v>92</v>
      </c>
      <c r="F288">
        <v>10</v>
      </c>
      <c r="G288">
        <v>25</v>
      </c>
      <c r="H288" t="s">
        <v>16</v>
      </c>
      <c r="I288">
        <v>522.78</v>
      </c>
    </row>
    <row r="289" spans="1:9" x14ac:dyDescent="0.25">
      <c r="A289">
        <v>808</v>
      </c>
      <c r="B289">
        <v>33</v>
      </c>
      <c r="C289" t="s">
        <v>12</v>
      </c>
      <c r="D289">
        <v>127302</v>
      </c>
      <c r="E289">
        <v>43</v>
      </c>
      <c r="F289">
        <v>1</v>
      </c>
      <c r="G289">
        <v>40</v>
      </c>
      <c r="H289" t="s">
        <v>16</v>
      </c>
      <c r="I289">
        <v>785.52</v>
      </c>
    </row>
    <row r="290" spans="1:9" x14ac:dyDescent="0.25">
      <c r="A290">
        <v>826</v>
      </c>
      <c r="B290">
        <v>48</v>
      </c>
      <c r="C290" t="s">
        <v>12</v>
      </c>
      <c r="D290">
        <v>111795</v>
      </c>
      <c r="E290">
        <v>41</v>
      </c>
      <c r="F290">
        <v>9</v>
      </c>
      <c r="G290">
        <v>17</v>
      </c>
      <c r="H290" t="s">
        <v>16</v>
      </c>
      <c r="I290">
        <v>116.19</v>
      </c>
    </row>
    <row r="291" spans="1:9" x14ac:dyDescent="0.25">
      <c r="A291">
        <v>847</v>
      </c>
      <c r="B291">
        <v>22</v>
      </c>
      <c r="C291" t="s">
        <v>12</v>
      </c>
      <c r="D291">
        <v>134801</v>
      </c>
      <c r="E291">
        <v>47</v>
      </c>
      <c r="F291">
        <v>1</v>
      </c>
      <c r="G291">
        <v>49</v>
      </c>
      <c r="H291" t="s">
        <v>16</v>
      </c>
      <c r="I291">
        <v>292.92</v>
      </c>
    </row>
    <row r="292" spans="1:9" x14ac:dyDescent="0.25">
      <c r="A292">
        <v>874</v>
      </c>
      <c r="B292">
        <v>35</v>
      </c>
      <c r="C292" t="s">
        <v>12</v>
      </c>
      <c r="D292">
        <v>121037</v>
      </c>
      <c r="E292">
        <v>70</v>
      </c>
      <c r="F292">
        <v>1</v>
      </c>
      <c r="G292">
        <v>28</v>
      </c>
      <c r="H292" t="s">
        <v>16</v>
      </c>
      <c r="I292">
        <v>304.08</v>
      </c>
    </row>
    <row r="293" spans="1:9" x14ac:dyDescent="0.25">
      <c r="A293">
        <v>887</v>
      </c>
      <c r="B293">
        <v>60</v>
      </c>
      <c r="C293" t="s">
        <v>12</v>
      </c>
      <c r="D293">
        <v>98882</v>
      </c>
      <c r="E293">
        <v>38</v>
      </c>
      <c r="F293">
        <v>2</v>
      </c>
      <c r="G293">
        <v>28</v>
      </c>
      <c r="H293" t="s">
        <v>16</v>
      </c>
      <c r="I293">
        <v>940.14</v>
      </c>
    </row>
    <row r="294" spans="1:9" x14ac:dyDescent="0.25">
      <c r="A294">
        <v>888</v>
      </c>
      <c r="B294">
        <v>29</v>
      </c>
      <c r="C294" t="s">
        <v>12</v>
      </c>
      <c r="D294">
        <v>149973</v>
      </c>
      <c r="E294">
        <v>2</v>
      </c>
      <c r="F294">
        <v>2</v>
      </c>
      <c r="G294">
        <v>19</v>
      </c>
      <c r="H294" t="s">
        <v>16</v>
      </c>
      <c r="I294">
        <v>437.1</v>
      </c>
    </row>
    <row r="295" spans="1:9" x14ac:dyDescent="0.25">
      <c r="A295">
        <v>916</v>
      </c>
      <c r="B295">
        <v>26</v>
      </c>
      <c r="C295" t="s">
        <v>12</v>
      </c>
      <c r="D295">
        <v>131020</v>
      </c>
      <c r="E295">
        <v>23</v>
      </c>
      <c r="F295">
        <v>7</v>
      </c>
      <c r="G295">
        <v>22</v>
      </c>
      <c r="H295" t="s">
        <v>16</v>
      </c>
      <c r="I295">
        <v>844.88</v>
      </c>
    </row>
    <row r="296" spans="1:9" x14ac:dyDescent="0.25">
      <c r="A296">
        <v>924</v>
      </c>
      <c r="B296">
        <v>20</v>
      </c>
      <c r="C296" t="s">
        <v>12</v>
      </c>
      <c r="D296">
        <v>88778</v>
      </c>
      <c r="E296">
        <v>56</v>
      </c>
      <c r="F296">
        <v>2</v>
      </c>
      <c r="G296">
        <v>28</v>
      </c>
      <c r="H296" t="s">
        <v>16</v>
      </c>
      <c r="I296">
        <v>240.93</v>
      </c>
    </row>
    <row r="297" spans="1:9" x14ac:dyDescent="0.25">
      <c r="A297">
        <v>934</v>
      </c>
      <c r="B297">
        <v>47</v>
      </c>
      <c r="C297" t="s">
        <v>12</v>
      </c>
      <c r="D297">
        <v>138152</v>
      </c>
      <c r="E297">
        <v>53</v>
      </c>
      <c r="F297">
        <v>2</v>
      </c>
      <c r="G297">
        <v>38</v>
      </c>
      <c r="H297" t="s">
        <v>16</v>
      </c>
      <c r="I297">
        <v>129.08000000000001</v>
      </c>
    </row>
    <row r="298" spans="1:9" x14ac:dyDescent="0.25">
      <c r="A298">
        <v>946</v>
      </c>
      <c r="B298">
        <v>59</v>
      </c>
      <c r="C298" t="s">
        <v>12</v>
      </c>
      <c r="D298">
        <v>149936</v>
      </c>
      <c r="E298">
        <v>80</v>
      </c>
      <c r="F298">
        <v>7</v>
      </c>
      <c r="G298">
        <v>37</v>
      </c>
      <c r="H298" t="s">
        <v>16</v>
      </c>
      <c r="I298">
        <v>406.6</v>
      </c>
    </row>
    <row r="299" spans="1:9" x14ac:dyDescent="0.25">
      <c r="A299">
        <v>962</v>
      </c>
      <c r="B299">
        <v>60</v>
      </c>
      <c r="C299" t="s">
        <v>12</v>
      </c>
      <c r="D299">
        <v>98537</v>
      </c>
      <c r="E299">
        <v>71</v>
      </c>
      <c r="F299">
        <v>9</v>
      </c>
      <c r="G299">
        <v>45</v>
      </c>
      <c r="H299" t="s">
        <v>16</v>
      </c>
      <c r="I299">
        <v>725.67</v>
      </c>
    </row>
    <row r="300" spans="1:9" x14ac:dyDescent="0.25">
      <c r="A300">
        <v>973</v>
      </c>
      <c r="B300">
        <v>43</v>
      </c>
      <c r="C300" t="s">
        <v>12</v>
      </c>
      <c r="D300">
        <v>130645</v>
      </c>
      <c r="E300">
        <v>34</v>
      </c>
      <c r="F300">
        <v>10</v>
      </c>
      <c r="G300">
        <v>5</v>
      </c>
      <c r="H300" t="s">
        <v>16</v>
      </c>
      <c r="I300">
        <v>833.69</v>
      </c>
    </row>
    <row r="301" spans="1:9" x14ac:dyDescent="0.25">
      <c r="A301">
        <v>977</v>
      </c>
      <c r="B301">
        <v>37</v>
      </c>
      <c r="C301" t="s">
        <v>12</v>
      </c>
      <c r="D301">
        <v>100314</v>
      </c>
      <c r="E301">
        <v>71</v>
      </c>
      <c r="F301">
        <v>5</v>
      </c>
      <c r="G301">
        <v>19</v>
      </c>
      <c r="H301" t="s">
        <v>16</v>
      </c>
      <c r="I301">
        <v>692.74</v>
      </c>
    </row>
    <row r="302" spans="1:9" x14ac:dyDescent="0.25">
      <c r="A302">
        <v>988</v>
      </c>
      <c r="B302">
        <v>26</v>
      </c>
      <c r="C302" t="s">
        <v>12</v>
      </c>
      <c r="D302">
        <v>148451</v>
      </c>
      <c r="E302">
        <v>78</v>
      </c>
      <c r="F302">
        <v>5</v>
      </c>
      <c r="G302">
        <v>14</v>
      </c>
      <c r="H302" t="s">
        <v>16</v>
      </c>
      <c r="I302">
        <v>99.19</v>
      </c>
    </row>
    <row r="303" spans="1:9" x14ac:dyDescent="0.25">
      <c r="A303">
        <v>16</v>
      </c>
      <c r="B303">
        <v>53</v>
      </c>
      <c r="C303" t="s">
        <v>12</v>
      </c>
      <c r="D303">
        <v>129284</v>
      </c>
      <c r="E303">
        <v>17</v>
      </c>
      <c r="F303">
        <v>6</v>
      </c>
      <c r="G303">
        <v>26</v>
      </c>
      <c r="H303" t="s">
        <v>17</v>
      </c>
      <c r="I303">
        <v>225.4</v>
      </c>
    </row>
    <row r="304" spans="1:9" x14ac:dyDescent="0.25">
      <c r="A304">
        <v>17</v>
      </c>
      <c r="B304">
        <v>57</v>
      </c>
      <c r="C304" t="s">
        <v>12</v>
      </c>
      <c r="D304">
        <v>102535</v>
      </c>
      <c r="E304">
        <v>29</v>
      </c>
      <c r="F304">
        <v>5</v>
      </c>
      <c r="G304">
        <v>13</v>
      </c>
      <c r="H304" t="s">
        <v>17</v>
      </c>
      <c r="I304">
        <v>378.47</v>
      </c>
    </row>
    <row r="305" spans="1:9" x14ac:dyDescent="0.25">
      <c r="A305">
        <v>42</v>
      </c>
      <c r="B305">
        <v>52</v>
      </c>
      <c r="C305" t="s">
        <v>12</v>
      </c>
      <c r="D305">
        <v>115529</v>
      </c>
      <c r="E305">
        <v>70</v>
      </c>
      <c r="F305">
        <v>2</v>
      </c>
      <c r="G305">
        <v>34</v>
      </c>
      <c r="H305" t="s">
        <v>17</v>
      </c>
      <c r="I305">
        <v>192.66</v>
      </c>
    </row>
    <row r="306" spans="1:9" x14ac:dyDescent="0.25">
      <c r="A306">
        <v>85</v>
      </c>
      <c r="B306">
        <v>19</v>
      </c>
      <c r="C306" t="s">
        <v>12</v>
      </c>
      <c r="D306">
        <v>101100</v>
      </c>
      <c r="E306">
        <v>43</v>
      </c>
      <c r="F306">
        <v>3</v>
      </c>
      <c r="G306">
        <v>14</v>
      </c>
      <c r="H306" t="s">
        <v>17</v>
      </c>
      <c r="I306">
        <v>392.36</v>
      </c>
    </row>
    <row r="307" spans="1:9" x14ac:dyDescent="0.25">
      <c r="A307">
        <v>96</v>
      </c>
      <c r="B307">
        <v>23</v>
      </c>
      <c r="C307" t="s">
        <v>12</v>
      </c>
      <c r="D307">
        <v>108480</v>
      </c>
      <c r="E307">
        <v>46</v>
      </c>
      <c r="F307">
        <v>10</v>
      </c>
      <c r="G307">
        <v>21</v>
      </c>
      <c r="H307" t="s">
        <v>17</v>
      </c>
      <c r="I307">
        <v>377.31</v>
      </c>
    </row>
    <row r="308" spans="1:9" x14ac:dyDescent="0.25">
      <c r="A308">
        <v>98</v>
      </c>
      <c r="B308">
        <v>49</v>
      </c>
      <c r="C308" t="s">
        <v>12</v>
      </c>
      <c r="D308">
        <v>46695</v>
      </c>
      <c r="E308">
        <v>99</v>
      </c>
      <c r="F308">
        <v>9</v>
      </c>
      <c r="G308">
        <v>26</v>
      </c>
      <c r="H308" t="s">
        <v>17</v>
      </c>
      <c r="I308">
        <v>674.7</v>
      </c>
    </row>
    <row r="309" spans="1:9" x14ac:dyDescent="0.25">
      <c r="A309">
        <v>103</v>
      </c>
      <c r="B309">
        <v>19</v>
      </c>
      <c r="C309" t="s">
        <v>12</v>
      </c>
      <c r="D309">
        <v>75430</v>
      </c>
      <c r="E309">
        <v>50</v>
      </c>
      <c r="F309">
        <v>7</v>
      </c>
      <c r="G309">
        <v>32</v>
      </c>
      <c r="H309" t="s">
        <v>17</v>
      </c>
      <c r="I309">
        <v>532.51</v>
      </c>
    </row>
    <row r="310" spans="1:9" x14ac:dyDescent="0.25">
      <c r="A310">
        <v>112</v>
      </c>
      <c r="B310">
        <v>64</v>
      </c>
      <c r="C310" t="s">
        <v>12</v>
      </c>
      <c r="D310">
        <v>87006</v>
      </c>
      <c r="E310">
        <v>85</v>
      </c>
      <c r="F310">
        <v>7</v>
      </c>
      <c r="G310">
        <v>20</v>
      </c>
      <c r="H310" t="s">
        <v>17</v>
      </c>
      <c r="I310">
        <v>930.73</v>
      </c>
    </row>
    <row r="311" spans="1:9" x14ac:dyDescent="0.25">
      <c r="A311">
        <v>150</v>
      </c>
      <c r="B311">
        <v>54</v>
      </c>
      <c r="C311" t="s">
        <v>12</v>
      </c>
      <c r="D311">
        <v>100745</v>
      </c>
      <c r="E311">
        <v>29</v>
      </c>
      <c r="F311">
        <v>6</v>
      </c>
      <c r="G311">
        <v>42</v>
      </c>
      <c r="H311" t="s">
        <v>17</v>
      </c>
      <c r="I311">
        <v>335.15</v>
      </c>
    </row>
    <row r="312" spans="1:9" x14ac:dyDescent="0.25">
      <c r="A312">
        <v>194</v>
      </c>
      <c r="B312">
        <v>69</v>
      </c>
      <c r="C312" t="s">
        <v>12</v>
      </c>
      <c r="D312">
        <v>74519</v>
      </c>
      <c r="E312">
        <v>95</v>
      </c>
      <c r="F312">
        <v>10</v>
      </c>
      <c r="G312">
        <v>42</v>
      </c>
      <c r="H312" t="s">
        <v>17</v>
      </c>
      <c r="I312">
        <v>931.51</v>
      </c>
    </row>
    <row r="313" spans="1:9" x14ac:dyDescent="0.25">
      <c r="A313">
        <v>219</v>
      </c>
      <c r="B313">
        <v>57</v>
      </c>
      <c r="C313" t="s">
        <v>12</v>
      </c>
      <c r="D313">
        <v>33009</v>
      </c>
      <c r="E313">
        <v>82</v>
      </c>
      <c r="F313">
        <v>9</v>
      </c>
      <c r="G313">
        <v>24</v>
      </c>
      <c r="H313" t="s">
        <v>17</v>
      </c>
      <c r="I313">
        <v>563.64</v>
      </c>
    </row>
    <row r="314" spans="1:9" x14ac:dyDescent="0.25">
      <c r="A314">
        <v>221</v>
      </c>
      <c r="B314">
        <v>62</v>
      </c>
      <c r="C314" t="s">
        <v>12</v>
      </c>
      <c r="D314">
        <v>82623</v>
      </c>
      <c r="E314">
        <v>51</v>
      </c>
      <c r="F314">
        <v>8</v>
      </c>
      <c r="G314">
        <v>37</v>
      </c>
      <c r="H314" t="s">
        <v>17</v>
      </c>
      <c r="I314">
        <v>155.13999999999999</v>
      </c>
    </row>
    <row r="315" spans="1:9" x14ac:dyDescent="0.25">
      <c r="A315">
        <v>265</v>
      </c>
      <c r="B315">
        <v>63</v>
      </c>
      <c r="C315" t="s">
        <v>12</v>
      </c>
      <c r="D315">
        <v>142287</v>
      </c>
      <c r="E315">
        <v>77</v>
      </c>
      <c r="F315">
        <v>10</v>
      </c>
      <c r="G315">
        <v>44</v>
      </c>
      <c r="H315" t="s">
        <v>17</v>
      </c>
      <c r="I315">
        <v>785.29</v>
      </c>
    </row>
    <row r="316" spans="1:9" x14ac:dyDescent="0.25">
      <c r="A316">
        <v>278</v>
      </c>
      <c r="B316">
        <v>63</v>
      </c>
      <c r="C316" t="s">
        <v>12</v>
      </c>
      <c r="D316">
        <v>48225</v>
      </c>
      <c r="E316">
        <v>24</v>
      </c>
      <c r="F316">
        <v>6</v>
      </c>
      <c r="G316">
        <v>14</v>
      </c>
      <c r="H316" t="s">
        <v>17</v>
      </c>
      <c r="I316">
        <v>764.05</v>
      </c>
    </row>
    <row r="317" spans="1:9" x14ac:dyDescent="0.25">
      <c r="A317">
        <v>282</v>
      </c>
      <c r="B317">
        <v>34</v>
      </c>
      <c r="C317" t="s">
        <v>12</v>
      </c>
      <c r="D317">
        <v>68250</v>
      </c>
      <c r="E317">
        <v>9</v>
      </c>
      <c r="F317">
        <v>10</v>
      </c>
      <c r="G317">
        <v>26</v>
      </c>
      <c r="H317" t="s">
        <v>17</v>
      </c>
      <c r="I317">
        <v>835.06</v>
      </c>
    </row>
    <row r="318" spans="1:9" x14ac:dyDescent="0.25">
      <c r="A318">
        <v>286</v>
      </c>
      <c r="B318">
        <v>51</v>
      </c>
      <c r="C318" t="s">
        <v>12</v>
      </c>
      <c r="D318">
        <v>124670</v>
      </c>
      <c r="E318">
        <v>66</v>
      </c>
      <c r="F318">
        <v>2</v>
      </c>
      <c r="G318">
        <v>43</v>
      </c>
      <c r="H318" t="s">
        <v>17</v>
      </c>
      <c r="I318">
        <v>184.8</v>
      </c>
    </row>
    <row r="319" spans="1:9" x14ac:dyDescent="0.25">
      <c r="A319">
        <v>287</v>
      </c>
      <c r="B319">
        <v>31</v>
      </c>
      <c r="C319" t="s">
        <v>12</v>
      </c>
      <c r="D319">
        <v>119460</v>
      </c>
      <c r="E319">
        <v>69</v>
      </c>
      <c r="F319">
        <v>2</v>
      </c>
      <c r="G319">
        <v>22</v>
      </c>
      <c r="H319" t="s">
        <v>17</v>
      </c>
      <c r="I319">
        <v>486.21</v>
      </c>
    </row>
    <row r="320" spans="1:9" x14ac:dyDescent="0.25">
      <c r="A320">
        <v>320</v>
      </c>
      <c r="B320">
        <v>34</v>
      </c>
      <c r="C320" t="s">
        <v>12</v>
      </c>
      <c r="D320">
        <v>31668</v>
      </c>
      <c r="E320">
        <v>43</v>
      </c>
      <c r="F320">
        <v>5</v>
      </c>
      <c r="G320">
        <v>40</v>
      </c>
      <c r="H320" t="s">
        <v>17</v>
      </c>
      <c r="I320">
        <v>117.01</v>
      </c>
    </row>
    <row r="321" spans="1:9" x14ac:dyDescent="0.25">
      <c r="A321">
        <v>327</v>
      </c>
      <c r="B321">
        <v>50</v>
      </c>
      <c r="C321" t="s">
        <v>12</v>
      </c>
      <c r="D321">
        <v>36022</v>
      </c>
      <c r="E321">
        <v>11</v>
      </c>
      <c r="F321">
        <v>6</v>
      </c>
      <c r="G321">
        <v>49</v>
      </c>
      <c r="H321" t="s">
        <v>17</v>
      </c>
      <c r="I321">
        <v>801.59</v>
      </c>
    </row>
    <row r="322" spans="1:9" x14ac:dyDescent="0.25">
      <c r="A322">
        <v>345</v>
      </c>
      <c r="B322">
        <v>33</v>
      </c>
      <c r="C322" t="s">
        <v>12</v>
      </c>
      <c r="D322">
        <v>112118</v>
      </c>
      <c r="E322">
        <v>27</v>
      </c>
      <c r="F322">
        <v>10</v>
      </c>
      <c r="G322">
        <v>9</v>
      </c>
      <c r="H322" t="s">
        <v>17</v>
      </c>
      <c r="I322">
        <v>535.28</v>
      </c>
    </row>
    <row r="323" spans="1:9" x14ac:dyDescent="0.25">
      <c r="A323">
        <v>402</v>
      </c>
      <c r="B323">
        <v>63</v>
      </c>
      <c r="C323" t="s">
        <v>12</v>
      </c>
      <c r="D323">
        <v>149062</v>
      </c>
      <c r="E323">
        <v>66</v>
      </c>
      <c r="F323">
        <v>9</v>
      </c>
      <c r="G323">
        <v>7</v>
      </c>
      <c r="H323" t="s">
        <v>17</v>
      </c>
      <c r="I323">
        <v>441.11</v>
      </c>
    </row>
    <row r="324" spans="1:9" x14ac:dyDescent="0.25">
      <c r="A324">
        <v>441</v>
      </c>
      <c r="B324">
        <v>46</v>
      </c>
      <c r="C324" t="s">
        <v>12</v>
      </c>
      <c r="D324">
        <v>68970</v>
      </c>
      <c r="E324">
        <v>50</v>
      </c>
      <c r="F324">
        <v>9</v>
      </c>
      <c r="G324">
        <v>46</v>
      </c>
      <c r="H324" t="s">
        <v>17</v>
      </c>
      <c r="I324">
        <v>392.35</v>
      </c>
    </row>
    <row r="325" spans="1:9" x14ac:dyDescent="0.25">
      <c r="A325">
        <v>463</v>
      </c>
      <c r="B325">
        <v>53</v>
      </c>
      <c r="C325" t="s">
        <v>12</v>
      </c>
      <c r="D325">
        <v>37569</v>
      </c>
      <c r="E325">
        <v>18</v>
      </c>
      <c r="F325">
        <v>8</v>
      </c>
      <c r="G325">
        <v>50</v>
      </c>
      <c r="H325" t="s">
        <v>17</v>
      </c>
      <c r="I325">
        <v>634.91999999999996</v>
      </c>
    </row>
    <row r="326" spans="1:9" x14ac:dyDescent="0.25">
      <c r="A326">
        <v>468</v>
      </c>
      <c r="B326">
        <v>54</v>
      </c>
      <c r="C326" t="s">
        <v>12</v>
      </c>
      <c r="D326">
        <v>32276</v>
      </c>
      <c r="E326">
        <v>73</v>
      </c>
      <c r="F326">
        <v>2</v>
      </c>
      <c r="G326">
        <v>44</v>
      </c>
      <c r="H326" t="s">
        <v>17</v>
      </c>
      <c r="I326">
        <v>554.58000000000004</v>
      </c>
    </row>
    <row r="327" spans="1:9" x14ac:dyDescent="0.25">
      <c r="A327">
        <v>500</v>
      </c>
      <c r="B327">
        <v>47</v>
      </c>
      <c r="C327" t="s">
        <v>12</v>
      </c>
      <c r="D327">
        <v>69168</v>
      </c>
      <c r="E327">
        <v>16</v>
      </c>
      <c r="F327">
        <v>7</v>
      </c>
      <c r="G327">
        <v>42</v>
      </c>
      <c r="H327" t="s">
        <v>17</v>
      </c>
      <c r="I327">
        <v>638.96</v>
      </c>
    </row>
    <row r="328" spans="1:9" x14ac:dyDescent="0.25">
      <c r="A328">
        <v>501</v>
      </c>
      <c r="B328">
        <v>42</v>
      </c>
      <c r="C328" t="s">
        <v>12</v>
      </c>
      <c r="D328">
        <v>129999</v>
      </c>
      <c r="E328">
        <v>73</v>
      </c>
      <c r="F328">
        <v>5</v>
      </c>
      <c r="G328">
        <v>2</v>
      </c>
      <c r="H328" t="s">
        <v>17</v>
      </c>
      <c r="I328">
        <v>942.97</v>
      </c>
    </row>
    <row r="329" spans="1:9" x14ac:dyDescent="0.25">
      <c r="A329">
        <v>526</v>
      </c>
      <c r="B329">
        <v>52</v>
      </c>
      <c r="C329" t="s">
        <v>12</v>
      </c>
      <c r="D329">
        <v>133701</v>
      </c>
      <c r="E329">
        <v>64</v>
      </c>
      <c r="F329">
        <v>1</v>
      </c>
      <c r="G329">
        <v>34</v>
      </c>
      <c r="H329" t="s">
        <v>17</v>
      </c>
      <c r="I329">
        <v>534.25</v>
      </c>
    </row>
    <row r="330" spans="1:9" x14ac:dyDescent="0.25">
      <c r="A330">
        <v>552</v>
      </c>
      <c r="B330">
        <v>20</v>
      </c>
      <c r="C330" t="s">
        <v>12</v>
      </c>
      <c r="D330">
        <v>51199</v>
      </c>
      <c r="E330">
        <v>100</v>
      </c>
      <c r="F330">
        <v>5</v>
      </c>
      <c r="G330">
        <v>5</v>
      </c>
      <c r="H330" t="s">
        <v>17</v>
      </c>
      <c r="I330">
        <v>889.83</v>
      </c>
    </row>
    <row r="331" spans="1:9" x14ac:dyDescent="0.25">
      <c r="A331">
        <v>566</v>
      </c>
      <c r="B331">
        <v>29</v>
      </c>
      <c r="C331" t="s">
        <v>12</v>
      </c>
      <c r="D331">
        <v>60262</v>
      </c>
      <c r="E331">
        <v>56</v>
      </c>
      <c r="F331">
        <v>4</v>
      </c>
      <c r="G331">
        <v>27</v>
      </c>
      <c r="H331" t="s">
        <v>17</v>
      </c>
      <c r="I331">
        <v>452.32</v>
      </c>
    </row>
    <row r="332" spans="1:9" x14ac:dyDescent="0.25">
      <c r="A332">
        <v>575</v>
      </c>
      <c r="B332">
        <v>49</v>
      </c>
      <c r="C332" t="s">
        <v>12</v>
      </c>
      <c r="D332">
        <v>55027</v>
      </c>
      <c r="E332">
        <v>62</v>
      </c>
      <c r="F332">
        <v>2</v>
      </c>
      <c r="G332">
        <v>1</v>
      </c>
      <c r="H332" t="s">
        <v>17</v>
      </c>
      <c r="I332">
        <v>962.9</v>
      </c>
    </row>
    <row r="333" spans="1:9" x14ac:dyDescent="0.25">
      <c r="A333">
        <v>581</v>
      </c>
      <c r="B333">
        <v>46</v>
      </c>
      <c r="C333" t="s">
        <v>12</v>
      </c>
      <c r="D333">
        <v>129568</v>
      </c>
      <c r="E333">
        <v>56</v>
      </c>
      <c r="F333">
        <v>10</v>
      </c>
      <c r="G333">
        <v>27</v>
      </c>
      <c r="H333" t="s">
        <v>17</v>
      </c>
      <c r="I333">
        <v>766.26</v>
      </c>
    </row>
    <row r="334" spans="1:9" x14ac:dyDescent="0.25">
      <c r="A334">
        <v>584</v>
      </c>
      <c r="B334">
        <v>30</v>
      </c>
      <c r="C334" t="s">
        <v>12</v>
      </c>
      <c r="D334">
        <v>114808</v>
      </c>
      <c r="E334">
        <v>23</v>
      </c>
      <c r="F334">
        <v>9</v>
      </c>
      <c r="G334">
        <v>6</v>
      </c>
      <c r="H334" t="s">
        <v>17</v>
      </c>
      <c r="I334">
        <v>74.08</v>
      </c>
    </row>
    <row r="335" spans="1:9" x14ac:dyDescent="0.25">
      <c r="A335">
        <v>658</v>
      </c>
      <c r="B335">
        <v>61</v>
      </c>
      <c r="C335" t="s">
        <v>12</v>
      </c>
      <c r="D335">
        <v>145578</v>
      </c>
      <c r="E335">
        <v>79</v>
      </c>
      <c r="F335">
        <v>2</v>
      </c>
      <c r="G335">
        <v>34</v>
      </c>
      <c r="H335" t="s">
        <v>17</v>
      </c>
      <c r="I335">
        <v>762.06</v>
      </c>
    </row>
    <row r="336" spans="1:9" x14ac:dyDescent="0.25">
      <c r="A336">
        <v>669</v>
      </c>
      <c r="B336">
        <v>52</v>
      </c>
      <c r="C336" t="s">
        <v>12</v>
      </c>
      <c r="D336">
        <v>87717</v>
      </c>
      <c r="E336">
        <v>79</v>
      </c>
      <c r="F336">
        <v>6</v>
      </c>
      <c r="G336">
        <v>44</v>
      </c>
      <c r="H336" t="s">
        <v>17</v>
      </c>
      <c r="I336">
        <v>95.17</v>
      </c>
    </row>
    <row r="337" spans="1:9" x14ac:dyDescent="0.25">
      <c r="A337">
        <v>684</v>
      </c>
      <c r="B337">
        <v>42</v>
      </c>
      <c r="C337" t="s">
        <v>12</v>
      </c>
      <c r="D337">
        <v>56378</v>
      </c>
      <c r="E337">
        <v>8</v>
      </c>
      <c r="F337">
        <v>9</v>
      </c>
      <c r="G337">
        <v>18</v>
      </c>
      <c r="H337" t="s">
        <v>17</v>
      </c>
      <c r="I337">
        <v>880.45</v>
      </c>
    </row>
    <row r="338" spans="1:9" x14ac:dyDescent="0.25">
      <c r="A338">
        <v>686</v>
      </c>
      <c r="B338">
        <v>30</v>
      </c>
      <c r="C338" t="s">
        <v>12</v>
      </c>
      <c r="D338">
        <v>115674</v>
      </c>
      <c r="E338">
        <v>78</v>
      </c>
      <c r="F338">
        <v>2</v>
      </c>
      <c r="G338">
        <v>48</v>
      </c>
      <c r="H338" t="s">
        <v>17</v>
      </c>
      <c r="I338">
        <v>621.73</v>
      </c>
    </row>
    <row r="339" spans="1:9" x14ac:dyDescent="0.25">
      <c r="A339">
        <v>705</v>
      </c>
      <c r="B339">
        <v>42</v>
      </c>
      <c r="C339" t="s">
        <v>12</v>
      </c>
      <c r="D339">
        <v>49140</v>
      </c>
      <c r="E339">
        <v>23</v>
      </c>
      <c r="F339">
        <v>9</v>
      </c>
      <c r="G339">
        <v>35</v>
      </c>
      <c r="H339" t="s">
        <v>17</v>
      </c>
      <c r="I339">
        <v>400.23</v>
      </c>
    </row>
    <row r="340" spans="1:9" x14ac:dyDescent="0.25">
      <c r="A340">
        <v>708</v>
      </c>
      <c r="B340">
        <v>68</v>
      </c>
      <c r="C340" t="s">
        <v>12</v>
      </c>
      <c r="D340">
        <v>47482</v>
      </c>
      <c r="E340">
        <v>100</v>
      </c>
      <c r="F340">
        <v>9</v>
      </c>
      <c r="G340">
        <v>49</v>
      </c>
      <c r="H340" t="s">
        <v>17</v>
      </c>
      <c r="I340">
        <v>170.56</v>
      </c>
    </row>
    <row r="341" spans="1:9" x14ac:dyDescent="0.25">
      <c r="A341">
        <v>717</v>
      </c>
      <c r="B341">
        <v>47</v>
      </c>
      <c r="C341" t="s">
        <v>12</v>
      </c>
      <c r="D341">
        <v>136278</v>
      </c>
      <c r="E341">
        <v>76</v>
      </c>
      <c r="F341">
        <v>10</v>
      </c>
      <c r="G341">
        <v>48</v>
      </c>
      <c r="H341" t="s">
        <v>17</v>
      </c>
      <c r="I341">
        <v>233.64</v>
      </c>
    </row>
    <row r="342" spans="1:9" x14ac:dyDescent="0.25">
      <c r="A342">
        <v>737</v>
      </c>
      <c r="B342">
        <v>28</v>
      </c>
      <c r="C342" t="s">
        <v>12</v>
      </c>
      <c r="D342">
        <v>104971</v>
      </c>
      <c r="E342">
        <v>74</v>
      </c>
      <c r="F342">
        <v>4</v>
      </c>
      <c r="G342">
        <v>10</v>
      </c>
      <c r="H342" t="s">
        <v>17</v>
      </c>
      <c r="I342">
        <v>297.17</v>
      </c>
    </row>
    <row r="343" spans="1:9" x14ac:dyDescent="0.25">
      <c r="A343">
        <v>755</v>
      </c>
      <c r="B343">
        <v>61</v>
      </c>
      <c r="C343" t="s">
        <v>12</v>
      </c>
      <c r="D343">
        <v>59583</v>
      </c>
      <c r="E343">
        <v>11</v>
      </c>
      <c r="F343">
        <v>8</v>
      </c>
      <c r="G343">
        <v>27</v>
      </c>
      <c r="H343" t="s">
        <v>17</v>
      </c>
      <c r="I343">
        <v>744.56</v>
      </c>
    </row>
    <row r="344" spans="1:9" x14ac:dyDescent="0.25">
      <c r="A344">
        <v>799</v>
      </c>
      <c r="B344">
        <v>25</v>
      </c>
      <c r="C344" t="s">
        <v>12</v>
      </c>
      <c r="D344">
        <v>107042</v>
      </c>
      <c r="E344">
        <v>27</v>
      </c>
      <c r="F344">
        <v>1</v>
      </c>
      <c r="G344">
        <v>32</v>
      </c>
      <c r="H344" t="s">
        <v>17</v>
      </c>
      <c r="I344">
        <v>648.79</v>
      </c>
    </row>
    <row r="345" spans="1:9" x14ac:dyDescent="0.25">
      <c r="A345">
        <v>807</v>
      </c>
      <c r="B345">
        <v>24</v>
      </c>
      <c r="C345" t="s">
        <v>12</v>
      </c>
      <c r="D345">
        <v>68172</v>
      </c>
      <c r="E345">
        <v>6</v>
      </c>
      <c r="F345">
        <v>1</v>
      </c>
      <c r="G345">
        <v>28</v>
      </c>
      <c r="H345" t="s">
        <v>17</v>
      </c>
      <c r="I345">
        <v>445.3</v>
      </c>
    </row>
    <row r="346" spans="1:9" x14ac:dyDescent="0.25">
      <c r="A346">
        <v>834</v>
      </c>
      <c r="B346">
        <v>38</v>
      </c>
      <c r="C346" t="s">
        <v>12</v>
      </c>
      <c r="D346">
        <v>101111</v>
      </c>
      <c r="E346">
        <v>98</v>
      </c>
      <c r="F346">
        <v>8</v>
      </c>
      <c r="G346">
        <v>35</v>
      </c>
      <c r="H346" t="s">
        <v>17</v>
      </c>
      <c r="I346">
        <v>738.01</v>
      </c>
    </row>
    <row r="347" spans="1:9" x14ac:dyDescent="0.25">
      <c r="A347">
        <v>841</v>
      </c>
      <c r="B347">
        <v>40</v>
      </c>
      <c r="C347" t="s">
        <v>12</v>
      </c>
      <c r="D347">
        <v>125996</v>
      </c>
      <c r="E347">
        <v>64</v>
      </c>
      <c r="F347">
        <v>6</v>
      </c>
      <c r="G347">
        <v>15</v>
      </c>
      <c r="H347" t="s">
        <v>17</v>
      </c>
      <c r="I347">
        <v>583.95000000000005</v>
      </c>
    </row>
    <row r="348" spans="1:9" x14ac:dyDescent="0.25">
      <c r="A348">
        <v>858</v>
      </c>
      <c r="B348">
        <v>67</v>
      </c>
      <c r="C348" t="s">
        <v>12</v>
      </c>
      <c r="D348">
        <v>115470</v>
      </c>
      <c r="E348">
        <v>56</v>
      </c>
      <c r="F348">
        <v>4</v>
      </c>
      <c r="G348">
        <v>6</v>
      </c>
      <c r="H348" t="s">
        <v>17</v>
      </c>
      <c r="I348">
        <v>151.74</v>
      </c>
    </row>
    <row r="349" spans="1:9" x14ac:dyDescent="0.25">
      <c r="A349">
        <v>862</v>
      </c>
      <c r="B349">
        <v>20</v>
      </c>
      <c r="C349" t="s">
        <v>12</v>
      </c>
      <c r="D349">
        <v>79899</v>
      </c>
      <c r="E349">
        <v>64</v>
      </c>
      <c r="F349">
        <v>7</v>
      </c>
      <c r="G349">
        <v>46</v>
      </c>
      <c r="H349" t="s">
        <v>17</v>
      </c>
      <c r="I349">
        <v>129.9</v>
      </c>
    </row>
    <row r="350" spans="1:9" x14ac:dyDescent="0.25">
      <c r="A350">
        <v>882</v>
      </c>
      <c r="B350">
        <v>61</v>
      </c>
      <c r="C350" t="s">
        <v>12</v>
      </c>
      <c r="D350">
        <v>49557</v>
      </c>
      <c r="E350">
        <v>22</v>
      </c>
      <c r="F350">
        <v>6</v>
      </c>
      <c r="G350">
        <v>12</v>
      </c>
      <c r="H350" t="s">
        <v>17</v>
      </c>
      <c r="I350">
        <v>678.13</v>
      </c>
    </row>
    <row r="351" spans="1:9" x14ac:dyDescent="0.25">
      <c r="A351">
        <v>912</v>
      </c>
      <c r="B351">
        <v>54</v>
      </c>
      <c r="C351" t="s">
        <v>12</v>
      </c>
      <c r="D351">
        <v>69676</v>
      </c>
      <c r="E351">
        <v>9</v>
      </c>
      <c r="F351">
        <v>7</v>
      </c>
      <c r="G351">
        <v>30</v>
      </c>
      <c r="H351" t="s">
        <v>17</v>
      </c>
      <c r="I351">
        <v>932.68</v>
      </c>
    </row>
    <row r="352" spans="1:9" x14ac:dyDescent="0.25">
      <c r="A352">
        <v>922</v>
      </c>
      <c r="B352">
        <v>58</v>
      </c>
      <c r="C352" t="s">
        <v>12</v>
      </c>
      <c r="D352">
        <v>105157</v>
      </c>
      <c r="E352">
        <v>51</v>
      </c>
      <c r="F352">
        <v>3</v>
      </c>
      <c r="G352">
        <v>27</v>
      </c>
      <c r="H352" t="s">
        <v>17</v>
      </c>
      <c r="I352">
        <v>344.39</v>
      </c>
    </row>
    <row r="353" spans="1:9" x14ac:dyDescent="0.25">
      <c r="A353">
        <v>928</v>
      </c>
      <c r="B353">
        <v>28</v>
      </c>
      <c r="C353" t="s">
        <v>12</v>
      </c>
      <c r="D353">
        <v>134592</v>
      </c>
      <c r="E353">
        <v>43</v>
      </c>
      <c r="F353">
        <v>10</v>
      </c>
      <c r="G353">
        <v>25</v>
      </c>
      <c r="H353" t="s">
        <v>17</v>
      </c>
      <c r="I353">
        <v>557.04</v>
      </c>
    </row>
    <row r="354" spans="1:9" x14ac:dyDescent="0.25">
      <c r="A354">
        <v>941</v>
      </c>
      <c r="B354">
        <v>54</v>
      </c>
      <c r="C354" t="s">
        <v>12</v>
      </c>
      <c r="D354">
        <v>33706</v>
      </c>
      <c r="E354">
        <v>64</v>
      </c>
      <c r="F354">
        <v>9</v>
      </c>
      <c r="G354">
        <v>1</v>
      </c>
      <c r="H354" t="s">
        <v>17</v>
      </c>
      <c r="I354">
        <v>371.93</v>
      </c>
    </row>
    <row r="355" spans="1:9" x14ac:dyDescent="0.25">
      <c r="A355">
        <v>945</v>
      </c>
      <c r="B355">
        <v>65</v>
      </c>
      <c r="C355" t="s">
        <v>12</v>
      </c>
      <c r="D355">
        <v>42779</v>
      </c>
      <c r="E355">
        <v>81</v>
      </c>
      <c r="F355">
        <v>5</v>
      </c>
      <c r="G355">
        <v>38</v>
      </c>
      <c r="H355" t="s">
        <v>17</v>
      </c>
      <c r="I355">
        <v>594.91999999999996</v>
      </c>
    </row>
    <row r="356" spans="1:9" x14ac:dyDescent="0.25">
      <c r="A356">
        <v>972</v>
      </c>
      <c r="B356">
        <v>41</v>
      </c>
      <c r="C356" t="s">
        <v>12</v>
      </c>
      <c r="D356">
        <v>120294</v>
      </c>
      <c r="E356">
        <v>79</v>
      </c>
      <c r="F356">
        <v>5</v>
      </c>
      <c r="G356">
        <v>44</v>
      </c>
      <c r="H356" t="s">
        <v>17</v>
      </c>
      <c r="I356">
        <v>942.03</v>
      </c>
    </row>
    <row r="357" spans="1:9" x14ac:dyDescent="0.25">
      <c r="A357">
        <v>995</v>
      </c>
      <c r="B357">
        <v>60</v>
      </c>
      <c r="C357" t="s">
        <v>12</v>
      </c>
      <c r="D357">
        <v>71923</v>
      </c>
      <c r="E357">
        <v>25</v>
      </c>
      <c r="F357">
        <v>2</v>
      </c>
      <c r="G357">
        <v>40</v>
      </c>
      <c r="H357" t="s">
        <v>17</v>
      </c>
      <c r="I357">
        <v>986.97</v>
      </c>
    </row>
    <row r="358" spans="1:9" x14ac:dyDescent="0.25">
      <c r="A358">
        <v>996</v>
      </c>
      <c r="B358">
        <v>57</v>
      </c>
      <c r="C358" t="s">
        <v>12</v>
      </c>
      <c r="D358">
        <v>112170</v>
      </c>
      <c r="E358">
        <v>57</v>
      </c>
      <c r="F358">
        <v>6</v>
      </c>
      <c r="G358">
        <v>1</v>
      </c>
      <c r="H358" t="s">
        <v>17</v>
      </c>
      <c r="I358">
        <v>313.64</v>
      </c>
    </row>
    <row r="359" spans="1:9" x14ac:dyDescent="0.25">
      <c r="A359">
        <v>4</v>
      </c>
      <c r="B359">
        <v>40</v>
      </c>
      <c r="C359" t="s">
        <v>45</v>
      </c>
      <c r="D359">
        <v>47099</v>
      </c>
      <c r="E359">
        <v>74</v>
      </c>
      <c r="F359">
        <v>9</v>
      </c>
      <c r="G359">
        <v>5</v>
      </c>
      <c r="H359" t="s">
        <v>13</v>
      </c>
      <c r="I359">
        <v>991.93</v>
      </c>
    </row>
    <row r="360" spans="1:9" x14ac:dyDescent="0.25">
      <c r="A360">
        <v>6</v>
      </c>
      <c r="B360">
        <v>31</v>
      </c>
      <c r="C360" t="s">
        <v>45</v>
      </c>
      <c r="D360">
        <v>57305</v>
      </c>
      <c r="E360">
        <v>24</v>
      </c>
      <c r="F360">
        <v>3</v>
      </c>
      <c r="G360">
        <v>30</v>
      </c>
      <c r="H360" t="s">
        <v>13</v>
      </c>
      <c r="I360">
        <v>86.85</v>
      </c>
    </row>
    <row r="361" spans="1:9" x14ac:dyDescent="0.25">
      <c r="A361">
        <v>7</v>
      </c>
      <c r="B361">
        <v>19</v>
      </c>
      <c r="C361" t="s">
        <v>45</v>
      </c>
      <c r="D361">
        <v>54319</v>
      </c>
      <c r="E361">
        <v>68</v>
      </c>
      <c r="F361">
        <v>5</v>
      </c>
      <c r="G361">
        <v>43</v>
      </c>
      <c r="H361" t="s">
        <v>17</v>
      </c>
      <c r="I361">
        <v>191.72</v>
      </c>
    </row>
    <row r="362" spans="1:9" x14ac:dyDescent="0.25">
      <c r="A362">
        <v>11</v>
      </c>
      <c r="B362">
        <v>23</v>
      </c>
      <c r="C362" t="s">
        <v>45</v>
      </c>
      <c r="D362">
        <v>69659</v>
      </c>
      <c r="E362">
        <v>16</v>
      </c>
      <c r="F362">
        <v>7</v>
      </c>
      <c r="G362">
        <v>24</v>
      </c>
      <c r="H362" t="s">
        <v>17</v>
      </c>
      <c r="I362">
        <v>434.97</v>
      </c>
    </row>
    <row r="363" spans="1:9" x14ac:dyDescent="0.25">
      <c r="A363">
        <v>12</v>
      </c>
      <c r="B363">
        <v>68</v>
      </c>
      <c r="C363" t="s">
        <v>45</v>
      </c>
      <c r="D363">
        <v>30058</v>
      </c>
      <c r="E363">
        <v>91</v>
      </c>
      <c r="F363">
        <v>1</v>
      </c>
      <c r="G363">
        <v>49</v>
      </c>
      <c r="H363" t="s">
        <v>16</v>
      </c>
      <c r="I363">
        <v>889.94</v>
      </c>
    </row>
    <row r="364" spans="1:9" x14ac:dyDescent="0.25">
      <c r="A364">
        <v>24</v>
      </c>
      <c r="B364">
        <v>41</v>
      </c>
      <c r="C364" t="s">
        <v>45</v>
      </c>
      <c r="D364">
        <v>81758</v>
      </c>
      <c r="E364">
        <v>87</v>
      </c>
      <c r="F364">
        <v>7</v>
      </c>
      <c r="G364">
        <v>9</v>
      </c>
      <c r="H364" t="s">
        <v>17</v>
      </c>
      <c r="I364">
        <v>482.2</v>
      </c>
    </row>
    <row r="365" spans="1:9" x14ac:dyDescent="0.25">
      <c r="A365">
        <v>26</v>
      </c>
      <c r="B365">
        <v>33</v>
      </c>
      <c r="C365" t="s">
        <v>45</v>
      </c>
      <c r="D365">
        <v>141757</v>
      </c>
      <c r="E365">
        <v>60</v>
      </c>
      <c r="F365">
        <v>10</v>
      </c>
      <c r="G365">
        <v>39</v>
      </c>
      <c r="H365" t="s">
        <v>16</v>
      </c>
      <c r="I365">
        <v>83.27</v>
      </c>
    </row>
    <row r="366" spans="1:9" x14ac:dyDescent="0.25">
      <c r="A366">
        <v>31</v>
      </c>
      <c r="B366">
        <v>36</v>
      </c>
      <c r="C366" t="s">
        <v>45</v>
      </c>
      <c r="D366">
        <v>76756</v>
      </c>
      <c r="E366">
        <v>16</v>
      </c>
      <c r="F366">
        <v>8</v>
      </c>
      <c r="G366">
        <v>27</v>
      </c>
      <c r="H366" t="s">
        <v>17</v>
      </c>
      <c r="I366">
        <v>970.06</v>
      </c>
    </row>
    <row r="367" spans="1:9" x14ac:dyDescent="0.25">
      <c r="A367">
        <v>34</v>
      </c>
      <c r="B367">
        <v>44</v>
      </c>
      <c r="C367" t="s">
        <v>45</v>
      </c>
      <c r="D367">
        <v>86593</v>
      </c>
      <c r="E367">
        <v>89</v>
      </c>
      <c r="F367">
        <v>4</v>
      </c>
      <c r="G367">
        <v>37</v>
      </c>
      <c r="H367" t="s">
        <v>16</v>
      </c>
      <c r="I367">
        <v>76.95</v>
      </c>
    </row>
    <row r="368" spans="1:9" x14ac:dyDescent="0.25">
      <c r="A368">
        <v>44</v>
      </c>
      <c r="B368">
        <v>28</v>
      </c>
      <c r="C368" t="s">
        <v>45</v>
      </c>
      <c r="D368">
        <v>62405</v>
      </c>
      <c r="E368">
        <v>79</v>
      </c>
      <c r="F368">
        <v>5</v>
      </c>
      <c r="G368">
        <v>50</v>
      </c>
      <c r="H368" t="s">
        <v>13</v>
      </c>
      <c r="I368">
        <v>956.73</v>
      </c>
    </row>
    <row r="369" spans="1:9" x14ac:dyDescent="0.25">
      <c r="A369">
        <v>46</v>
      </c>
      <c r="B369">
        <v>49</v>
      </c>
      <c r="C369" t="s">
        <v>45</v>
      </c>
      <c r="D369">
        <v>94531</v>
      </c>
      <c r="E369">
        <v>28</v>
      </c>
      <c r="F369">
        <v>5</v>
      </c>
      <c r="G369">
        <v>42</v>
      </c>
      <c r="H369" t="s">
        <v>17</v>
      </c>
      <c r="I369">
        <v>214.93</v>
      </c>
    </row>
    <row r="370" spans="1:9" x14ac:dyDescent="0.25">
      <c r="A370">
        <v>53</v>
      </c>
      <c r="B370">
        <v>45</v>
      </c>
      <c r="C370" t="s">
        <v>45</v>
      </c>
      <c r="D370">
        <v>134241</v>
      </c>
      <c r="E370">
        <v>73</v>
      </c>
      <c r="F370">
        <v>9</v>
      </c>
      <c r="G370">
        <v>16</v>
      </c>
      <c r="H370" t="s">
        <v>16</v>
      </c>
      <c r="I370">
        <v>893.44</v>
      </c>
    </row>
    <row r="371" spans="1:9" x14ac:dyDescent="0.25">
      <c r="A371">
        <v>62</v>
      </c>
      <c r="B371">
        <v>30</v>
      </c>
      <c r="C371" t="s">
        <v>45</v>
      </c>
      <c r="D371">
        <v>89149</v>
      </c>
      <c r="E371">
        <v>87</v>
      </c>
      <c r="F371">
        <v>10</v>
      </c>
      <c r="G371">
        <v>36</v>
      </c>
      <c r="H371" t="s">
        <v>17</v>
      </c>
      <c r="I371">
        <v>174.41</v>
      </c>
    </row>
    <row r="372" spans="1:9" x14ac:dyDescent="0.25">
      <c r="A372">
        <v>72</v>
      </c>
      <c r="B372">
        <v>58</v>
      </c>
      <c r="C372" t="s">
        <v>45</v>
      </c>
      <c r="D372">
        <v>56120</v>
      </c>
      <c r="E372">
        <v>30</v>
      </c>
      <c r="F372">
        <v>3</v>
      </c>
      <c r="G372">
        <v>50</v>
      </c>
      <c r="H372" t="s">
        <v>16</v>
      </c>
      <c r="I372">
        <v>880.23</v>
      </c>
    </row>
    <row r="373" spans="1:9" x14ac:dyDescent="0.25">
      <c r="A373">
        <v>75</v>
      </c>
      <c r="B373">
        <v>58</v>
      </c>
      <c r="C373" t="s">
        <v>45</v>
      </c>
      <c r="D373">
        <v>143037</v>
      </c>
      <c r="E373">
        <v>56</v>
      </c>
      <c r="F373">
        <v>8</v>
      </c>
      <c r="G373">
        <v>42</v>
      </c>
      <c r="H373" t="s">
        <v>16</v>
      </c>
      <c r="I373">
        <v>57.57</v>
      </c>
    </row>
    <row r="374" spans="1:9" x14ac:dyDescent="0.25">
      <c r="A374">
        <v>78</v>
      </c>
      <c r="B374">
        <v>32</v>
      </c>
      <c r="C374" t="s">
        <v>45</v>
      </c>
      <c r="D374">
        <v>44048</v>
      </c>
      <c r="E374">
        <v>20</v>
      </c>
      <c r="F374">
        <v>7</v>
      </c>
      <c r="G374">
        <v>10</v>
      </c>
      <c r="H374" t="s">
        <v>17</v>
      </c>
      <c r="I374">
        <v>41.55</v>
      </c>
    </row>
    <row r="375" spans="1:9" x14ac:dyDescent="0.25">
      <c r="A375">
        <v>79</v>
      </c>
      <c r="B375">
        <v>30</v>
      </c>
      <c r="C375" t="s">
        <v>45</v>
      </c>
      <c r="D375">
        <v>95501</v>
      </c>
      <c r="E375">
        <v>27</v>
      </c>
      <c r="F375">
        <v>3</v>
      </c>
      <c r="G375">
        <v>14</v>
      </c>
      <c r="H375" t="s">
        <v>16</v>
      </c>
      <c r="I375">
        <v>476.25</v>
      </c>
    </row>
    <row r="376" spans="1:9" x14ac:dyDescent="0.25">
      <c r="A376">
        <v>86</v>
      </c>
      <c r="B376">
        <v>31</v>
      </c>
      <c r="C376" t="s">
        <v>45</v>
      </c>
      <c r="D376">
        <v>61849</v>
      </c>
      <c r="E376">
        <v>24</v>
      </c>
      <c r="F376">
        <v>6</v>
      </c>
      <c r="G376">
        <v>31</v>
      </c>
      <c r="H376" t="s">
        <v>13</v>
      </c>
      <c r="I376">
        <v>120.8</v>
      </c>
    </row>
    <row r="377" spans="1:9" x14ac:dyDescent="0.25">
      <c r="A377">
        <v>89</v>
      </c>
      <c r="B377">
        <v>18</v>
      </c>
      <c r="C377" t="s">
        <v>45</v>
      </c>
      <c r="D377">
        <v>105470</v>
      </c>
      <c r="E377">
        <v>8</v>
      </c>
      <c r="F377">
        <v>7</v>
      </c>
      <c r="G377">
        <v>4</v>
      </c>
      <c r="H377" t="s">
        <v>17</v>
      </c>
      <c r="I377">
        <v>746.18</v>
      </c>
    </row>
    <row r="378" spans="1:9" x14ac:dyDescent="0.25">
      <c r="A378">
        <v>90</v>
      </c>
      <c r="B378">
        <v>45</v>
      </c>
      <c r="C378" t="s">
        <v>45</v>
      </c>
      <c r="D378">
        <v>63381</v>
      </c>
      <c r="E378">
        <v>80</v>
      </c>
      <c r="F378">
        <v>4</v>
      </c>
      <c r="G378">
        <v>8</v>
      </c>
      <c r="H378" t="s">
        <v>13</v>
      </c>
      <c r="I378">
        <v>754.24</v>
      </c>
    </row>
    <row r="379" spans="1:9" x14ac:dyDescent="0.25">
      <c r="A379">
        <v>91</v>
      </c>
      <c r="B379">
        <v>32</v>
      </c>
      <c r="C379" t="s">
        <v>45</v>
      </c>
      <c r="D379">
        <v>92089</v>
      </c>
      <c r="E379">
        <v>16</v>
      </c>
      <c r="F379">
        <v>1</v>
      </c>
      <c r="G379">
        <v>47</v>
      </c>
      <c r="H379" t="s">
        <v>13</v>
      </c>
      <c r="I379">
        <v>209.86</v>
      </c>
    </row>
    <row r="380" spans="1:9" x14ac:dyDescent="0.25">
      <c r="A380">
        <v>92</v>
      </c>
      <c r="B380">
        <v>39</v>
      </c>
      <c r="C380" t="s">
        <v>45</v>
      </c>
      <c r="D380">
        <v>104031</v>
      </c>
      <c r="E380">
        <v>67</v>
      </c>
      <c r="F380">
        <v>6</v>
      </c>
      <c r="G380">
        <v>28</v>
      </c>
      <c r="H380" t="s">
        <v>13</v>
      </c>
      <c r="I380">
        <v>930.36</v>
      </c>
    </row>
    <row r="381" spans="1:9" x14ac:dyDescent="0.25">
      <c r="A381">
        <v>94</v>
      </c>
      <c r="B381">
        <v>46</v>
      </c>
      <c r="C381" t="s">
        <v>45</v>
      </c>
      <c r="D381">
        <v>113116</v>
      </c>
      <c r="E381">
        <v>7</v>
      </c>
      <c r="F381">
        <v>10</v>
      </c>
      <c r="G381">
        <v>13</v>
      </c>
      <c r="H381" t="s">
        <v>17</v>
      </c>
      <c r="I381">
        <v>190.55</v>
      </c>
    </row>
    <row r="382" spans="1:9" x14ac:dyDescent="0.25">
      <c r="A382">
        <v>105</v>
      </c>
      <c r="B382">
        <v>20</v>
      </c>
      <c r="C382" t="s">
        <v>45</v>
      </c>
      <c r="D382">
        <v>34982</v>
      </c>
      <c r="E382">
        <v>7</v>
      </c>
      <c r="F382">
        <v>2</v>
      </c>
      <c r="G382">
        <v>45</v>
      </c>
      <c r="H382" t="s">
        <v>17</v>
      </c>
      <c r="I382">
        <v>597.15</v>
      </c>
    </row>
    <row r="383" spans="1:9" x14ac:dyDescent="0.25">
      <c r="A383">
        <v>125</v>
      </c>
      <c r="B383">
        <v>66</v>
      </c>
      <c r="C383" t="s">
        <v>45</v>
      </c>
      <c r="D383">
        <v>69362</v>
      </c>
      <c r="E383">
        <v>58</v>
      </c>
      <c r="F383">
        <v>1</v>
      </c>
      <c r="G383">
        <v>23</v>
      </c>
      <c r="H383" t="s">
        <v>17</v>
      </c>
      <c r="I383">
        <v>960.08</v>
      </c>
    </row>
    <row r="384" spans="1:9" x14ac:dyDescent="0.25">
      <c r="A384">
        <v>133</v>
      </c>
      <c r="B384">
        <v>25</v>
      </c>
      <c r="C384" t="s">
        <v>45</v>
      </c>
      <c r="D384">
        <v>94016</v>
      </c>
      <c r="E384">
        <v>85</v>
      </c>
      <c r="F384">
        <v>8</v>
      </c>
      <c r="G384">
        <v>49</v>
      </c>
      <c r="H384" t="s">
        <v>16</v>
      </c>
      <c r="I384">
        <v>764.28</v>
      </c>
    </row>
    <row r="385" spans="1:9" x14ac:dyDescent="0.25">
      <c r="A385">
        <v>143</v>
      </c>
      <c r="B385">
        <v>55</v>
      </c>
      <c r="C385" t="s">
        <v>45</v>
      </c>
      <c r="D385">
        <v>101084</v>
      </c>
      <c r="E385">
        <v>73</v>
      </c>
      <c r="F385">
        <v>9</v>
      </c>
      <c r="G385">
        <v>24</v>
      </c>
      <c r="H385" t="s">
        <v>16</v>
      </c>
      <c r="I385">
        <v>624.80999999999995</v>
      </c>
    </row>
    <row r="386" spans="1:9" x14ac:dyDescent="0.25">
      <c r="A386">
        <v>149</v>
      </c>
      <c r="B386">
        <v>34</v>
      </c>
      <c r="C386" t="s">
        <v>45</v>
      </c>
      <c r="D386">
        <v>79949</v>
      </c>
      <c r="E386">
        <v>89</v>
      </c>
      <c r="F386">
        <v>3</v>
      </c>
      <c r="G386">
        <v>19</v>
      </c>
      <c r="H386" t="s">
        <v>16</v>
      </c>
      <c r="I386">
        <v>273.33999999999997</v>
      </c>
    </row>
    <row r="387" spans="1:9" x14ac:dyDescent="0.25">
      <c r="A387">
        <v>158</v>
      </c>
      <c r="B387">
        <v>61</v>
      </c>
      <c r="C387" t="s">
        <v>45</v>
      </c>
      <c r="D387">
        <v>46738</v>
      </c>
      <c r="E387">
        <v>36</v>
      </c>
      <c r="F387">
        <v>3</v>
      </c>
      <c r="G387">
        <v>26</v>
      </c>
      <c r="H387" t="s">
        <v>16</v>
      </c>
      <c r="I387">
        <v>393.6</v>
      </c>
    </row>
    <row r="388" spans="1:9" x14ac:dyDescent="0.25">
      <c r="A388">
        <v>159</v>
      </c>
      <c r="B388">
        <v>58</v>
      </c>
      <c r="C388" t="s">
        <v>45</v>
      </c>
      <c r="D388">
        <v>107818</v>
      </c>
      <c r="E388">
        <v>70</v>
      </c>
      <c r="F388">
        <v>5</v>
      </c>
      <c r="G388">
        <v>24</v>
      </c>
      <c r="H388" t="s">
        <v>13</v>
      </c>
      <c r="I388">
        <v>722.18</v>
      </c>
    </row>
    <row r="389" spans="1:9" x14ac:dyDescent="0.25">
      <c r="A389">
        <v>160</v>
      </c>
      <c r="B389">
        <v>36</v>
      </c>
      <c r="C389" t="s">
        <v>45</v>
      </c>
      <c r="D389">
        <v>83511</v>
      </c>
      <c r="E389">
        <v>28</v>
      </c>
      <c r="F389">
        <v>5</v>
      </c>
      <c r="G389">
        <v>49</v>
      </c>
      <c r="H389" t="s">
        <v>13</v>
      </c>
      <c r="I389">
        <v>367.97</v>
      </c>
    </row>
    <row r="390" spans="1:9" x14ac:dyDescent="0.25">
      <c r="A390">
        <v>165</v>
      </c>
      <c r="B390">
        <v>64</v>
      </c>
      <c r="C390" t="s">
        <v>45</v>
      </c>
      <c r="D390">
        <v>96494</v>
      </c>
      <c r="E390">
        <v>10</v>
      </c>
      <c r="F390">
        <v>4</v>
      </c>
      <c r="G390">
        <v>47</v>
      </c>
      <c r="H390" t="s">
        <v>13</v>
      </c>
      <c r="I390">
        <v>184.45</v>
      </c>
    </row>
    <row r="391" spans="1:9" x14ac:dyDescent="0.25">
      <c r="A391">
        <v>167</v>
      </c>
      <c r="B391">
        <v>18</v>
      </c>
      <c r="C391" t="s">
        <v>45</v>
      </c>
      <c r="D391">
        <v>46707</v>
      </c>
      <c r="E391">
        <v>61</v>
      </c>
      <c r="F391">
        <v>10</v>
      </c>
      <c r="G391">
        <v>16</v>
      </c>
      <c r="H391" t="s">
        <v>17</v>
      </c>
      <c r="I391">
        <v>18.600000000000001</v>
      </c>
    </row>
    <row r="392" spans="1:9" x14ac:dyDescent="0.25">
      <c r="A392">
        <v>168</v>
      </c>
      <c r="B392">
        <v>36</v>
      </c>
      <c r="C392" t="s">
        <v>45</v>
      </c>
      <c r="D392">
        <v>87275</v>
      </c>
      <c r="E392">
        <v>82</v>
      </c>
      <c r="F392">
        <v>9</v>
      </c>
      <c r="G392">
        <v>2</v>
      </c>
      <c r="H392" t="s">
        <v>17</v>
      </c>
      <c r="I392">
        <v>14.52</v>
      </c>
    </row>
    <row r="393" spans="1:9" x14ac:dyDescent="0.25">
      <c r="A393">
        <v>174</v>
      </c>
      <c r="B393">
        <v>47</v>
      </c>
      <c r="C393" t="s">
        <v>45</v>
      </c>
      <c r="D393">
        <v>66932</v>
      </c>
      <c r="E393">
        <v>89</v>
      </c>
      <c r="F393">
        <v>5</v>
      </c>
      <c r="G393">
        <v>9</v>
      </c>
      <c r="H393" t="s">
        <v>13</v>
      </c>
      <c r="I393">
        <v>861.66</v>
      </c>
    </row>
    <row r="394" spans="1:9" x14ac:dyDescent="0.25">
      <c r="A394">
        <v>186</v>
      </c>
      <c r="B394">
        <v>40</v>
      </c>
      <c r="C394" t="s">
        <v>45</v>
      </c>
      <c r="D394">
        <v>124138</v>
      </c>
      <c r="E394">
        <v>84</v>
      </c>
      <c r="F394">
        <v>10</v>
      </c>
      <c r="G394">
        <v>41</v>
      </c>
      <c r="H394" t="s">
        <v>16</v>
      </c>
      <c r="I394">
        <v>426.62</v>
      </c>
    </row>
    <row r="395" spans="1:9" x14ac:dyDescent="0.25">
      <c r="A395">
        <v>203</v>
      </c>
      <c r="B395">
        <v>66</v>
      </c>
      <c r="C395" t="s">
        <v>45</v>
      </c>
      <c r="D395">
        <v>106631</v>
      </c>
      <c r="E395">
        <v>41</v>
      </c>
      <c r="F395">
        <v>6</v>
      </c>
      <c r="G395">
        <v>9</v>
      </c>
      <c r="H395" t="s">
        <v>13</v>
      </c>
      <c r="I395">
        <v>354.46</v>
      </c>
    </row>
    <row r="396" spans="1:9" x14ac:dyDescent="0.25">
      <c r="A396">
        <v>212</v>
      </c>
      <c r="B396">
        <v>18</v>
      </c>
      <c r="C396" t="s">
        <v>45</v>
      </c>
      <c r="D396">
        <v>54421</v>
      </c>
      <c r="E396">
        <v>20</v>
      </c>
      <c r="F396">
        <v>1</v>
      </c>
      <c r="G396">
        <v>41</v>
      </c>
      <c r="H396" t="s">
        <v>13</v>
      </c>
      <c r="I396">
        <v>215.95</v>
      </c>
    </row>
    <row r="397" spans="1:9" x14ac:dyDescent="0.25">
      <c r="A397">
        <v>222</v>
      </c>
      <c r="B397">
        <v>67</v>
      </c>
      <c r="C397" t="s">
        <v>45</v>
      </c>
      <c r="D397">
        <v>64134</v>
      </c>
      <c r="E397">
        <v>3</v>
      </c>
      <c r="F397">
        <v>2</v>
      </c>
      <c r="G397">
        <v>26</v>
      </c>
      <c r="H397" t="s">
        <v>17</v>
      </c>
      <c r="I397">
        <v>868.18</v>
      </c>
    </row>
    <row r="398" spans="1:9" x14ac:dyDescent="0.25">
      <c r="A398">
        <v>229</v>
      </c>
      <c r="B398">
        <v>19</v>
      </c>
      <c r="C398" t="s">
        <v>45</v>
      </c>
      <c r="D398">
        <v>52470</v>
      </c>
      <c r="E398">
        <v>90</v>
      </c>
      <c r="F398">
        <v>5</v>
      </c>
      <c r="G398">
        <v>35</v>
      </c>
      <c r="H398" t="s">
        <v>16</v>
      </c>
      <c r="I398">
        <v>515.99</v>
      </c>
    </row>
    <row r="399" spans="1:9" x14ac:dyDescent="0.25">
      <c r="A399">
        <v>238</v>
      </c>
      <c r="B399">
        <v>64</v>
      </c>
      <c r="C399" t="s">
        <v>45</v>
      </c>
      <c r="D399">
        <v>148368</v>
      </c>
      <c r="E399">
        <v>19</v>
      </c>
      <c r="F399">
        <v>4</v>
      </c>
      <c r="G399">
        <v>23</v>
      </c>
      <c r="H399" t="s">
        <v>16</v>
      </c>
      <c r="I399">
        <v>949.32</v>
      </c>
    </row>
    <row r="400" spans="1:9" x14ac:dyDescent="0.25">
      <c r="A400">
        <v>245</v>
      </c>
      <c r="B400">
        <v>28</v>
      </c>
      <c r="C400" t="s">
        <v>45</v>
      </c>
      <c r="D400">
        <v>134414</v>
      </c>
      <c r="E400">
        <v>19</v>
      </c>
      <c r="F400">
        <v>5</v>
      </c>
      <c r="G400">
        <v>15</v>
      </c>
      <c r="H400" t="s">
        <v>13</v>
      </c>
      <c r="I400">
        <v>922.01</v>
      </c>
    </row>
    <row r="401" spans="1:9" x14ac:dyDescent="0.25">
      <c r="A401">
        <v>252</v>
      </c>
      <c r="B401">
        <v>25</v>
      </c>
      <c r="C401" t="s">
        <v>45</v>
      </c>
      <c r="D401">
        <v>105185</v>
      </c>
      <c r="E401">
        <v>70</v>
      </c>
      <c r="F401">
        <v>2</v>
      </c>
      <c r="G401">
        <v>37</v>
      </c>
      <c r="H401" t="s">
        <v>16</v>
      </c>
      <c r="I401">
        <v>556.23</v>
      </c>
    </row>
    <row r="402" spans="1:9" x14ac:dyDescent="0.25">
      <c r="A402">
        <v>253</v>
      </c>
      <c r="B402">
        <v>49</v>
      </c>
      <c r="C402" t="s">
        <v>45</v>
      </c>
      <c r="D402">
        <v>129014</v>
      </c>
      <c r="E402">
        <v>25</v>
      </c>
      <c r="F402">
        <v>7</v>
      </c>
      <c r="G402">
        <v>21</v>
      </c>
      <c r="H402" t="s">
        <v>16</v>
      </c>
      <c r="I402">
        <v>271.52</v>
      </c>
    </row>
    <row r="403" spans="1:9" x14ac:dyDescent="0.25">
      <c r="A403">
        <v>254</v>
      </c>
      <c r="B403">
        <v>66</v>
      </c>
      <c r="C403" t="s">
        <v>45</v>
      </c>
      <c r="D403">
        <v>112847</v>
      </c>
      <c r="E403">
        <v>98</v>
      </c>
      <c r="F403">
        <v>9</v>
      </c>
      <c r="G403">
        <v>44</v>
      </c>
      <c r="H403" t="s">
        <v>13</v>
      </c>
      <c r="I403">
        <v>827.44</v>
      </c>
    </row>
    <row r="404" spans="1:9" x14ac:dyDescent="0.25">
      <c r="A404">
        <v>255</v>
      </c>
      <c r="B404">
        <v>27</v>
      </c>
      <c r="C404" t="s">
        <v>45</v>
      </c>
      <c r="D404">
        <v>139589</v>
      </c>
      <c r="E404">
        <v>69</v>
      </c>
      <c r="F404">
        <v>8</v>
      </c>
      <c r="G404">
        <v>22</v>
      </c>
      <c r="H404" t="s">
        <v>17</v>
      </c>
      <c r="I404">
        <v>150.58000000000001</v>
      </c>
    </row>
    <row r="405" spans="1:9" x14ac:dyDescent="0.25">
      <c r="A405">
        <v>256</v>
      </c>
      <c r="B405">
        <v>46</v>
      </c>
      <c r="C405" t="s">
        <v>45</v>
      </c>
      <c r="D405">
        <v>38785</v>
      </c>
      <c r="E405">
        <v>55</v>
      </c>
      <c r="F405">
        <v>9</v>
      </c>
      <c r="G405">
        <v>22</v>
      </c>
      <c r="H405" t="s">
        <v>17</v>
      </c>
      <c r="I405">
        <v>486.25</v>
      </c>
    </row>
    <row r="406" spans="1:9" x14ac:dyDescent="0.25">
      <c r="A406">
        <v>266</v>
      </c>
      <c r="B406">
        <v>53</v>
      </c>
      <c r="C406" t="s">
        <v>45</v>
      </c>
      <c r="D406">
        <v>84616</v>
      </c>
      <c r="E406">
        <v>68</v>
      </c>
      <c r="F406">
        <v>10</v>
      </c>
      <c r="G406">
        <v>8</v>
      </c>
      <c r="H406" t="s">
        <v>13</v>
      </c>
      <c r="I406">
        <v>543.30999999999995</v>
      </c>
    </row>
    <row r="407" spans="1:9" x14ac:dyDescent="0.25">
      <c r="A407">
        <v>268</v>
      </c>
      <c r="B407">
        <v>23</v>
      </c>
      <c r="C407" t="s">
        <v>45</v>
      </c>
      <c r="D407">
        <v>101024</v>
      </c>
      <c r="E407">
        <v>29</v>
      </c>
      <c r="F407">
        <v>3</v>
      </c>
      <c r="G407">
        <v>41</v>
      </c>
      <c r="H407" t="s">
        <v>16</v>
      </c>
      <c r="I407">
        <v>484.85</v>
      </c>
    </row>
    <row r="408" spans="1:9" x14ac:dyDescent="0.25">
      <c r="A408">
        <v>273</v>
      </c>
      <c r="B408">
        <v>47</v>
      </c>
      <c r="C408" t="s">
        <v>45</v>
      </c>
      <c r="D408">
        <v>84117</v>
      </c>
      <c r="E408">
        <v>74</v>
      </c>
      <c r="F408">
        <v>9</v>
      </c>
      <c r="G408">
        <v>17</v>
      </c>
      <c r="H408" t="s">
        <v>13</v>
      </c>
      <c r="I408">
        <v>886.08</v>
      </c>
    </row>
    <row r="409" spans="1:9" x14ac:dyDescent="0.25">
      <c r="A409">
        <v>274</v>
      </c>
      <c r="B409">
        <v>60</v>
      </c>
      <c r="C409" t="s">
        <v>45</v>
      </c>
      <c r="D409">
        <v>107232</v>
      </c>
      <c r="E409">
        <v>68</v>
      </c>
      <c r="F409">
        <v>4</v>
      </c>
      <c r="G409">
        <v>48</v>
      </c>
      <c r="H409" t="s">
        <v>17</v>
      </c>
      <c r="I409">
        <v>730.8</v>
      </c>
    </row>
    <row r="410" spans="1:9" x14ac:dyDescent="0.25">
      <c r="A410">
        <v>275</v>
      </c>
      <c r="B410">
        <v>22</v>
      </c>
      <c r="C410" t="s">
        <v>45</v>
      </c>
      <c r="D410">
        <v>128623</v>
      </c>
      <c r="E410">
        <v>88</v>
      </c>
      <c r="F410">
        <v>5</v>
      </c>
      <c r="G410">
        <v>20</v>
      </c>
      <c r="H410" t="s">
        <v>17</v>
      </c>
      <c r="I410">
        <v>609.57000000000005</v>
      </c>
    </row>
    <row r="411" spans="1:9" x14ac:dyDescent="0.25">
      <c r="A411">
        <v>277</v>
      </c>
      <c r="B411">
        <v>53</v>
      </c>
      <c r="C411" t="s">
        <v>45</v>
      </c>
      <c r="D411">
        <v>94392</v>
      </c>
      <c r="E411">
        <v>38</v>
      </c>
      <c r="F411">
        <v>5</v>
      </c>
      <c r="G411">
        <v>11</v>
      </c>
      <c r="H411" t="s">
        <v>17</v>
      </c>
      <c r="I411">
        <v>997.24</v>
      </c>
    </row>
    <row r="412" spans="1:9" x14ac:dyDescent="0.25">
      <c r="A412">
        <v>281</v>
      </c>
      <c r="B412">
        <v>61</v>
      </c>
      <c r="C412" t="s">
        <v>45</v>
      </c>
      <c r="D412">
        <v>47689</v>
      </c>
      <c r="E412">
        <v>46</v>
      </c>
      <c r="F412">
        <v>4</v>
      </c>
      <c r="G412">
        <v>42</v>
      </c>
      <c r="H412" t="s">
        <v>13</v>
      </c>
      <c r="I412">
        <v>802.44</v>
      </c>
    </row>
    <row r="413" spans="1:9" x14ac:dyDescent="0.25">
      <c r="A413">
        <v>292</v>
      </c>
      <c r="B413">
        <v>62</v>
      </c>
      <c r="C413" t="s">
        <v>45</v>
      </c>
      <c r="D413">
        <v>38250</v>
      </c>
      <c r="E413">
        <v>63</v>
      </c>
      <c r="F413">
        <v>5</v>
      </c>
      <c r="G413">
        <v>22</v>
      </c>
      <c r="H413" t="s">
        <v>13</v>
      </c>
      <c r="I413">
        <v>723.93</v>
      </c>
    </row>
    <row r="414" spans="1:9" x14ac:dyDescent="0.25">
      <c r="A414">
        <v>294</v>
      </c>
      <c r="B414">
        <v>47</v>
      </c>
      <c r="C414" t="s">
        <v>45</v>
      </c>
      <c r="D414">
        <v>89077</v>
      </c>
      <c r="E414">
        <v>43</v>
      </c>
      <c r="F414">
        <v>1</v>
      </c>
      <c r="G414">
        <v>35</v>
      </c>
      <c r="H414" t="s">
        <v>17</v>
      </c>
      <c r="I414">
        <v>547.85</v>
      </c>
    </row>
    <row r="415" spans="1:9" x14ac:dyDescent="0.25">
      <c r="A415">
        <v>300</v>
      </c>
      <c r="B415">
        <v>55</v>
      </c>
      <c r="C415" t="s">
        <v>45</v>
      </c>
      <c r="D415">
        <v>144624</v>
      </c>
      <c r="E415">
        <v>38</v>
      </c>
      <c r="F415">
        <v>2</v>
      </c>
      <c r="G415">
        <v>23</v>
      </c>
      <c r="H415" t="s">
        <v>16</v>
      </c>
      <c r="I415">
        <v>652.26</v>
      </c>
    </row>
    <row r="416" spans="1:9" x14ac:dyDescent="0.25">
      <c r="A416">
        <v>302</v>
      </c>
      <c r="B416">
        <v>50</v>
      </c>
      <c r="C416" t="s">
        <v>45</v>
      </c>
      <c r="D416">
        <v>130668</v>
      </c>
      <c r="E416">
        <v>39</v>
      </c>
      <c r="F416">
        <v>5</v>
      </c>
      <c r="G416">
        <v>25</v>
      </c>
      <c r="H416" t="s">
        <v>13</v>
      </c>
      <c r="I416">
        <v>69.81</v>
      </c>
    </row>
    <row r="417" spans="1:9" x14ac:dyDescent="0.25">
      <c r="A417">
        <v>307</v>
      </c>
      <c r="B417">
        <v>26</v>
      </c>
      <c r="C417" t="s">
        <v>45</v>
      </c>
      <c r="D417">
        <v>135530</v>
      </c>
      <c r="E417">
        <v>81</v>
      </c>
      <c r="F417">
        <v>2</v>
      </c>
      <c r="G417">
        <v>12</v>
      </c>
      <c r="H417" t="s">
        <v>13</v>
      </c>
      <c r="I417">
        <v>126.35</v>
      </c>
    </row>
    <row r="418" spans="1:9" x14ac:dyDescent="0.25">
      <c r="A418">
        <v>319</v>
      </c>
      <c r="B418">
        <v>61</v>
      </c>
      <c r="C418" t="s">
        <v>45</v>
      </c>
      <c r="D418">
        <v>47790</v>
      </c>
      <c r="E418">
        <v>67</v>
      </c>
      <c r="F418">
        <v>9</v>
      </c>
      <c r="G418">
        <v>5</v>
      </c>
      <c r="H418" t="s">
        <v>13</v>
      </c>
      <c r="I418">
        <v>714.29</v>
      </c>
    </row>
    <row r="419" spans="1:9" x14ac:dyDescent="0.25">
      <c r="A419">
        <v>322</v>
      </c>
      <c r="B419">
        <v>46</v>
      </c>
      <c r="C419" t="s">
        <v>45</v>
      </c>
      <c r="D419">
        <v>126553</v>
      </c>
      <c r="E419">
        <v>16</v>
      </c>
      <c r="F419">
        <v>2</v>
      </c>
      <c r="G419">
        <v>22</v>
      </c>
      <c r="H419" t="s">
        <v>13</v>
      </c>
      <c r="I419">
        <v>85.56</v>
      </c>
    </row>
    <row r="420" spans="1:9" x14ac:dyDescent="0.25">
      <c r="A420">
        <v>323</v>
      </c>
      <c r="B420">
        <v>55</v>
      </c>
      <c r="C420" t="s">
        <v>45</v>
      </c>
      <c r="D420">
        <v>80006</v>
      </c>
      <c r="E420">
        <v>44</v>
      </c>
      <c r="F420">
        <v>2</v>
      </c>
      <c r="G420">
        <v>49</v>
      </c>
      <c r="H420" t="s">
        <v>17</v>
      </c>
      <c r="I420">
        <v>727.51</v>
      </c>
    </row>
    <row r="421" spans="1:9" x14ac:dyDescent="0.25">
      <c r="A421">
        <v>325</v>
      </c>
      <c r="B421">
        <v>41</v>
      </c>
      <c r="C421" t="s">
        <v>45</v>
      </c>
      <c r="D421">
        <v>71410</v>
      </c>
      <c r="E421">
        <v>69</v>
      </c>
      <c r="F421">
        <v>1</v>
      </c>
      <c r="G421">
        <v>32</v>
      </c>
      <c r="H421" t="s">
        <v>13</v>
      </c>
      <c r="I421">
        <v>456.67</v>
      </c>
    </row>
    <row r="422" spans="1:9" x14ac:dyDescent="0.25">
      <c r="A422">
        <v>326</v>
      </c>
      <c r="B422">
        <v>59</v>
      </c>
      <c r="C422" t="s">
        <v>45</v>
      </c>
      <c r="D422">
        <v>49020</v>
      </c>
      <c r="E422">
        <v>100</v>
      </c>
      <c r="F422">
        <v>2</v>
      </c>
      <c r="G422">
        <v>42</v>
      </c>
      <c r="H422" t="s">
        <v>16</v>
      </c>
      <c r="I422">
        <v>588.17999999999995</v>
      </c>
    </row>
    <row r="423" spans="1:9" x14ac:dyDescent="0.25">
      <c r="A423">
        <v>329</v>
      </c>
      <c r="B423">
        <v>68</v>
      </c>
      <c r="C423" t="s">
        <v>45</v>
      </c>
      <c r="D423">
        <v>76921</v>
      </c>
      <c r="E423">
        <v>79</v>
      </c>
      <c r="F423">
        <v>1</v>
      </c>
      <c r="G423">
        <v>23</v>
      </c>
      <c r="H423" t="s">
        <v>16</v>
      </c>
      <c r="I423">
        <v>122.02</v>
      </c>
    </row>
    <row r="424" spans="1:9" x14ac:dyDescent="0.25">
      <c r="A424">
        <v>334</v>
      </c>
      <c r="B424">
        <v>58</v>
      </c>
      <c r="C424" t="s">
        <v>45</v>
      </c>
      <c r="D424">
        <v>99475</v>
      </c>
      <c r="E424">
        <v>27</v>
      </c>
      <c r="F424">
        <v>9</v>
      </c>
      <c r="G424">
        <v>9</v>
      </c>
      <c r="H424" t="s">
        <v>16</v>
      </c>
      <c r="I424">
        <v>249.39</v>
      </c>
    </row>
    <row r="425" spans="1:9" x14ac:dyDescent="0.25">
      <c r="A425">
        <v>336</v>
      </c>
      <c r="B425">
        <v>40</v>
      </c>
      <c r="C425" t="s">
        <v>45</v>
      </c>
      <c r="D425">
        <v>107488</v>
      </c>
      <c r="E425">
        <v>96</v>
      </c>
      <c r="F425">
        <v>7</v>
      </c>
      <c r="G425">
        <v>16</v>
      </c>
      <c r="H425" t="s">
        <v>16</v>
      </c>
      <c r="I425">
        <v>843.6</v>
      </c>
    </row>
    <row r="426" spans="1:9" x14ac:dyDescent="0.25">
      <c r="A426">
        <v>338</v>
      </c>
      <c r="B426">
        <v>42</v>
      </c>
      <c r="C426" t="s">
        <v>45</v>
      </c>
      <c r="D426">
        <v>115381</v>
      </c>
      <c r="E426">
        <v>70</v>
      </c>
      <c r="F426">
        <v>7</v>
      </c>
      <c r="G426">
        <v>33</v>
      </c>
      <c r="H426" t="s">
        <v>13</v>
      </c>
      <c r="I426">
        <v>592.52</v>
      </c>
    </row>
    <row r="427" spans="1:9" x14ac:dyDescent="0.25">
      <c r="A427">
        <v>340</v>
      </c>
      <c r="B427">
        <v>48</v>
      </c>
      <c r="C427" t="s">
        <v>45</v>
      </c>
      <c r="D427">
        <v>30374</v>
      </c>
      <c r="E427">
        <v>28</v>
      </c>
      <c r="F427">
        <v>7</v>
      </c>
      <c r="G427">
        <v>34</v>
      </c>
      <c r="H427" t="s">
        <v>16</v>
      </c>
      <c r="I427">
        <v>463.78</v>
      </c>
    </row>
    <row r="428" spans="1:9" x14ac:dyDescent="0.25">
      <c r="A428">
        <v>351</v>
      </c>
      <c r="B428">
        <v>68</v>
      </c>
      <c r="C428" t="s">
        <v>45</v>
      </c>
      <c r="D428">
        <v>122661</v>
      </c>
      <c r="E428">
        <v>16</v>
      </c>
      <c r="F428">
        <v>4</v>
      </c>
      <c r="G428">
        <v>48</v>
      </c>
      <c r="H428" t="s">
        <v>16</v>
      </c>
      <c r="I428">
        <v>85.44</v>
      </c>
    </row>
    <row r="429" spans="1:9" x14ac:dyDescent="0.25">
      <c r="A429">
        <v>353</v>
      </c>
      <c r="B429">
        <v>61</v>
      </c>
      <c r="C429" t="s">
        <v>45</v>
      </c>
      <c r="D429">
        <v>120516</v>
      </c>
      <c r="E429">
        <v>100</v>
      </c>
      <c r="F429">
        <v>10</v>
      </c>
      <c r="G429">
        <v>47</v>
      </c>
      <c r="H429" t="s">
        <v>13</v>
      </c>
      <c r="I429">
        <v>475.52</v>
      </c>
    </row>
    <row r="430" spans="1:9" x14ac:dyDescent="0.25">
      <c r="A430">
        <v>356</v>
      </c>
      <c r="B430">
        <v>32</v>
      </c>
      <c r="C430" t="s">
        <v>45</v>
      </c>
      <c r="D430">
        <v>94627</v>
      </c>
      <c r="E430">
        <v>88</v>
      </c>
      <c r="F430">
        <v>9</v>
      </c>
      <c r="G430">
        <v>30</v>
      </c>
      <c r="H430" t="s">
        <v>17</v>
      </c>
      <c r="I430">
        <v>703.94</v>
      </c>
    </row>
    <row r="431" spans="1:9" x14ac:dyDescent="0.25">
      <c r="A431">
        <v>357</v>
      </c>
      <c r="B431">
        <v>49</v>
      </c>
      <c r="C431" t="s">
        <v>45</v>
      </c>
      <c r="D431">
        <v>103191</v>
      </c>
      <c r="E431">
        <v>34</v>
      </c>
      <c r="F431">
        <v>5</v>
      </c>
      <c r="G431">
        <v>41</v>
      </c>
      <c r="H431" t="s">
        <v>17</v>
      </c>
      <c r="I431">
        <v>253.63</v>
      </c>
    </row>
    <row r="432" spans="1:9" x14ac:dyDescent="0.25">
      <c r="A432">
        <v>363</v>
      </c>
      <c r="B432">
        <v>26</v>
      </c>
      <c r="C432" t="s">
        <v>45</v>
      </c>
      <c r="D432">
        <v>149741</v>
      </c>
      <c r="E432">
        <v>51</v>
      </c>
      <c r="F432">
        <v>4</v>
      </c>
      <c r="G432">
        <v>37</v>
      </c>
      <c r="H432" t="s">
        <v>13</v>
      </c>
      <c r="I432">
        <v>685.36</v>
      </c>
    </row>
    <row r="433" spans="1:9" x14ac:dyDescent="0.25">
      <c r="A433">
        <v>365</v>
      </c>
      <c r="B433">
        <v>21</v>
      </c>
      <c r="C433" t="s">
        <v>45</v>
      </c>
      <c r="D433">
        <v>90000</v>
      </c>
      <c r="E433">
        <v>42</v>
      </c>
      <c r="F433">
        <v>4</v>
      </c>
      <c r="G433">
        <v>23</v>
      </c>
      <c r="H433" t="s">
        <v>13</v>
      </c>
      <c r="I433">
        <v>278.14999999999998</v>
      </c>
    </row>
    <row r="434" spans="1:9" x14ac:dyDescent="0.25">
      <c r="A434">
        <v>366</v>
      </c>
      <c r="B434">
        <v>19</v>
      </c>
      <c r="C434" t="s">
        <v>45</v>
      </c>
      <c r="D434">
        <v>105019</v>
      </c>
      <c r="E434">
        <v>84</v>
      </c>
      <c r="F434">
        <v>8</v>
      </c>
      <c r="G434">
        <v>32</v>
      </c>
      <c r="H434" t="s">
        <v>17</v>
      </c>
      <c r="I434">
        <v>735.3</v>
      </c>
    </row>
    <row r="435" spans="1:9" x14ac:dyDescent="0.25">
      <c r="A435">
        <v>396</v>
      </c>
      <c r="B435">
        <v>54</v>
      </c>
      <c r="C435" t="s">
        <v>45</v>
      </c>
      <c r="D435">
        <v>87418</v>
      </c>
      <c r="E435">
        <v>21</v>
      </c>
      <c r="F435">
        <v>2</v>
      </c>
      <c r="G435">
        <v>27</v>
      </c>
      <c r="H435" t="s">
        <v>16</v>
      </c>
      <c r="I435">
        <v>846.76</v>
      </c>
    </row>
    <row r="436" spans="1:9" x14ac:dyDescent="0.25">
      <c r="A436">
        <v>403</v>
      </c>
      <c r="B436">
        <v>40</v>
      </c>
      <c r="C436" t="s">
        <v>45</v>
      </c>
      <c r="D436">
        <v>127948</v>
      </c>
      <c r="E436">
        <v>29</v>
      </c>
      <c r="F436">
        <v>6</v>
      </c>
      <c r="G436">
        <v>26</v>
      </c>
      <c r="H436" t="s">
        <v>16</v>
      </c>
      <c r="I436">
        <v>144.78</v>
      </c>
    </row>
    <row r="437" spans="1:9" x14ac:dyDescent="0.25">
      <c r="A437">
        <v>406</v>
      </c>
      <c r="B437">
        <v>29</v>
      </c>
      <c r="C437" t="s">
        <v>45</v>
      </c>
      <c r="D437">
        <v>141369</v>
      </c>
      <c r="E437">
        <v>42</v>
      </c>
      <c r="F437">
        <v>10</v>
      </c>
      <c r="G437">
        <v>16</v>
      </c>
      <c r="H437" t="s">
        <v>13</v>
      </c>
      <c r="I437">
        <v>862.54</v>
      </c>
    </row>
    <row r="438" spans="1:9" x14ac:dyDescent="0.25">
      <c r="A438">
        <v>407</v>
      </c>
      <c r="B438">
        <v>24</v>
      </c>
      <c r="C438" t="s">
        <v>45</v>
      </c>
      <c r="D438">
        <v>119844</v>
      </c>
      <c r="E438">
        <v>78</v>
      </c>
      <c r="F438">
        <v>4</v>
      </c>
      <c r="G438">
        <v>6</v>
      </c>
      <c r="H438" t="s">
        <v>16</v>
      </c>
      <c r="I438">
        <v>572.30999999999995</v>
      </c>
    </row>
    <row r="439" spans="1:9" x14ac:dyDescent="0.25">
      <c r="A439">
        <v>408</v>
      </c>
      <c r="B439">
        <v>40</v>
      </c>
      <c r="C439" t="s">
        <v>45</v>
      </c>
      <c r="D439">
        <v>135305</v>
      </c>
      <c r="E439">
        <v>54</v>
      </c>
      <c r="F439">
        <v>8</v>
      </c>
      <c r="G439">
        <v>29</v>
      </c>
      <c r="H439" t="s">
        <v>17</v>
      </c>
      <c r="I439">
        <v>831.6</v>
      </c>
    </row>
    <row r="440" spans="1:9" x14ac:dyDescent="0.25">
      <c r="A440">
        <v>412</v>
      </c>
      <c r="B440">
        <v>61</v>
      </c>
      <c r="C440" t="s">
        <v>45</v>
      </c>
      <c r="D440">
        <v>80988</v>
      </c>
      <c r="E440">
        <v>34</v>
      </c>
      <c r="F440">
        <v>8</v>
      </c>
      <c r="G440">
        <v>14</v>
      </c>
      <c r="H440" t="s">
        <v>17</v>
      </c>
      <c r="I440">
        <v>937.86</v>
      </c>
    </row>
    <row r="441" spans="1:9" x14ac:dyDescent="0.25">
      <c r="A441">
        <v>417</v>
      </c>
      <c r="B441">
        <v>52</v>
      </c>
      <c r="C441" t="s">
        <v>45</v>
      </c>
      <c r="D441">
        <v>101105</v>
      </c>
      <c r="E441">
        <v>11</v>
      </c>
      <c r="F441">
        <v>9</v>
      </c>
      <c r="G441">
        <v>2</v>
      </c>
      <c r="H441" t="s">
        <v>13</v>
      </c>
      <c r="I441">
        <v>714.72</v>
      </c>
    </row>
    <row r="442" spans="1:9" x14ac:dyDescent="0.25">
      <c r="A442">
        <v>419</v>
      </c>
      <c r="B442">
        <v>64</v>
      </c>
      <c r="C442" t="s">
        <v>45</v>
      </c>
      <c r="D442">
        <v>71594</v>
      </c>
      <c r="E442">
        <v>40</v>
      </c>
      <c r="F442">
        <v>4</v>
      </c>
      <c r="G442">
        <v>42</v>
      </c>
      <c r="H442" t="s">
        <v>17</v>
      </c>
      <c r="I442">
        <v>487.73</v>
      </c>
    </row>
    <row r="443" spans="1:9" x14ac:dyDescent="0.25">
      <c r="A443">
        <v>422</v>
      </c>
      <c r="B443">
        <v>56</v>
      </c>
      <c r="C443" t="s">
        <v>45</v>
      </c>
      <c r="D443">
        <v>36843</v>
      </c>
      <c r="E443">
        <v>46</v>
      </c>
      <c r="F443">
        <v>7</v>
      </c>
      <c r="G443">
        <v>12</v>
      </c>
      <c r="H443" t="s">
        <v>13</v>
      </c>
      <c r="I443">
        <v>22.15</v>
      </c>
    </row>
    <row r="444" spans="1:9" x14ac:dyDescent="0.25">
      <c r="A444">
        <v>428</v>
      </c>
      <c r="B444">
        <v>54</v>
      </c>
      <c r="C444" t="s">
        <v>45</v>
      </c>
      <c r="D444">
        <v>90780</v>
      </c>
      <c r="E444">
        <v>24</v>
      </c>
      <c r="F444">
        <v>3</v>
      </c>
      <c r="G444">
        <v>46</v>
      </c>
      <c r="H444" t="s">
        <v>16</v>
      </c>
      <c r="I444">
        <v>824.65</v>
      </c>
    </row>
    <row r="445" spans="1:9" x14ac:dyDescent="0.25">
      <c r="A445">
        <v>430</v>
      </c>
      <c r="B445">
        <v>64</v>
      </c>
      <c r="C445" t="s">
        <v>45</v>
      </c>
      <c r="D445">
        <v>124369</v>
      </c>
      <c r="E445">
        <v>74</v>
      </c>
      <c r="F445">
        <v>2</v>
      </c>
      <c r="G445">
        <v>3</v>
      </c>
      <c r="H445" t="s">
        <v>13</v>
      </c>
      <c r="I445">
        <v>275.39999999999998</v>
      </c>
    </row>
    <row r="446" spans="1:9" x14ac:dyDescent="0.25">
      <c r="A446">
        <v>437</v>
      </c>
      <c r="B446">
        <v>48</v>
      </c>
      <c r="C446" t="s">
        <v>45</v>
      </c>
      <c r="D446">
        <v>51565</v>
      </c>
      <c r="E446">
        <v>44</v>
      </c>
      <c r="F446">
        <v>5</v>
      </c>
      <c r="G446">
        <v>20</v>
      </c>
      <c r="H446" t="s">
        <v>16</v>
      </c>
      <c r="I446">
        <v>552.48</v>
      </c>
    </row>
    <row r="447" spans="1:9" x14ac:dyDescent="0.25">
      <c r="A447">
        <v>444</v>
      </c>
      <c r="B447">
        <v>62</v>
      </c>
      <c r="C447" t="s">
        <v>45</v>
      </c>
      <c r="D447">
        <v>59481</v>
      </c>
      <c r="E447">
        <v>30</v>
      </c>
      <c r="F447">
        <v>4</v>
      </c>
      <c r="G447">
        <v>35</v>
      </c>
      <c r="H447" t="s">
        <v>17</v>
      </c>
      <c r="I447">
        <v>121</v>
      </c>
    </row>
    <row r="448" spans="1:9" x14ac:dyDescent="0.25">
      <c r="A448">
        <v>447</v>
      </c>
      <c r="B448">
        <v>27</v>
      </c>
      <c r="C448" t="s">
        <v>45</v>
      </c>
      <c r="D448">
        <v>68689</v>
      </c>
      <c r="E448">
        <v>83</v>
      </c>
      <c r="F448">
        <v>8</v>
      </c>
      <c r="G448">
        <v>33</v>
      </c>
      <c r="H448" t="s">
        <v>16</v>
      </c>
      <c r="I448">
        <v>782.58</v>
      </c>
    </row>
    <row r="449" spans="1:9" x14ac:dyDescent="0.25">
      <c r="A449">
        <v>451</v>
      </c>
      <c r="B449">
        <v>24</v>
      </c>
      <c r="C449" t="s">
        <v>45</v>
      </c>
      <c r="D449">
        <v>147555</v>
      </c>
      <c r="E449">
        <v>65</v>
      </c>
      <c r="F449">
        <v>4</v>
      </c>
      <c r="G449">
        <v>28</v>
      </c>
      <c r="H449" t="s">
        <v>16</v>
      </c>
      <c r="I449">
        <v>434.84</v>
      </c>
    </row>
    <row r="450" spans="1:9" x14ac:dyDescent="0.25">
      <c r="A450">
        <v>456</v>
      </c>
      <c r="B450">
        <v>61</v>
      </c>
      <c r="C450" t="s">
        <v>45</v>
      </c>
      <c r="D450">
        <v>57851</v>
      </c>
      <c r="E450">
        <v>46</v>
      </c>
      <c r="F450">
        <v>3</v>
      </c>
      <c r="G450">
        <v>5</v>
      </c>
      <c r="H450" t="s">
        <v>17</v>
      </c>
      <c r="I450">
        <v>604.29</v>
      </c>
    </row>
    <row r="451" spans="1:9" x14ac:dyDescent="0.25">
      <c r="A451">
        <v>459</v>
      </c>
      <c r="B451">
        <v>30</v>
      </c>
      <c r="C451" t="s">
        <v>45</v>
      </c>
      <c r="D451">
        <v>100399</v>
      </c>
      <c r="E451">
        <v>96</v>
      </c>
      <c r="F451">
        <v>2</v>
      </c>
      <c r="G451">
        <v>5</v>
      </c>
      <c r="H451" t="s">
        <v>17</v>
      </c>
      <c r="I451">
        <v>705.64</v>
      </c>
    </row>
    <row r="452" spans="1:9" x14ac:dyDescent="0.25">
      <c r="A452">
        <v>466</v>
      </c>
      <c r="B452">
        <v>69</v>
      </c>
      <c r="C452" t="s">
        <v>45</v>
      </c>
      <c r="D452">
        <v>143640</v>
      </c>
      <c r="E452">
        <v>14</v>
      </c>
      <c r="F452">
        <v>8</v>
      </c>
      <c r="G452">
        <v>2</v>
      </c>
      <c r="H452" t="s">
        <v>17</v>
      </c>
      <c r="I452">
        <v>387.39</v>
      </c>
    </row>
    <row r="453" spans="1:9" x14ac:dyDescent="0.25">
      <c r="A453">
        <v>469</v>
      </c>
      <c r="B453">
        <v>32</v>
      </c>
      <c r="C453" t="s">
        <v>45</v>
      </c>
      <c r="D453">
        <v>100736</v>
      </c>
      <c r="E453">
        <v>84</v>
      </c>
      <c r="F453">
        <v>10</v>
      </c>
      <c r="G453">
        <v>32</v>
      </c>
      <c r="H453" t="s">
        <v>16</v>
      </c>
      <c r="I453">
        <v>863.93</v>
      </c>
    </row>
    <row r="454" spans="1:9" x14ac:dyDescent="0.25">
      <c r="A454">
        <v>470</v>
      </c>
      <c r="B454">
        <v>53</v>
      </c>
      <c r="C454" t="s">
        <v>45</v>
      </c>
      <c r="D454">
        <v>139508</v>
      </c>
      <c r="E454">
        <v>92</v>
      </c>
      <c r="F454">
        <v>6</v>
      </c>
      <c r="G454">
        <v>39</v>
      </c>
      <c r="H454" t="s">
        <v>17</v>
      </c>
      <c r="I454">
        <v>172.99</v>
      </c>
    </row>
    <row r="455" spans="1:9" x14ac:dyDescent="0.25">
      <c r="A455">
        <v>475</v>
      </c>
      <c r="B455">
        <v>36</v>
      </c>
      <c r="C455" t="s">
        <v>45</v>
      </c>
      <c r="D455">
        <v>112674</v>
      </c>
      <c r="E455">
        <v>12</v>
      </c>
      <c r="F455">
        <v>7</v>
      </c>
      <c r="G455">
        <v>35</v>
      </c>
      <c r="H455" t="s">
        <v>16</v>
      </c>
      <c r="I455">
        <v>590.32000000000005</v>
      </c>
    </row>
    <row r="456" spans="1:9" x14ac:dyDescent="0.25">
      <c r="A456">
        <v>478</v>
      </c>
      <c r="B456">
        <v>48</v>
      </c>
      <c r="C456" t="s">
        <v>45</v>
      </c>
      <c r="D456">
        <v>143424</v>
      </c>
      <c r="E456">
        <v>24</v>
      </c>
      <c r="F456">
        <v>3</v>
      </c>
      <c r="G456">
        <v>22</v>
      </c>
      <c r="H456" t="s">
        <v>13</v>
      </c>
      <c r="I456">
        <v>594.94000000000005</v>
      </c>
    </row>
    <row r="457" spans="1:9" x14ac:dyDescent="0.25">
      <c r="A457">
        <v>482</v>
      </c>
      <c r="B457">
        <v>65</v>
      </c>
      <c r="C457" t="s">
        <v>45</v>
      </c>
      <c r="D457">
        <v>120542</v>
      </c>
      <c r="E457">
        <v>52</v>
      </c>
      <c r="F457">
        <v>3</v>
      </c>
      <c r="G457">
        <v>36</v>
      </c>
      <c r="H457" t="s">
        <v>17</v>
      </c>
      <c r="I457">
        <v>70.22</v>
      </c>
    </row>
    <row r="458" spans="1:9" x14ac:dyDescent="0.25">
      <c r="A458">
        <v>486</v>
      </c>
      <c r="B458">
        <v>66</v>
      </c>
      <c r="C458" t="s">
        <v>45</v>
      </c>
      <c r="D458">
        <v>91672</v>
      </c>
      <c r="E458">
        <v>71</v>
      </c>
      <c r="F458">
        <v>5</v>
      </c>
      <c r="G458">
        <v>9</v>
      </c>
      <c r="H458" t="s">
        <v>17</v>
      </c>
      <c r="I458">
        <v>10.4</v>
      </c>
    </row>
    <row r="459" spans="1:9" x14ac:dyDescent="0.25">
      <c r="A459">
        <v>488</v>
      </c>
      <c r="B459">
        <v>47</v>
      </c>
      <c r="C459" t="s">
        <v>45</v>
      </c>
      <c r="D459">
        <v>124597</v>
      </c>
      <c r="E459">
        <v>67</v>
      </c>
      <c r="F459">
        <v>9</v>
      </c>
      <c r="G459">
        <v>8</v>
      </c>
      <c r="H459" t="s">
        <v>17</v>
      </c>
      <c r="I459">
        <v>885.33</v>
      </c>
    </row>
    <row r="460" spans="1:9" x14ac:dyDescent="0.25">
      <c r="A460">
        <v>517</v>
      </c>
      <c r="B460">
        <v>18</v>
      </c>
      <c r="C460" t="s">
        <v>45</v>
      </c>
      <c r="D460">
        <v>112021</v>
      </c>
      <c r="E460">
        <v>9</v>
      </c>
      <c r="F460">
        <v>3</v>
      </c>
      <c r="G460">
        <v>11</v>
      </c>
      <c r="H460" t="s">
        <v>16</v>
      </c>
      <c r="I460">
        <v>588.37</v>
      </c>
    </row>
    <row r="461" spans="1:9" x14ac:dyDescent="0.25">
      <c r="A461">
        <v>521</v>
      </c>
      <c r="B461">
        <v>69</v>
      </c>
      <c r="C461" t="s">
        <v>45</v>
      </c>
      <c r="D461">
        <v>78534</v>
      </c>
      <c r="E461">
        <v>100</v>
      </c>
      <c r="F461">
        <v>2</v>
      </c>
      <c r="G461">
        <v>9</v>
      </c>
      <c r="H461" t="s">
        <v>13</v>
      </c>
      <c r="I461">
        <v>75.03</v>
      </c>
    </row>
    <row r="462" spans="1:9" x14ac:dyDescent="0.25">
      <c r="A462">
        <v>542</v>
      </c>
      <c r="B462">
        <v>69</v>
      </c>
      <c r="C462" t="s">
        <v>45</v>
      </c>
      <c r="D462">
        <v>86860</v>
      </c>
      <c r="E462">
        <v>70</v>
      </c>
      <c r="F462">
        <v>1</v>
      </c>
      <c r="G462">
        <v>1</v>
      </c>
      <c r="H462" t="s">
        <v>17</v>
      </c>
      <c r="I462">
        <v>812.25</v>
      </c>
    </row>
    <row r="463" spans="1:9" x14ac:dyDescent="0.25">
      <c r="A463">
        <v>546</v>
      </c>
      <c r="B463">
        <v>44</v>
      </c>
      <c r="C463" t="s">
        <v>45</v>
      </c>
      <c r="D463">
        <v>112137</v>
      </c>
      <c r="E463">
        <v>37</v>
      </c>
      <c r="F463">
        <v>7</v>
      </c>
      <c r="G463">
        <v>18</v>
      </c>
      <c r="H463" t="s">
        <v>16</v>
      </c>
      <c r="I463">
        <v>769.16</v>
      </c>
    </row>
    <row r="464" spans="1:9" x14ac:dyDescent="0.25">
      <c r="A464">
        <v>561</v>
      </c>
      <c r="B464">
        <v>61</v>
      </c>
      <c r="C464" t="s">
        <v>45</v>
      </c>
      <c r="D464">
        <v>137276</v>
      </c>
      <c r="E464">
        <v>92</v>
      </c>
      <c r="F464">
        <v>5</v>
      </c>
      <c r="G464">
        <v>8</v>
      </c>
      <c r="H464" t="s">
        <v>16</v>
      </c>
      <c r="I464">
        <v>482.77</v>
      </c>
    </row>
    <row r="465" spans="1:9" x14ac:dyDescent="0.25">
      <c r="A465">
        <v>570</v>
      </c>
      <c r="B465">
        <v>18</v>
      </c>
      <c r="C465" t="s">
        <v>45</v>
      </c>
      <c r="D465">
        <v>94701</v>
      </c>
      <c r="E465">
        <v>69</v>
      </c>
      <c r="F465">
        <v>8</v>
      </c>
      <c r="G465">
        <v>48</v>
      </c>
      <c r="H465" t="s">
        <v>17</v>
      </c>
      <c r="I465">
        <v>760.34</v>
      </c>
    </row>
    <row r="466" spans="1:9" x14ac:dyDescent="0.25">
      <c r="A466">
        <v>574</v>
      </c>
      <c r="B466">
        <v>48</v>
      </c>
      <c r="C466" t="s">
        <v>45</v>
      </c>
      <c r="D466">
        <v>93084</v>
      </c>
      <c r="E466">
        <v>30</v>
      </c>
      <c r="F466">
        <v>7</v>
      </c>
      <c r="G466">
        <v>5</v>
      </c>
      <c r="H466" t="s">
        <v>17</v>
      </c>
      <c r="I466">
        <v>480.55</v>
      </c>
    </row>
    <row r="467" spans="1:9" x14ac:dyDescent="0.25">
      <c r="A467">
        <v>587</v>
      </c>
      <c r="B467">
        <v>20</v>
      </c>
      <c r="C467" t="s">
        <v>45</v>
      </c>
      <c r="D467">
        <v>61541</v>
      </c>
      <c r="E467">
        <v>80</v>
      </c>
      <c r="F467">
        <v>2</v>
      </c>
      <c r="G467">
        <v>14</v>
      </c>
      <c r="H467" t="s">
        <v>16</v>
      </c>
      <c r="I467">
        <v>48.5</v>
      </c>
    </row>
    <row r="468" spans="1:9" x14ac:dyDescent="0.25">
      <c r="A468">
        <v>588</v>
      </c>
      <c r="B468">
        <v>47</v>
      </c>
      <c r="C468" t="s">
        <v>45</v>
      </c>
      <c r="D468">
        <v>55753</v>
      </c>
      <c r="E468">
        <v>69</v>
      </c>
      <c r="F468">
        <v>5</v>
      </c>
      <c r="G468">
        <v>40</v>
      </c>
      <c r="H468" t="s">
        <v>13</v>
      </c>
      <c r="I468">
        <v>772.89</v>
      </c>
    </row>
    <row r="469" spans="1:9" x14ac:dyDescent="0.25">
      <c r="A469">
        <v>589</v>
      </c>
      <c r="B469">
        <v>29</v>
      </c>
      <c r="C469" t="s">
        <v>45</v>
      </c>
      <c r="D469">
        <v>80868</v>
      </c>
      <c r="E469">
        <v>33</v>
      </c>
      <c r="F469">
        <v>6</v>
      </c>
      <c r="G469">
        <v>15</v>
      </c>
      <c r="H469" t="s">
        <v>17</v>
      </c>
      <c r="I469">
        <v>865.65</v>
      </c>
    </row>
    <row r="470" spans="1:9" x14ac:dyDescent="0.25">
      <c r="A470">
        <v>595</v>
      </c>
      <c r="B470">
        <v>28</v>
      </c>
      <c r="C470" t="s">
        <v>45</v>
      </c>
      <c r="D470">
        <v>61870</v>
      </c>
      <c r="E470">
        <v>100</v>
      </c>
      <c r="F470">
        <v>6</v>
      </c>
      <c r="G470">
        <v>3</v>
      </c>
      <c r="H470" t="s">
        <v>16</v>
      </c>
      <c r="I470">
        <v>728.67</v>
      </c>
    </row>
    <row r="471" spans="1:9" x14ac:dyDescent="0.25">
      <c r="A471">
        <v>599</v>
      </c>
      <c r="B471">
        <v>41</v>
      </c>
      <c r="C471" t="s">
        <v>45</v>
      </c>
      <c r="D471">
        <v>69204</v>
      </c>
      <c r="E471">
        <v>95</v>
      </c>
      <c r="F471">
        <v>4</v>
      </c>
      <c r="G471">
        <v>28</v>
      </c>
      <c r="H471" t="s">
        <v>17</v>
      </c>
      <c r="I471">
        <v>936.04</v>
      </c>
    </row>
    <row r="472" spans="1:9" x14ac:dyDescent="0.25">
      <c r="A472">
        <v>608</v>
      </c>
      <c r="B472">
        <v>41</v>
      </c>
      <c r="C472" t="s">
        <v>45</v>
      </c>
      <c r="D472">
        <v>67215</v>
      </c>
      <c r="E472">
        <v>34</v>
      </c>
      <c r="F472">
        <v>3</v>
      </c>
      <c r="G472">
        <v>30</v>
      </c>
      <c r="H472" t="s">
        <v>13</v>
      </c>
      <c r="I472">
        <v>460.25</v>
      </c>
    </row>
    <row r="473" spans="1:9" x14ac:dyDescent="0.25">
      <c r="A473">
        <v>613</v>
      </c>
      <c r="B473">
        <v>60</v>
      </c>
      <c r="C473" t="s">
        <v>45</v>
      </c>
      <c r="D473">
        <v>53295</v>
      </c>
      <c r="E473">
        <v>73</v>
      </c>
      <c r="F473">
        <v>3</v>
      </c>
      <c r="G473">
        <v>5</v>
      </c>
      <c r="H473" t="s">
        <v>13</v>
      </c>
      <c r="I473">
        <v>642.29999999999995</v>
      </c>
    </row>
    <row r="474" spans="1:9" x14ac:dyDescent="0.25">
      <c r="A474">
        <v>617</v>
      </c>
      <c r="B474">
        <v>29</v>
      </c>
      <c r="C474" t="s">
        <v>45</v>
      </c>
      <c r="D474">
        <v>83172</v>
      </c>
      <c r="E474">
        <v>51</v>
      </c>
      <c r="F474">
        <v>8</v>
      </c>
      <c r="G474">
        <v>1</v>
      </c>
      <c r="H474" t="s">
        <v>17</v>
      </c>
      <c r="I474">
        <v>906.75</v>
      </c>
    </row>
    <row r="475" spans="1:9" x14ac:dyDescent="0.25">
      <c r="A475">
        <v>619</v>
      </c>
      <c r="B475">
        <v>29</v>
      </c>
      <c r="C475" t="s">
        <v>45</v>
      </c>
      <c r="D475">
        <v>88288</v>
      </c>
      <c r="E475">
        <v>39</v>
      </c>
      <c r="F475">
        <v>5</v>
      </c>
      <c r="G475">
        <v>50</v>
      </c>
      <c r="H475" t="s">
        <v>16</v>
      </c>
      <c r="I475">
        <v>803.87</v>
      </c>
    </row>
    <row r="476" spans="1:9" x14ac:dyDescent="0.25">
      <c r="A476">
        <v>624</v>
      </c>
      <c r="B476">
        <v>59</v>
      </c>
      <c r="C476" t="s">
        <v>45</v>
      </c>
      <c r="D476">
        <v>66196</v>
      </c>
      <c r="E476">
        <v>37</v>
      </c>
      <c r="F476">
        <v>9</v>
      </c>
      <c r="G476">
        <v>44</v>
      </c>
      <c r="H476" t="s">
        <v>17</v>
      </c>
      <c r="I476">
        <v>483.66</v>
      </c>
    </row>
    <row r="477" spans="1:9" x14ac:dyDescent="0.25">
      <c r="A477">
        <v>637</v>
      </c>
      <c r="B477">
        <v>52</v>
      </c>
      <c r="C477" t="s">
        <v>45</v>
      </c>
      <c r="D477">
        <v>85267</v>
      </c>
      <c r="E477">
        <v>6</v>
      </c>
      <c r="F477">
        <v>5</v>
      </c>
      <c r="G477">
        <v>2</v>
      </c>
      <c r="H477" t="s">
        <v>13</v>
      </c>
      <c r="I477">
        <v>704.32</v>
      </c>
    </row>
    <row r="478" spans="1:9" x14ac:dyDescent="0.25">
      <c r="A478">
        <v>645</v>
      </c>
      <c r="B478">
        <v>67</v>
      </c>
      <c r="C478" t="s">
        <v>45</v>
      </c>
      <c r="D478">
        <v>115578</v>
      </c>
      <c r="E478">
        <v>10</v>
      </c>
      <c r="F478">
        <v>1</v>
      </c>
      <c r="G478">
        <v>36</v>
      </c>
      <c r="H478" t="s">
        <v>16</v>
      </c>
      <c r="I478">
        <v>646.16</v>
      </c>
    </row>
    <row r="479" spans="1:9" x14ac:dyDescent="0.25">
      <c r="A479">
        <v>650</v>
      </c>
      <c r="B479">
        <v>47</v>
      </c>
      <c r="C479" t="s">
        <v>45</v>
      </c>
      <c r="D479">
        <v>88268</v>
      </c>
      <c r="E479">
        <v>32</v>
      </c>
      <c r="F479">
        <v>8</v>
      </c>
      <c r="G479">
        <v>27</v>
      </c>
      <c r="H479" t="s">
        <v>16</v>
      </c>
      <c r="I479">
        <v>686.5</v>
      </c>
    </row>
    <row r="480" spans="1:9" x14ac:dyDescent="0.25">
      <c r="A480">
        <v>655</v>
      </c>
      <c r="B480">
        <v>45</v>
      </c>
      <c r="C480" t="s">
        <v>45</v>
      </c>
      <c r="D480">
        <v>47989</v>
      </c>
      <c r="E480">
        <v>70</v>
      </c>
      <c r="F480">
        <v>6</v>
      </c>
      <c r="G480">
        <v>9</v>
      </c>
      <c r="H480" t="s">
        <v>16</v>
      </c>
      <c r="I480">
        <v>218.77</v>
      </c>
    </row>
    <row r="481" spans="1:9" x14ac:dyDescent="0.25">
      <c r="A481">
        <v>656</v>
      </c>
      <c r="B481">
        <v>33</v>
      </c>
      <c r="C481" t="s">
        <v>45</v>
      </c>
      <c r="D481">
        <v>65142</v>
      </c>
      <c r="E481">
        <v>45</v>
      </c>
      <c r="F481">
        <v>10</v>
      </c>
      <c r="G481">
        <v>42</v>
      </c>
      <c r="H481" t="s">
        <v>17</v>
      </c>
      <c r="I481">
        <v>132.6</v>
      </c>
    </row>
    <row r="482" spans="1:9" x14ac:dyDescent="0.25">
      <c r="A482">
        <v>659</v>
      </c>
      <c r="B482">
        <v>35</v>
      </c>
      <c r="C482" t="s">
        <v>45</v>
      </c>
      <c r="D482">
        <v>116378</v>
      </c>
      <c r="E482">
        <v>38</v>
      </c>
      <c r="F482">
        <v>10</v>
      </c>
      <c r="G482">
        <v>11</v>
      </c>
      <c r="H482" t="s">
        <v>17</v>
      </c>
      <c r="I482">
        <v>79.27</v>
      </c>
    </row>
    <row r="483" spans="1:9" x14ac:dyDescent="0.25">
      <c r="A483">
        <v>662</v>
      </c>
      <c r="B483">
        <v>66</v>
      </c>
      <c r="C483" t="s">
        <v>45</v>
      </c>
      <c r="D483">
        <v>38652</v>
      </c>
      <c r="E483">
        <v>40</v>
      </c>
      <c r="F483">
        <v>10</v>
      </c>
      <c r="G483">
        <v>7</v>
      </c>
      <c r="H483" t="s">
        <v>13</v>
      </c>
      <c r="I483">
        <v>566.59</v>
      </c>
    </row>
    <row r="484" spans="1:9" x14ac:dyDescent="0.25">
      <c r="A484">
        <v>664</v>
      </c>
      <c r="B484">
        <v>56</v>
      </c>
      <c r="C484" t="s">
        <v>45</v>
      </c>
      <c r="D484">
        <v>30492</v>
      </c>
      <c r="E484">
        <v>47</v>
      </c>
      <c r="F484">
        <v>5</v>
      </c>
      <c r="G484">
        <v>6</v>
      </c>
      <c r="H484" t="s">
        <v>16</v>
      </c>
      <c r="I484">
        <v>725.26</v>
      </c>
    </row>
    <row r="485" spans="1:9" x14ac:dyDescent="0.25">
      <c r="A485">
        <v>670</v>
      </c>
      <c r="B485">
        <v>55</v>
      </c>
      <c r="C485" t="s">
        <v>45</v>
      </c>
      <c r="D485">
        <v>59108</v>
      </c>
      <c r="E485">
        <v>36</v>
      </c>
      <c r="F485">
        <v>6</v>
      </c>
      <c r="G485">
        <v>31</v>
      </c>
      <c r="H485" t="s">
        <v>13</v>
      </c>
      <c r="I485">
        <v>900.16</v>
      </c>
    </row>
    <row r="486" spans="1:9" x14ac:dyDescent="0.25">
      <c r="A486">
        <v>678</v>
      </c>
      <c r="B486">
        <v>63</v>
      </c>
      <c r="C486" t="s">
        <v>45</v>
      </c>
      <c r="D486">
        <v>56374</v>
      </c>
      <c r="E486">
        <v>60</v>
      </c>
      <c r="F486">
        <v>4</v>
      </c>
      <c r="G486">
        <v>45</v>
      </c>
      <c r="H486" t="s">
        <v>13</v>
      </c>
      <c r="I486">
        <v>943.5</v>
      </c>
    </row>
    <row r="487" spans="1:9" x14ac:dyDescent="0.25">
      <c r="A487">
        <v>680</v>
      </c>
      <c r="B487">
        <v>36</v>
      </c>
      <c r="C487" t="s">
        <v>45</v>
      </c>
      <c r="D487">
        <v>106345</v>
      </c>
      <c r="E487">
        <v>98</v>
      </c>
      <c r="F487">
        <v>7</v>
      </c>
      <c r="G487">
        <v>49</v>
      </c>
      <c r="H487" t="s">
        <v>17</v>
      </c>
      <c r="I487">
        <v>55.21</v>
      </c>
    </row>
    <row r="488" spans="1:9" x14ac:dyDescent="0.25">
      <c r="A488">
        <v>689</v>
      </c>
      <c r="B488">
        <v>69</v>
      </c>
      <c r="C488" t="s">
        <v>45</v>
      </c>
      <c r="D488">
        <v>45024</v>
      </c>
      <c r="E488">
        <v>38</v>
      </c>
      <c r="F488">
        <v>5</v>
      </c>
      <c r="G488">
        <v>11</v>
      </c>
      <c r="H488" t="s">
        <v>17</v>
      </c>
      <c r="I488">
        <v>830.03</v>
      </c>
    </row>
    <row r="489" spans="1:9" x14ac:dyDescent="0.25">
      <c r="A489">
        <v>691</v>
      </c>
      <c r="B489">
        <v>53</v>
      </c>
      <c r="C489" t="s">
        <v>45</v>
      </c>
      <c r="D489">
        <v>84686</v>
      </c>
      <c r="E489">
        <v>93</v>
      </c>
      <c r="F489">
        <v>8</v>
      </c>
      <c r="G489">
        <v>1</v>
      </c>
      <c r="H489" t="s">
        <v>16</v>
      </c>
      <c r="I489">
        <v>109.54</v>
      </c>
    </row>
    <row r="490" spans="1:9" x14ac:dyDescent="0.25">
      <c r="A490">
        <v>699</v>
      </c>
      <c r="B490">
        <v>55</v>
      </c>
      <c r="C490" t="s">
        <v>45</v>
      </c>
      <c r="D490">
        <v>53164</v>
      </c>
      <c r="E490">
        <v>64</v>
      </c>
      <c r="F490">
        <v>2</v>
      </c>
      <c r="G490">
        <v>19</v>
      </c>
      <c r="H490" t="s">
        <v>17</v>
      </c>
      <c r="I490">
        <v>932.41</v>
      </c>
    </row>
    <row r="491" spans="1:9" x14ac:dyDescent="0.25">
      <c r="A491">
        <v>726</v>
      </c>
      <c r="B491">
        <v>40</v>
      </c>
      <c r="C491" t="s">
        <v>45</v>
      </c>
      <c r="D491">
        <v>105994</v>
      </c>
      <c r="E491">
        <v>39</v>
      </c>
      <c r="F491">
        <v>9</v>
      </c>
      <c r="G491">
        <v>17</v>
      </c>
      <c r="H491" t="s">
        <v>13</v>
      </c>
      <c r="I491">
        <v>347.21</v>
      </c>
    </row>
    <row r="492" spans="1:9" x14ac:dyDescent="0.25">
      <c r="A492">
        <v>727</v>
      </c>
      <c r="B492">
        <v>18</v>
      </c>
      <c r="C492" t="s">
        <v>45</v>
      </c>
      <c r="D492">
        <v>84764</v>
      </c>
      <c r="E492">
        <v>2</v>
      </c>
      <c r="F492">
        <v>6</v>
      </c>
      <c r="G492">
        <v>49</v>
      </c>
      <c r="H492" t="s">
        <v>13</v>
      </c>
      <c r="I492">
        <v>348.51</v>
      </c>
    </row>
    <row r="493" spans="1:9" x14ac:dyDescent="0.25">
      <c r="A493">
        <v>728</v>
      </c>
      <c r="B493">
        <v>28</v>
      </c>
      <c r="C493" t="s">
        <v>45</v>
      </c>
      <c r="D493">
        <v>53503</v>
      </c>
      <c r="E493">
        <v>39</v>
      </c>
      <c r="F493">
        <v>5</v>
      </c>
      <c r="G493">
        <v>30</v>
      </c>
      <c r="H493" t="s">
        <v>16</v>
      </c>
      <c r="I493">
        <v>591.64</v>
      </c>
    </row>
    <row r="494" spans="1:9" x14ac:dyDescent="0.25">
      <c r="A494">
        <v>735</v>
      </c>
      <c r="B494">
        <v>38</v>
      </c>
      <c r="C494" t="s">
        <v>45</v>
      </c>
      <c r="D494">
        <v>115537</v>
      </c>
      <c r="E494">
        <v>10</v>
      </c>
      <c r="F494">
        <v>7</v>
      </c>
      <c r="G494">
        <v>25</v>
      </c>
      <c r="H494" t="s">
        <v>17</v>
      </c>
      <c r="I494">
        <v>632.99</v>
      </c>
    </row>
    <row r="495" spans="1:9" x14ac:dyDescent="0.25">
      <c r="A495">
        <v>742</v>
      </c>
      <c r="B495">
        <v>45</v>
      </c>
      <c r="C495" t="s">
        <v>45</v>
      </c>
      <c r="D495">
        <v>30738</v>
      </c>
      <c r="E495">
        <v>38</v>
      </c>
      <c r="F495">
        <v>7</v>
      </c>
      <c r="G495">
        <v>5</v>
      </c>
      <c r="H495" t="s">
        <v>13</v>
      </c>
      <c r="I495">
        <v>144</v>
      </c>
    </row>
    <row r="496" spans="1:9" x14ac:dyDescent="0.25">
      <c r="A496">
        <v>759</v>
      </c>
      <c r="B496">
        <v>64</v>
      </c>
      <c r="C496" t="s">
        <v>45</v>
      </c>
      <c r="D496">
        <v>130443</v>
      </c>
      <c r="E496">
        <v>29</v>
      </c>
      <c r="F496">
        <v>1</v>
      </c>
      <c r="G496">
        <v>17</v>
      </c>
      <c r="H496" t="s">
        <v>13</v>
      </c>
      <c r="I496">
        <v>835.67</v>
      </c>
    </row>
    <row r="497" spans="1:9" x14ac:dyDescent="0.25">
      <c r="A497">
        <v>766</v>
      </c>
      <c r="B497">
        <v>41</v>
      </c>
      <c r="C497" t="s">
        <v>45</v>
      </c>
      <c r="D497">
        <v>74198</v>
      </c>
      <c r="E497">
        <v>84</v>
      </c>
      <c r="F497">
        <v>1</v>
      </c>
      <c r="G497">
        <v>50</v>
      </c>
      <c r="H497" t="s">
        <v>17</v>
      </c>
      <c r="I497">
        <v>60.51</v>
      </c>
    </row>
    <row r="498" spans="1:9" x14ac:dyDescent="0.25">
      <c r="A498">
        <v>767</v>
      </c>
      <c r="B498">
        <v>45</v>
      </c>
      <c r="C498" t="s">
        <v>45</v>
      </c>
      <c r="D498">
        <v>62582</v>
      </c>
      <c r="E498">
        <v>1</v>
      </c>
      <c r="F498">
        <v>6</v>
      </c>
      <c r="G498">
        <v>46</v>
      </c>
      <c r="H498" t="s">
        <v>17</v>
      </c>
      <c r="I498">
        <v>298.11</v>
      </c>
    </row>
    <row r="499" spans="1:9" x14ac:dyDescent="0.25">
      <c r="A499">
        <v>768</v>
      </c>
      <c r="B499">
        <v>33</v>
      </c>
      <c r="C499" t="s">
        <v>45</v>
      </c>
      <c r="D499">
        <v>92798</v>
      </c>
      <c r="E499">
        <v>80</v>
      </c>
      <c r="F499">
        <v>3</v>
      </c>
      <c r="G499">
        <v>44</v>
      </c>
      <c r="H499" t="s">
        <v>16</v>
      </c>
      <c r="I499">
        <v>367.85</v>
      </c>
    </row>
    <row r="500" spans="1:9" x14ac:dyDescent="0.25">
      <c r="A500">
        <v>771</v>
      </c>
      <c r="B500">
        <v>55</v>
      </c>
      <c r="C500" t="s">
        <v>45</v>
      </c>
      <c r="D500">
        <v>53069</v>
      </c>
      <c r="E500">
        <v>3</v>
      </c>
      <c r="F500">
        <v>10</v>
      </c>
      <c r="G500">
        <v>43</v>
      </c>
      <c r="H500" t="s">
        <v>17</v>
      </c>
      <c r="I500">
        <v>777.97</v>
      </c>
    </row>
    <row r="501" spans="1:9" x14ac:dyDescent="0.25">
      <c r="A501">
        <v>783</v>
      </c>
      <c r="B501">
        <v>39</v>
      </c>
      <c r="C501" t="s">
        <v>45</v>
      </c>
      <c r="D501">
        <v>71987</v>
      </c>
      <c r="E501">
        <v>42</v>
      </c>
      <c r="F501">
        <v>5</v>
      </c>
      <c r="G501">
        <v>35</v>
      </c>
      <c r="H501" t="s">
        <v>17</v>
      </c>
      <c r="I501">
        <v>196.61</v>
      </c>
    </row>
    <row r="502" spans="1:9" x14ac:dyDescent="0.25">
      <c r="A502">
        <v>784</v>
      </c>
      <c r="B502">
        <v>47</v>
      </c>
      <c r="C502" t="s">
        <v>45</v>
      </c>
      <c r="D502">
        <v>64229</v>
      </c>
      <c r="E502">
        <v>74</v>
      </c>
      <c r="F502">
        <v>5</v>
      </c>
      <c r="G502">
        <v>22</v>
      </c>
      <c r="H502" t="s">
        <v>16</v>
      </c>
      <c r="I502">
        <v>438.95</v>
      </c>
    </row>
    <row r="503" spans="1:9" x14ac:dyDescent="0.25">
      <c r="A503">
        <v>787</v>
      </c>
      <c r="B503">
        <v>57</v>
      </c>
      <c r="C503" t="s">
        <v>45</v>
      </c>
      <c r="D503">
        <v>56547</v>
      </c>
      <c r="E503">
        <v>65</v>
      </c>
      <c r="F503">
        <v>10</v>
      </c>
      <c r="G503">
        <v>43</v>
      </c>
      <c r="H503" t="s">
        <v>16</v>
      </c>
      <c r="I503">
        <v>686.83</v>
      </c>
    </row>
    <row r="504" spans="1:9" x14ac:dyDescent="0.25">
      <c r="A504">
        <v>812</v>
      </c>
      <c r="B504">
        <v>53</v>
      </c>
      <c r="C504" t="s">
        <v>45</v>
      </c>
      <c r="D504">
        <v>76842</v>
      </c>
      <c r="E504">
        <v>73</v>
      </c>
      <c r="F504">
        <v>6</v>
      </c>
      <c r="G504">
        <v>35</v>
      </c>
      <c r="H504" t="s">
        <v>13</v>
      </c>
      <c r="I504">
        <v>701.61</v>
      </c>
    </row>
    <row r="505" spans="1:9" x14ac:dyDescent="0.25">
      <c r="A505">
        <v>814</v>
      </c>
      <c r="B505">
        <v>56</v>
      </c>
      <c r="C505" t="s">
        <v>45</v>
      </c>
      <c r="D505">
        <v>145028</v>
      </c>
      <c r="E505">
        <v>2</v>
      </c>
      <c r="F505">
        <v>10</v>
      </c>
      <c r="G505">
        <v>32</v>
      </c>
      <c r="H505" t="s">
        <v>13</v>
      </c>
      <c r="I505">
        <v>849.56</v>
      </c>
    </row>
    <row r="506" spans="1:9" x14ac:dyDescent="0.25">
      <c r="A506">
        <v>816</v>
      </c>
      <c r="B506">
        <v>50</v>
      </c>
      <c r="C506" t="s">
        <v>45</v>
      </c>
      <c r="D506">
        <v>143612</v>
      </c>
      <c r="E506">
        <v>71</v>
      </c>
      <c r="F506">
        <v>9</v>
      </c>
      <c r="G506">
        <v>28</v>
      </c>
      <c r="H506" t="s">
        <v>16</v>
      </c>
      <c r="I506">
        <v>372.69</v>
      </c>
    </row>
    <row r="507" spans="1:9" x14ac:dyDescent="0.25">
      <c r="A507">
        <v>819</v>
      </c>
      <c r="B507">
        <v>46</v>
      </c>
      <c r="C507" t="s">
        <v>45</v>
      </c>
      <c r="D507">
        <v>58692</v>
      </c>
      <c r="E507">
        <v>2</v>
      </c>
      <c r="F507">
        <v>9</v>
      </c>
      <c r="G507">
        <v>22</v>
      </c>
      <c r="H507" t="s">
        <v>13</v>
      </c>
      <c r="I507">
        <v>230.66</v>
      </c>
    </row>
    <row r="508" spans="1:9" x14ac:dyDescent="0.25">
      <c r="A508">
        <v>821</v>
      </c>
      <c r="B508">
        <v>41</v>
      </c>
      <c r="C508" t="s">
        <v>45</v>
      </c>
      <c r="D508">
        <v>37547</v>
      </c>
      <c r="E508">
        <v>72</v>
      </c>
      <c r="F508">
        <v>3</v>
      </c>
      <c r="G508">
        <v>24</v>
      </c>
      <c r="H508" t="s">
        <v>16</v>
      </c>
      <c r="I508">
        <v>897.46</v>
      </c>
    </row>
    <row r="509" spans="1:9" x14ac:dyDescent="0.25">
      <c r="A509">
        <v>832</v>
      </c>
      <c r="B509">
        <v>69</v>
      </c>
      <c r="C509" t="s">
        <v>45</v>
      </c>
      <c r="D509">
        <v>81964</v>
      </c>
      <c r="E509">
        <v>22</v>
      </c>
      <c r="F509">
        <v>1</v>
      </c>
      <c r="G509">
        <v>3</v>
      </c>
      <c r="H509" t="s">
        <v>13</v>
      </c>
      <c r="I509">
        <v>839.2</v>
      </c>
    </row>
    <row r="510" spans="1:9" x14ac:dyDescent="0.25">
      <c r="A510">
        <v>836</v>
      </c>
      <c r="B510">
        <v>30</v>
      </c>
      <c r="C510" t="s">
        <v>45</v>
      </c>
      <c r="D510">
        <v>42089</v>
      </c>
      <c r="E510">
        <v>29</v>
      </c>
      <c r="F510">
        <v>3</v>
      </c>
      <c r="G510">
        <v>3</v>
      </c>
      <c r="H510" t="s">
        <v>13</v>
      </c>
      <c r="I510">
        <v>536.52</v>
      </c>
    </row>
    <row r="511" spans="1:9" x14ac:dyDescent="0.25">
      <c r="A511">
        <v>843</v>
      </c>
      <c r="B511">
        <v>50</v>
      </c>
      <c r="C511" t="s">
        <v>45</v>
      </c>
      <c r="D511">
        <v>149578</v>
      </c>
      <c r="E511">
        <v>28</v>
      </c>
      <c r="F511">
        <v>2</v>
      </c>
      <c r="G511">
        <v>39</v>
      </c>
      <c r="H511" t="s">
        <v>13</v>
      </c>
      <c r="I511">
        <v>839.34</v>
      </c>
    </row>
    <row r="512" spans="1:9" x14ac:dyDescent="0.25">
      <c r="A512">
        <v>848</v>
      </c>
      <c r="B512">
        <v>60</v>
      </c>
      <c r="C512" t="s">
        <v>45</v>
      </c>
      <c r="D512">
        <v>111784</v>
      </c>
      <c r="E512">
        <v>31</v>
      </c>
      <c r="F512">
        <v>1</v>
      </c>
      <c r="G512">
        <v>14</v>
      </c>
      <c r="H512" t="s">
        <v>17</v>
      </c>
      <c r="I512">
        <v>122.12</v>
      </c>
    </row>
    <row r="513" spans="1:9" x14ac:dyDescent="0.25">
      <c r="A513">
        <v>851</v>
      </c>
      <c r="B513">
        <v>51</v>
      </c>
      <c r="C513" t="s">
        <v>45</v>
      </c>
      <c r="D513">
        <v>59566</v>
      </c>
      <c r="E513">
        <v>25</v>
      </c>
      <c r="F513">
        <v>5</v>
      </c>
      <c r="G513">
        <v>22</v>
      </c>
      <c r="H513" t="s">
        <v>16</v>
      </c>
      <c r="I513">
        <v>847.03</v>
      </c>
    </row>
    <row r="514" spans="1:9" x14ac:dyDescent="0.25">
      <c r="A514">
        <v>853</v>
      </c>
      <c r="B514">
        <v>22</v>
      </c>
      <c r="C514" t="s">
        <v>45</v>
      </c>
      <c r="D514">
        <v>120644</v>
      </c>
      <c r="E514">
        <v>75</v>
      </c>
      <c r="F514">
        <v>1</v>
      </c>
      <c r="G514">
        <v>4</v>
      </c>
      <c r="H514" t="s">
        <v>17</v>
      </c>
      <c r="I514">
        <v>456.11</v>
      </c>
    </row>
    <row r="515" spans="1:9" x14ac:dyDescent="0.25">
      <c r="A515">
        <v>856</v>
      </c>
      <c r="B515">
        <v>45</v>
      </c>
      <c r="C515" t="s">
        <v>45</v>
      </c>
      <c r="D515">
        <v>135627</v>
      </c>
      <c r="E515">
        <v>67</v>
      </c>
      <c r="F515">
        <v>2</v>
      </c>
      <c r="G515">
        <v>46</v>
      </c>
      <c r="H515" t="s">
        <v>16</v>
      </c>
      <c r="I515">
        <v>524.16</v>
      </c>
    </row>
    <row r="516" spans="1:9" x14ac:dyDescent="0.25">
      <c r="A516">
        <v>861</v>
      </c>
      <c r="B516">
        <v>21</v>
      </c>
      <c r="C516" t="s">
        <v>45</v>
      </c>
      <c r="D516">
        <v>145884</v>
      </c>
      <c r="E516">
        <v>3</v>
      </c>
      <c r="F516">
        <v>4</v>
      </c>
      <c r="G516">
        <v>25</v>
      </c>
      <c r="H516" t="s">
        <v>13</v>
      </c>
      <c r="I516">
        <v>676.93</v>
      </c>
    </row>
    <row r="517" spans="1:9" x14ac:dyDescent="0.25">
      <c r="A517">
        <v>863</v>
      </c>
      <c r="B517">
        <v>42</v>
      </c>
      <c r="C517" t="s">
        <v>45</v>
      </c>
      <c r="D517">
        <v>77292</v>
      </c>
      <c r="E517">
        <v>73</v>
      </c>
      <c r="F517">
        <v>10</v>
      </c>
      <c r="G517">
        <v>43</v>
      </c>
      <c r="H517" t="s">
        <v>16</v>
      </c>
      <c r="I517">
        <v>787.66</v>
      </c>
    </row>
    <row r="518" spans="1:9" x14ac:dyDescent="0.25">
      <c r="A518">
        <v>865</v>
      </c>
      <c r="B518">
        <v>57</v>
      </c>
      <c r="C518" t="s">
        <v>45</v>
      </c>
      <c r="D518">
        <v>106632</v>
      </c>
      <c r="E518">
        <v>26</v>
      </c>
      <c r="F518">
        <v>1</v>
      </c>
      <c r="G518">
        <v>17</v>
      </c>
      <c r="H518" t="s">
        <v>16</v>
      </c>
      <c r="I518">
        <v>610.98</v>
      </c>
    </row>
    <row r="519" spans="1:9" x14ac:dyDescent="0.25">
      <c r="A519">
        <v>868</v>
      </c>
      <c r="B519">
        <v>51</v>
      </c>
      <c r="C519" t="s">
        <v>45</v>
      </c>
      <c r="D519">
        <v>83467</v>
      </c>
      <c r="E519">
        <v>83</v>
      </c>
      <c r="F519">
        <v>1</v>
      </c>
      <c r="G519">
        <v>19</v>
      </c>
      <c r="H519" t="s">
        <v>17</v>
      </c>
      <c r="I519">
        <v>30.88</v>
      </c>
    </row>
    <row r="520" spans="1:9" x14ac:dyDescent="0.25">
      <c r="A520">
        <v>870</v>
      </c>
      <c r="B520">
        <v>57</v>
      </c>
      <c r="C520" t="s">
        <v>45</v>
      </c>
      <c r="D520">
        <v>112212</v>
      </c>
      <c r="E520">
        <v>6</v>
      </c>
      <c r="F520">
        <v>6</v>
      </c>
      <c r="G520">
        <v>44</v>
      </c>
      <c r="H520" t="s">
        <v>13</v>
      </c>
      <c r="I520">
        <v>312.64</v>
      </c>
    </row>
    <row r="521" spans="1:9" x14ac:dyDescent="0.25">
      <c r="A521">
        <v>880</v>
      </c>
      <c r="B521">
        <v>59</v>
      </c>
      <c r="C521" t="s">
        <v>45</v>
      </c>
      <c r="D521">
        <v>97355</v>
      </c>
      <c r="E521">
        <v>63</v>
      </c>
      <c r="F521">
        <v>2</v>
      </c>
      <c r="G521">
        <v>22</v>
      </c>
      <c r="H521" t="s">
        <v>16</v>
      </c>
      <c r="I521">
        <v>329.18</v>
      </c>
    </row>
    <row r="522" spans="1:9" x14ac:dyDescent="0.25">
      <c r="A522">
        <v>883</v>
      </c>
      <c r="B522">
        <v>62</v>
      </c>
      <c r="C522" t="s">
        <v>45</v>
      </c>
      <c r="D522">
        <v>97909</v>
      </c>
      <c r="E522">
        <v>100</v>
      </c>
      <c r="F522">
        <v>1</v>
      </c>
      <c r="G522">
        <v>5</v>
      </c>
      <c r="H522" t="s">
        <v>13</v>
      </c>
      <c r="I522">
        <v>439.63</v>
      </c>
    </row>
    <row r="523" spans="1:9" x14ac:dyDescent="0.25">
      <c r="A523">
        <v>890</v>
      </c>
      <c r="B523">
        <v>60</v>
      </c>
      <c r="C523" t="s">
        <v>45</v>
      </c>
      <c r="D523">
        <v>73059</v>
      </c>
      <c r="E523">
        <v>77</v>
      </c>
      <c r="F523">
        <v>3</v>
      </c>
      <c r="G523">
        <v>31</v>
      </c>
      <c r="H523" t="s">
        <v>17</v>
      </c>
      <c r="I523">
        <v>581.15</v>
      </c>
    </row>
    <row r="524" spans="1:9" x14ac:dyDescent="0.25">
      <c r="A524">
        <v>898</v>
      </c>
      <c r="B524">
        <v>64</v>
      </c>
      <c r="C524" t="s">
        <v>45</v>
      </c>
      <c r="D524">
        <v>82140</v>
      </c>
      <c r="E524">
        <v>57</v>
      </c>
      <c r="F524">
        <v>3</v>
      </c>
      <c r="G524">
        <v>7</v>
      </c>
      <c r="H524" t="s">
        <v>13</v>
      </c>
      <c r="I524">
        <v>97.97</v>
      </c>
    </row>
    <row r="525" spans="1:9" x14ac:dyDescent="0.25">
      <c r="A525">
        <v>907</v>
      </c>
      <c r="B525">
        <v>62</v>
      </c>
      <c r="C525" t="s">
        <v>45</v>
      </c>
      <c r="D525">
        <v>113706</v>
      </c>
      <c r="E525">
        <v>19</v>
      </c>
      <c r="F525">
        <v>1</v>
      </c>
      <c r="G525">
        <v>13</v>
      </c>
      <c r="H525" t="s">
        <v>13</v>
      </c>
      <c r="I525">
        <v>427.68</v>
      </c>
    </row>
    <row r="526" spans="1:9" x14ac:dyDescent="0.25">
      <c r="A526">
        <v>910</v>
      </c>
      <c r="B526">
        <v>55</v>
      </c>
      <c r="C526" t="s">
        <v>45</v>
      </c>
      <c r="D526">
        <v>45562</v>
      </c>
      <c r="E526">
        <v>68</v>
      </c>
      <c r="F526">
        <v>3</v>
      </c>
      <c r="G526">
        <v>30</v>
      </c>
      <c r="H526" t="s">
        <v>16</v>
      </c>
      <c r="I526">
        <v>628.34</v>
      </c>
    </row>
    <row r="527" spans="1:9" x14ac:dyDescent="0.25">
      <c r="A527">
        <v>919</v>
      </c>
      <c r="B527">
        <v>28</v>
      </c>
      <c r="C527" t="s">
        <v>45</v>
      </c>
      <c r="D527">
        <v>57107</v>
      </c>
      <c r="E527">
        <v>82</v>
      </c>
      <c r="F527">
        <v>5</v>
      </c>
      <c r="G527">
        <v>2</v>
      </c>
      <c r="H527" t="s">
        <v>13</v>
      </c>
      <c r="I527">
        <v>271.17</v>
      </c>
    </row>
    <row r="528" spans="1:9" x14ac:dyDescent="0.25">
      <c r="A528">
        <v>925</v>
      </c>
      <c r="B528">
        <v>53</v>
      </c>
      <c r="C528" t="s">
        <v>45</v>
      </c>
      <c r="D528">
        <v>32539</v>
      </c>
      <c r="E528">
        <v>22</v>
      </c>
      <c r="F528">
        <v>6</v>
      </c>
      <c r="G528">
        <v>42</v>
      </c>
      <c r="H528" t="s">
        <v>13</v>
      </c>
      <c r="I528">
        <v>536.05999999999995</v>
      </c>
    </row>
    <row r="529" spans="1:9" x14ac:dyDescent="0.25">
      <c r="A529">
        <v>927</v>
      </c>
      <c r="B529">
        <v>46</v>
      </c>
      <c r="C529" t="s">
        <v>45</v>
      </c>
      <c r="D529">
        <v>46368</v>
      </c>
      <c r="E529">
        <v>11</v>
      </c>
      <c r="F529">
        <v>7</v>
      </c>
      <c r="G529">
        <v>17</v>
      </c>
      <c r="H529" t="s">
        <v>13</v>
      </c>
      <c r="I529">
        <v>869.05</v>
      </c>
    </row>
    <row r="530" spans="1:9" x14ac:dyDescent="0.25">
      <c r="A530">
        <v>930</v>
      </c>
      <c r="B530">
        <v>42</v>
      </c>
      <c r="C530" t="s">
        <v>45</v>
      </c>
      <c r="D530">
        <v>128064</v>
      </c>
      <c r="E530">
        <v>8</v>
      </c>
      <c r="F530">
        <v>8</v>
      </c>
      <c r="G530">
        <v>44</v>
      </c>
      <c r="H530" t="s">
        <v>16</v>
      </c>
      <c r="I530">
        <v>316.5</v>
      </c>
    </row>
    <row r="531" spans="1:9" x14ac:dyDescent="0.25">
      <c r="A531">
        <v>935</v>
      </c>
      <c r="B531">
        <v>48</v>
      </c>
      <c r="C531" t="s">
        <v>45</v>
      </c>
      <c r="D531">
        <v>129592</v>
      </c>
      <c r="E531">
        <v>2</v>
      </c>
      <c r="F531">
        <v>3</v>
      </c>
      <c r="G531">
        <v>26</v>
      </c>
      <c r="H531" t="s">
        <v>17</v>
      </c>
      <c r="I531">
        <v>748.46</v>
      </c>
    </row>
    <row r="532" spans="1:9" x14ac:dyDescent="0.25">
      <c r="A532">
        <v>938</v>
      </c>
      <c r="B532">
        <v>64</v>
      </c>
      <c r="C532" t="s">
        <v>45</v>
      </c>
      <c r="D532">
        <v>65498</v>
      </c>
      <c r="E532">
        <v>23</v>
      </c>
      <c r="F532">
        <v>5</v>
      </c>
      <c r="G532">
        <v>24</v>
      </c>
      <c r="H532" t="s">
        <v>17</v>
      </c>
      <c r="I532">
        <v>351.94</v>
      </c>
    </row>
    <row r="533" spans="1:9" x14ac:dyDescent="0.25">
      <c r="A533">
        <v>947</v>
      </c>
      <c r="B533">
        <v>60</v>
      </c>
      <c r="C533" t="s">
        <v>45</v>
      </c>
      <c r="D533">
        <v>111493</v>
      </c>
      <c r="E533">
        <v>40</v>
      </c>
      <c r="F533">
        <v>10</v>
      </c>
      <c r="G533">
        <v>8</v>
      </c>
      <c r="H533" t="s">
        <v>16</v>
      </c>
      <c r="I533">
        <v>190.34</v>
      </c>
    </row>
    <row r="534" spans="1:9" x14ac:dyDescent="0.25">
      <c r="A534">
        <v>950</v>
      </c>
      <c r="B534">
        <v>45</v>
      </c>
      <c r="C534" t="s">
        <v>45</v>
      </c>
      <c r="D534">
        <v>114390</v>
      </c>
      <c r="E534">
        <v>38</v>
      </c>
      <c r="F534">
        <v>3</v>
      </c>
      <c r="G534">
        <v>9</v>
      </c>
      <c r="H534" t="s">
        <v>16</v>
      </c>
      <c r="I534">
        <v>663.25</v>
      </c>
    </row>
    <row r="535" spans="1:9" x14ac:dyDescent="0.25">
      <c r="A535">
        <v>956</v>
      </c>
      <c r="B535">
        <v>60</v>
      </c>
      <c r="C535" t="s">
        <v>45</v>
      </c>
      <c r="D535">
        <v>48802</v>
      </c>
      <c r="E535">
        <v>68</v>
      </c>
      <c r="F535">
        <v>1</v>
      </c>
      <c r="G535">
        <v>40</v>
      </c>
      <c r="H535" t="s">
        <v>16</v>
      </c>
      <c r="I535">
        <v>296.76</v>
      </c>
    </row>
    <row r="536" spans="1:9" x14ac:dyDescent="0.25">
      <c r="A536">
        <v>966</v>
      </c>
      <c r="B536">
        <v>58</v>
      </c>
      <c r="C536" t="s">
        <v>45</v>
      </c>
      <c r="D536">
        <v>133888</v>
      </c>
      <c r="E536">
        <v>92</v>
      </c>
      <c r="F536">
        <v>10</v>
      </c>
      <c r="G536">
        <v>14</v>
      </c>
      <c r="H536" t="s">
        <v>13</v>
      </c>
      <c r="I536">
        <v>628.29999999999995</v>
      </c>
    </row>
    <row r="537" spans="1:9" x14ac:dyDescent="0.25">
      <c r="A537">
        <v>982</v>
      </c>
      <c r="B537">
        <v>59</v>
      </c>
      <c r="C537" t="s">
        <v>45</v>
      </c>
      <c r="D537">
        <v>87884</v>
      </c>
      <c r="E537">
        <v>79</v>
      </c>
      <c r="F537">
        <v>9</v>
      </c>
      <c r="G537">
        <v>28</v>
      </c>
      <c r="H537" t="s">
        <v>16</v>
      </c>
      <c r="I537">
        <v>491.55</v>
      </c>
    </row>
    <row r="538" spans="1:9" x14ac:dyDescent="0.25">
      <c r="A538">
        <v>986</v>
      </c>
      <c r="B538">
        <v>66</v>
      </c>
      <c r="C538" t="s">
        <v>45</v>
      </c>
      <c r="D538">
        <v>78149</v>
      </c>
      <c r="E538">
        <v>2</v>
      </c>
      <c r="F538">
        <v>10</v>
      </c>
      <c r="G538">
        <v>9</v>
      </c>
      <c r="H538" t="s">
        <v>13</v>
      </c>
      <c r="I538">
        <v>579.27</v>
      </c>
    </row>
    <row r="539" spans="1:9" x14ac:dyDescent="0.25">
      <c r="A539">
        <v>997</v>
      </c>
      <c r="B539">
        <v>23</v>
      </c>
      <c r="C539" t="s">
        <v>45</v>
      </c>
      <c r="D539">
        <v>65337</v>
      </c>
      <c r="E539">
        <v>76</v>
      </c>
      <c r="F539">
        <v>10</v>
      </c>
      <c r="G539">
        <v>23</v>
      </c>
      <c r="H539" t="s">
        <v>16</v>
      </c>
      <c r="I539">
        <v>632.83000000000004</v>
      </c>
    </row>
    <row r="540" spans="1:9" x14ac:dyDescent="0.25">
      <c r="A540">
        <v>14</v>
      </c>
      <c r="B540">
        <v>64</v>
      </c>
      <c r="C540" t="s">
        <v>45</v>
      </c>
      <c r="D540">
        <v>33018</v>
      </c>
      <c r="E540">
        <v>46</v>
      </c>
      <c r="F540">
        <v>4</v>
      </c>
      <c r="G540">
        <v>3</v>
      </c>
      <c r="H540" t="s">
        <v>15</v>
      </c>
      <c r="I540">
        <v>221.35</v>
      </c>
    </row>
    <row r="541" spans="1:9" x14ac:dyDescent="0.25">
      <c r="A541">
        <v>23</v>
      </c>
      <c r="B541">
        <v>36</v>
      </c>
      <c r="C541" t="s">
        <v>45</v>
      </c>
      <c r="D541">
        <v>85473</v>
      </c>
      <c r="E541">
        <v>68</v>
      </c>
      <c r="F541">
        <v>1</v>
      </c>
      <c r="G541">
        <v>16</v>
      </c>
      <c r="H541" t="s">
        <v>15</v>
      </c>
      <c r="I541">
        <v>806.55</v>
      </c>
    </row>
    <row r="542" spans="1:9" x14ac:dyDescent="0.25">
      <c r="A542">
        <v>35</v>
      </c>
      <c r="B542">
        <v>45</v>
      </c>
      <c r="C542" t="s">
        <v>45</v>
      </c>
      <c r="D542">
        <v>43138</v>
      </c>
      <c r="E542">
        <v>54</v>
      </c>
      <c r="F542">
        <v>10</v>
      </c>
      <c r="G542">
        <v>48</v>
      </c>
      <c r="H542" t="s">
        <v>15</v>
      </c>
      <c r="I542">
        <v>639.22</v>
      </c>
    </row>
    <row r="543" spans="1:9" x14ac:dyDescent="0.25">
      <c r="A543">
        <v>49</v>
      </c>
      <c r="B543">
        <v>19</v>
      </c>
      <c r="C543" t="s">
        <v>45</v>
      </c>
      <c r="D543">
        <v>85309</v>
      </c>
      <c r="E543">
        <v>65</v>
      </c>
      <c r="F543">
        <v>5</v>
      </c>
      <c r="G543">
        <v>10</v>
      </c>
      <c r="H543" t="s">
        <v>15</v>
      </c>
      <c r="I543">
        <v>28.55</v>
      </c>
    </row>
    <row r="544" spans="1:9" x14ac:dyDescent="0.25">
      <c r="A544">
        <v>56</v>
      </c>
      <c r="B544">
        <v>42</v>
      </c>
      <c r="C544" t="s">
        <v>45</v>
      </c>
      <c r="D544">
        <v>73466</v>
      </c>
      <c r="E544">
        <v>50</v>
      </c>
      <c r="F544">
        <v>4</v>
      </c>
      <c r="G544">
        <v>13</v>
      </c>
      <c r="H544" t="s">
        <v>15</v>
      </c>
      <c r="I544">
        <v>903.07</v>
      </c>
    </row>
    <row r="545" spans="1:9" x14ac:dyDescent="0.25">
      <c r="A545">
        <v>65</v>
      </c>
      <c r="B545">
        <v>27</v>
      </c>
      <c r="C545" t="s">
        <v>45</v>
      </c>
      <c r="D545">
        <v>90557</v>
      </c>
      <c r="E545">
        <v>36</v>
      </c>
      <c r="F545">
        <v>2</v>
      </c>
      <c r="G545">
        <v>2</v>
      </c>
      <c r="H545" t="s">
        <v>15</v>
      </c>
      <c r="I545">
        <v>494.55</v>
      </c>
    </row>
    <row r="546" spans="1:9" x14ac:dyDescent="0.25">
      <c r="A546">
        <v>70</v>
      </c>
      <c r="B546">
        <v>49</v>
      </c>
      <c r="C546" t="s">
        <v>45</v>
      </c>
      <c r="D546">
        <v>40936</v>
      </c>
      <c r="E546">
        <v>32</v>
      </c>
      <c r="F546">
        <v>9</v>
      </c>
      <c r="G546">
        <v>49</v>
      </c>
      <c r="H546" t="s">
        <v>15</v>
      </c>
      <c r="I546">
        <v>495.62</v>
      </c>
    </row>
    <row r="547" spans="1:9" x14ac:dyDescent="0.25">
      <c r="A547">
        <v>95</v>
      </c>
      <c r="B547">
        <v>30</v>
      </c>
      <c r="C547" t="s">
        <v>45</v>
      </c>
      <c r="D547">
        <v>75926</v>
      </c>
      <c r="E547">
        <v>97</v>
      </c>
      <c r="F547">
        <v>10</v>
      </c>
      <c r="G547">
        <v>19</v>
      </c>
      <c r="H547" t="s">
        <v>15</v>
      </c>
      <c r="I547">
        <v>670.87</v>
      </c>
    </row>
    <row r="548" spans="1:9" x14ac:dyDescent="0.25">
      <c r="A548">
        <v>99</v>
      </c>
      <c r="B548">
        <v>21</v>
      </c>
      <c r="C548" t="s">
        <v>45</v>
      </c>
      <c r="D548">
        <v>105024</v>
      </c>
      <c r="E548">
        <v>45</v>
      </c>
      <c r="F548">
        <v>3</v>
      </c>
      <c r="G548">
        <v>32</v>
      </c>
      <c r="H548" t="s">
        <v>15</v>
      </c>
      <c r="I548">
        <v>795.84</v>
      </c>
    </row>
    <row r="549" spans="1:9" x14ac:dyDescent="0.25">
      <c r="A549">
        <v>107</v>
      </c>
      <c r="B549">
        <v>19</v>
      </c>
      <c r="C549" t="s">
        <v>45</v>
      </c>
      <c r="D549">
        <v>37993</v>
      </c>
      <c r="E549">
        <v>59</v>
      </c>
      <c r="F549">
        <v>6</v>
      </c>
      <c r="G549">
        <v>30</v>
      </c>
      <c r="H549" t="s">
        <v>15</v>
      </c>
      <c r="I549">
        <v>873.8</v>
      </c>
    </row>
    <row r="550" spans="1:9" x14ac:dyDescent="0.25">
      <c r="A550">
        <v>123</v>
      </c>
      <c r="B550">
        <v>26</v>
      </c>
      <c r="C550" t="s">
        <v>45</v>
      </c>
      <c r="D550">
        <v>55515</v>
      </c>
      <c r="E550">
        <v>29</v>
      </c>
      <c r="F550">
        <v>9</v>
      </c>
      <c r="G550">
        <v>37</v>
      </c>
      <c r="H550" t="s">
        <v>15</v>
      </c>
      <c r="I550">
        <v>50.57</v>
      </c>
    </row>
    <row r="551" spans="1:9" x14ac:dyDescent="0.25">
      <c r="A551">
        <v>129</v>
      </c>
      <c r="B551">
        <v>67</v>
      </c>
      <c r="C551" t="s">
        <v>45</v>
      </c>
      <c r="D551">
        <v>40385</v>
      </c>
      <c r="E551">
        <v>64</v>
      </c>
      <c r="F551">
        <v>1</v>
      </c>
      <c r="G551">
        <v>17</v>
      </c>
      <c r="H551" t="s">
        <v>15</v>
      </c>
      <c r="I551">
        <v>957.06</v>
      </c>
    </row>
    <row r="552" spans="1:9" x14ac:dyDescent="0.25">
      <c r="A552">
        <v>162</v>
      </c>
      <c r="B552">
        <v>64</v>
      </c>
      <c r="C552" t="s">
        <v>45</v>
      </c>
      <c r="D552">
        <v>122472</v>
      </c>
      <c r="E552">
        <v>75</v>
      </c>
      <c r="F552">
        <v>1</v>
      </c>
      <c r="G552">
        <v>17</v>
      </c>
      <c r="H552" t="s">
        <v>15</v>
      </c>
      <c r="I552">
        <v>771.33</v>
      </c>
    </row>
    <row r="553" spans="1:9" x14ac:dyDescent="0.25">
      <c r="A553">
        <v>164</v>
      </c>
      <c r="B553">
        <v>60</v>
      </c>
      <c r="C553" t="s">
        <v>45</v>
      </c>
      <c r="D553">
        <v>98771</v>
      </c>
      <c r="E553">
        <v>37</v>
      </c>
      <c r="F553">
        <v>8</v>
      </c>
      <c r="G553">
        <v>42</v>
      </c>
      <c r="H553" t="s">
        <v>15</v>
      </c>
      <c r="I553">
        <v>520.37</v>
      </c>
    </row>
    <row r="554" spans="1:9" x14ac:dyDescent="0.25">
      <c r="A554">
        <v>236</v>
      </c>
      <c r="B554">
        <v>42</v>
      </c>
      <c r="C554" t="s">
        <v>45</v>
      </c>
      <c r="D554">
        <v>66495</v>
      </c>
      <c r="E554">
        <v>79</v>
      </c>
      <c r="F554">
        <v>9</v>
      </c>
      <c r="G554">
        <v>31</v>
      </c>
      <c r="H554" t="s">
        <v>15</v>
      </c>
      <c r="I554">
        <v>537.66</v>
      </c>
    </row>
    <row r="555" spans="1:9" x14ac:dyDescent="0.25">
      <c r="A555">
        <v>247</v>
      </c>
      <c r="B555">
        <v>54</v>
      </c>
      <c r="C555" t="s">
        <v>45</v>
      </c>
      <c r="D555">
        <v>48896</v>
      </c>
      <c r="E555">
        <v>28</v>
      </c>
      <c r="F555">
        <v>9</v>
      </c>
      <c r="G555">
        <v>25</v>
      </c>
      <c r="H555" t="s">
        <v>15</v>
      </c>
      <c r="I555">
        <v>244.79</v>
      </c>
    </row>
    <row r="556" spans="1:9" x14ac:dyDescent="0.25">
      <c r="A556">
        <v>248</v>
      </c>
      <c r="B556">
        <v>28</v>
      </c>
      <c r="C556" t="s">
        <v>45</v>
      </c>
      <c r="D556">
        <v>48383</v>
      </c>
      <c r="E556">
        <v>57</v>
      </c>
      <c r="F556">
        <v>8</v>
      </c>
      <c r="G556">
        <v>35</v>
      </c>
      <c r="H556" t="s">
        <v>15</v>
      </c>
      <c r="I556">
        <v>17.97</v>
      </c>
    </row>
    <row r="557" spans="1:9" x14ac:dyDescent="0.25">
      <c r="A557">
        <v>261</v>
      </c>
      <c r="B557">
        <v>39</v>
      </c>
      <c r="C557" t="s">
        <v>45</v>
      </c>
      <c r="D557">
        <v>117432</v>
      </c>
      <c r="E557">
        <v>96</v>
      </c>
      <c r="F557">
        <v>7</v>
      </c>
      <c r="G557">
        <v>41</v>
      </c>
      <c r="H557" t="s">
        <v>15</v>
      </c>
      <c r="I557">
        <v>25.44</v>
      </c>
    </row>
    <row r="558" spans="1:9" x14ac:dyDescent="0.25">
      <c r="A558">
        <v>293</v>
      </c>
      <c r="B558">
        <v>45</v>
      </c>
      <c r="C558" t="s">
        <v>45</v>
      </c>
      <c r="D558">
        <v>54819</v>
      </c>
      <c r="E558">
        <v>72</v>
      </c>
      <c r="F558">
        <v>3</v>
      </c>
      <c r="G558">
        <v>47</v>
      </c>
      <c r="H558" t="s">
        <v>15</v>
      </c>
      <c r="I558">
        <v>553.44000000000005</v>
      </c>
    </row>
    <row r="559" spans="1:9" x14ac:dyDescent="0.25">
      <c r="A559">
        <v>296</v>
      </c>
      <c r="B559">
        <v>56</v>
      </c>
      <c r="C559" t="s">
        <v>45</v>
      </c>
      <c r="D559">
        <v>129611</v>
      </c>
      <c r="E559">
        <v>23</v>
      </c>
      <c r="F559">
        <v>3</v>
      </c>
      <c r="G559">
        <v>48</v>
      </c>
      <c r="H559" t="s">
        <v>15</v>
      </c>
      <c r="I559">
        <v>98.85</v>
      </c>
    </row>
    <row r="560" spans="1:9" x14ac:dyDescent="0.25">
      <c r="A560">
        <v>332</v>
      </c>
      <c r="B560">
        <v>38</v>
      </c>
      <c r="C560" t="s">
        <v>45</v>
      </c>
      <c r="D560">
        <v>50518</v>
      </c>
      <c r="E560">
        <v>70</v>
      </c>
      <c r="F560">
        <v>1</v>
      </c>
      <c r="G560">
        <v>38</v>
      </c>
      <c r="H560" t="s">
        <v>15</v>
      </c>
      <c r="I560">
        <v>816.09</v>
      </c>
    </row>
    <row r="561" spans="1:9" x14ac:dyDescent="0.25">
      <c r="A561">
        <v>333</v>
      </c>
      <c r="B561">
        <v>21</v>
      </c>
      <c r="C561" t="s">
        <v>45</v>
      </c>
      <c r="D561">
        <v>126598</v>
      </c>
      <c r="E561">
        <v>14</v>
      </c>
      <c r="F561">
        <v>3</v>
      </c>
      <c r="G561">
        <v>1</v>
      </c>
      <c r="H561" t="s">
        <v>15</v>
      </c>
      <c r="I561">
        <v>505.98</v>
      </c>
    </row>
    <row r="562" spans="1:9" x14ac:dyDescent="0.25">
      <c r="A562">
        <v>354</v>
      </c>
      <c r="B562">
        <v>63</v>
      </c>
      <c r="C562" t="s">
        <v>45</v>
      </c>
      <c r="D562">
        <v>37003</v>
      </c>
      <c r="E562">
        <v>57</v>
      </c>
      <c r="F562">
        <v>4</v>
      </c>
      <c r="G562">
        <v>25</v>
      </c>
      <c r="H562" t="s">
        <v>15</v>
      </c>
      <c r="I562">
        <v>857.68</v>
      </c>
    </row>
    <row r="563" spans="1:9" x14ac:dyDescent="0.25">
      <c r="A563">
        <v>355</v>
      </c>
      <c r="B563">
        <v>38</v>
      </c>
      <c r="C563" t="s">
        <v>45</v>
      </c>
      <c r="D563">
        <v>81837</v>
      </c>
      <c r="E563">
        <v>68</v>
      </c>
      <c r="F563">
        <v>5</v>
      </c>
      <c r="G563">
        <v>6</v>
      </c>
      <c r="H563" t="s">
        <v>15</v>
      </c>
      <c r="I563">
        <v>349.35</v>
      </c>
    </row>
    <row r="564" spans="1:9" x14ac:dyDescent="0.25">
      <c r="A564">
        <v>364</v>
      </c>
      <c r="B564">
        <v>63</v>
      </c>
      <c r="C564" t="s">
        <v>45</v>
      </c>
      <c r="D564">
        <v>145117</v>
      </c>
      <c r="E564">
        <v>66</v>
      </c>
      <c r="F564">
        <v>7</v>
      </c>
      <c r="G564">
        <v>12</v>
      </c>
      <c r="H564" t="s">
        <v>15</v>
      </c>
      <c r="I564">
        <v>971.02</v>
      </c>
    </row>
    <row r="565" spans="1:9" x14ac:dyDescent="0.25">
      <c r="A565">
        <v>369</v>
      </c>
      <c r="B565">
        <v>63</v>
      </c>
      <c r="C565" t="s">
        <v>45</v>
      </c>
      <c r="D565">
        <v>77411</v>
      </c>
      <c r="E565">
        <v>20</v>
      </c>
      <c r="F565">
        <v>2</v>
      </c>
      <c r="G565">
        <v>37</v>
      </c>
      <c r="H565" t="s">
        <v>15</v>
      </c>
      <c r="I565">
        <v>648.38</v>
      </c>
    </row>
    <row r="566" spans="1:9" x14ac:dyDescent="0.25">
      <c r="A566">
        <v>374</v>
      </c>
      <c r="B566">
        <v>64</v>
      </c>
      <c r="C566" t="s">
        <v>45</v>
      </c>
      <c r="D566">
        <v>84380</v>
      </c>
      <c r="E566">
        <v>69</v>
      </c>
      <c r="F566">
        <v>10</v>
      </c>
      <c r="G566">
        <v>28</v>
      </c>
      <c r="H566" t="s">
        <v>15</v>
      </c>
      <c r="I566">
        <v>212.08</v>
      </c>
    </row>
    <row r="567" spans="1:9" x14ac:dyDescent="0.25">
      <c r="A567">
        <v>380</v>
      </c>
      <c r="B567">
        <v>59</v>
      </c>
      <c r="C567" t="s">
        <v>45</v>
      </c>
      <c r="D567">
        <v>140349</v>
      </c>
      <c r="E567">
        <v>75</v>
      </c>
      <c r="F567">
        <v>2</v>
      </c>
      <c r="G567">
        <v>6</v>
      </c>
      <c r="H567" t="s">
        <v>15</v>
      </c>
      <c r="I567">
        <v>383.64</v>
      </c>
    </row>
    <row r="568" spans="1:9" x14ac:dyDescent="0.25">
      <c r="A568">
        <v>389</v>
      </c>
      <c r="B568">
        <v>34</v>
      </c>
      <c r="C568" t="s">
        <v>45</v>
      </c>
      <c r="D568">
        <v>118622</v>
      </c>
      <c r="E568">
        <v>99</v>
      </c>
      <c r="F568">
        <v>4</v>
      </c>
      <c r="G568">
        <v>47</v>
      </c>
      <c r="H568" t="s">
        <v>15</v>
      </c>
      <c r="I568">
        <v>122.21</v>
      </c>
    </row>
    <row r="569" spans="1:9" x14ac:dyDescent="0.25">
      <c r="A569">
        <v>416</v>
      </c>
      <c r="B569">
        <v>38</v>
      </c>
      <c r="C569" t="s">
        <v>45</v>
      </c>
      <c r="D569">
        <v>51327</v>
      </c>
      <c r="E569">
        <v>62</v>
      </c>
      <c r="F569">
        <v>5</v>
      </c>
      <c r="G569">
        <v>24</v>
      </c>
      <c r="H569" t="s">
        <v>15</v>
      </c>
      <c r="I569">
        <v>645.42999999999995</v>
      </c>
    </row>
    <row r="570" spans="1:9" x14ac:dyDescent="0.25">
      <c r="A570">
        <v>436</v>
      </c>
      <c r="B570">
        <v>52</v>
      </c>
      <c r="C570" t="s">
        <v>45</v>
      </c>
      <c r="D570">
        <v>136827</v>
      </c>
      <c r="E570">
        <v>87</v>
      </c>
      <c r="F570">
        <v>5</v>
      </c>
      <c r="G570">
        <v>20</v>
      </c>
      <c r="H570" t="s">
        <v>15</v>
      </c>
      <c r="I570">
        <v>322.29000000000002</v>
      </c>
    </row>
    <row r="571" spans="1:9" x14ac:dyDescent="0.25">
      <c r="A571">
        <v>508</v>
      </c>
      <c r="B571">
        <v>48</v>
      </c>
      <c r="C571" t="s">
        <v>45</v>
      </c>
      <c r="D571">
        <v>72108</v>
      </c>
      <c r="E571">
        <v>85</v>
      </c>
      <c r="F571">
        <v>8</v>
      </c>
      <c r="G571">
        <v>13</v>
      </c>
      <c r="H571" t="s">
        <v>15</v>
      </c>
      <c r="I571">
        <v>486.58</v>
      </c>
    </row>
    <row r="572" spans="1:9" x14ac:dyDescent="0.25">
      <c r="A572">
        <v>509</v>
      </c>
      <c r="B572">
        <v>68</v>
      </c>
      <c r="C572" t="s">
        <v>45</v>
      </c>
      <c r="D572">
        <v>113760</v>
      </c>
      <c r="E572">
        <v>64</v>
      </c>
      <c r="F572">
        <v>2</v>
      </c>
      <c r="G572">
        <v>37</v>
      </c>
      <c r="H572" t="s">
        <v>15</v>
      </c>
      <c r="I572">
        <v>462.62</v>
      </c>
    </row>
    <row r="573" spans="1:9" x14ac:dyDescent="0.25">
      <c r="A573">
        <v>511</v>
      </c>
      <c r="B573">
        <v>24</v>
      </c>
      <c r="C573" t="s">
        <v>45</v>
      </c>
      <c r="D573">
        <v>109039</v>
      </c>
      <c r="E573">
        <v>71</v>
      </c>
      <c r="F573">
        <v>9</v>
      </c>
      <c r="G573">
        <v>41</v>
      </c>
      <c r="H573" t="s">
        <v>15</v>
      </c>
      <c r="I573">
        <v>606.17999999999995</v>
      </c>
    </row>
    <row r="574" spans="1:9" x14ac:dyDescent="0.25">
      <c r="A574">
        <v>533</v>
      </c>
      <c r="B574">
        <v>36</v>
      </c>
      <c r="C574" t="s">
        <v>45</v>
      </c>
      <c r="D574">
        <v>113794</v>
      </c>
      <c r="E574">
        <v>74</v>
      </c>
      <c r="F574">
        <v>1</v>
      </c>
      <c r="G574">
        <v>27</v>
      </c>
      <c r="H574" t="s">
        <v>15</v>
      </c>
      <c r="I574">
        <v>377.75</v>
      </c>
    </row>
    <row r="575" spans="1:9" x14ac:dyDescent="0.25">
      <c r="A575">
        <v>535</v>
      </c>
      <c r="B575">
        <v>46</v>
      </c>
      <c r="C575" t="s">
        <v>45</v>
      </c>
      <c r="D575">
        <v>61090</v>
      </c>
      <c r="E575">
        <v>3</v>
      </c>
      <c r="F575">
        <v>4</v>
      </c>
      <c r="G575">
        <v>3</v>
      </c>
      <c r="H575" t="s">
        <v>15</v>
      </c>
      <c r="I575">
        <v>213.68</v>
      </c>
    </row>
    <row r="576" spans="1:9" x14ac:dyDescent="0.25">
      <c r="A576">
        <v>555</v>
      </c>
      <c r="B576">
        <v>66</v>
      </c>
      <c r="C576" t="s">
        <v>45</v>
      </c>
      <c r="D576">
        <v>53345</v>
      </c>
      <c r="E576">
        <v>100</v>
      </c>
      <c r="F576">
        <v>4</v>
      </c>
      <c r="G576">
        <v>22</v>
      </c>
      <c r="H576" t="s">
        <v>15</v>
      </c>
      <c r="I576">
        <v>221.75</v>
      </c>
    </row>
    <row r="577" spans="1:9" x14ac:dyDescent="0.25">
      <c r="A577">
        <v>594</v>
      </c>
      <c r="B577">
        <v>29</v>
      </c>
      <c r="C577" t="s">
        <v>45</v>
      </c>
      <c r="D577">
        <v>98150</v>
      </c>
      <c r="E577">
        <v>42</v>
      </c>
      <c r="F577">
        <v>9</v>
      </c>
      <c r="G577">
        <v>34</v>
      </c>
      <c r="H577" t="s">
        <v>15</v>
      </c>
      <c r="I577">
        <v>324.11</v>
      </c>
    </row>
    <row r="578" spans="1:9" x14ac:dyDescent="0.25">
      <c r="A578">
        <v>618</v>
      </c>
      <c r="B578">
        <v>53</v>
      </c>
      <c r="C578" t="s">
        <v>45</v>
      </c>
      <c r="D578">
        <v>62024</v>
      </c>
      <c r="E578">
        <v>13</v>
      </c>
      <c r="F578">
        <v>2</v>
      </c>
      <c r="G578">
        <v>39</v>
      </c>
      <c r="H578" t="s">
        <v>15</v>
      </c>
      <c r="I578">
        <v>66.599999999999994</v>
      </c>
    </row>
    <row r="579" spans="1:9" x14ac:dyDescent="0.25">
      <c r="A579">
        <v>620</v>
      </c>
      <c r="B579">
        <v>53</v>
      </c>
      <c r="C579" t="s">
        <v>45</v>
      </c>
      <c r="D579">
        <v>50215</v>
      </c>
      <c r="E579">
        <v>92</v>
      </c>
      <c r="F579">
        <v>6</v>
      </c>
      <c r="G579">
        <v>48</v>
      </c>
      <c r="H579" t="s">
        <v>15</v>
      </c>
      <c r="I579">
        <v>814.52</v>
      </c>
    </row>
    <row r="580" spans="1:9" x14ac:dyDescent="0.25">
      <c r="A580">
        <v>622</v>
      </c>
      <c r="B580">
        <v>33</v>
      </c>
      <c r="C580" t="s">
        <v>45</v>
      </c>
      <c r="D580">
        <v>102269</v>
      </c>
      <c r="E580">
        <v>26</v>
      </c>
      <c r="F580">
        <v>8</v>
      </c>
      <c r="G580">
        <v>47</v>
      </c>
      <c r="H580" t="s">
        <v>15</v>
      </c>
      <c r="I580">
        <v>356.67</v>
      </c>
    </row>
    <row r="581" spans="1:9" x14ac:dyDescent="0.25">
      <c r="A581">
        <v>628</v>
      </c>
      <c r="B581">
        <v>39</v>
      </c>
      <c r="C581" t="s">
        <v>45</v>
      </c>
      <c r="D581">
        <v>108744</v>
      </c>
      <c r="E581">
        <v>63</v>
      </c>
      <c r="F581">
        <v>2</v>
      </c>
      <c r="G581">
        <v>23</v>
      </c>
      <c r="H581" t="s">
        <v>15</v>
      </c>
      <c r="I581">
        <v>411.86</v>
      </c>
    </row>
    <row r="582" spans="1:9" x14ac:dyDescent="0.25">
      <c r="A582">
        <v>641</v>
      </c>
      <c r="B582">
        <v>59</v>
      </c>
      <c r="C582" t="s">
        <v>45</v>
      </c>
      <c r="D582">
        <v>141667</v>
      </c>
      <c r="E582">
        <v>28</v>
      </c>
      <c r="F582">
        <v>4</v>
      </c>
      <c r="G582">
        <v>5</v>
      </c>
      <c r="H582" t="s">
        <v>15</v>
      </c>
      <c r="I582">
        <v>204.25</v>
      </c>
    </row>
    <row r="583" spans="1:9" x14ac:dyDescent="0.25">
      <c r="A583">
        <v>666</v>
      </c>
      <c r="B583">
        <v>31</v>
      </c>
      <c r="C583" t="s">
        <v>45</v>
      </c>
      <c r="D583">
        <v>85972</v>
      </c>
      <c r="E583">
        <v>62</v>
      </c>
      <c r="F583">
        <v>9</v>
      </c>
      <c r="G583">
        <v>25</v>
      </c>
      <c r="H583" t="s">
        <v>15</v>
      </c>
      <c r="I583">
        <v>914.63</v>
      </c>
    </row>
    <row r="584" spans="1:9" x14ac:dyDescent="0.25">
      <c r="A584">
        <v>711</v>
      </c>
      <c r="B584">
        <v>43</v>
      </c>
      <c r="C584" t="s">
        <v>45</v>
      </c>
      <c r="D584">
        <v>51398</v>
      </c>
      <c r="E584">
        <v>12</v>
      </c>
      <c r="F584">
        <v>4</v>
      </c>
      <c r="G584">
        <v>26</v>
      </c>
      <c r="H584" t="s">
        <v>15</v>
      </c>
      <c r="I584">
        <v>117.85</v>
      </c>
    </row>
    <row r="585" spans="1:9" x14ac:dyDescent="0.25">
      <c r="A585">
        <v>724</v>
      </c>
      <c r="B585">
        <v>21</v>
      </c>
      <c r="C585" t="s">
        <v>45</v>
      </c>
      <c r="D585">
        <v>114762</v>
      </c>
      <c r="E585">
        <v>28</v>
      </c>
      <c r="F585">
        <v>3</v>
      </c>
      <c r="G585">
        <v>7</v>
      </c>
      <c r="H585" t="s">
        <v>15</v>
      </c>
      <c r="I585">
        <v>397.54</v>
      </c>
    </row>
    <row r="586" spans="1:9" x14ac:dyDescent="0.25">
      <c r="A586">
        <v>777</v>
      </c>
      <c r="B586">
        <v>19</v>
      </c>
      <c r="C586" t="s">
        <v>45</v>
      </c>
      <c r="D586">
        <v>45781</v>
      </c>
      <c r="E586">
        <v>93</v>
      </c>
      <c r="F586">
        <v>6</v>
      </c>
      <c r="G586">
        <v>43</v>
      </c>
      <c r="H586" t="s">
        <v>15</v>
      </c>
      <c r="I586">
        <v>412.99</v>
      </c>
    </row>
    <row r="587" spans="1:9" x14ac:dyDescent="0.25">
      <c r="A587">
        <v>780</v>
      </c>
      <c r="B587">
        <v>65</v>
      </c>
      <c r="C587" t="s">
        <v>45</v>
      </c>
      <c r="D587">
        <v>80686</v>
      </c>
      <c r="E587">
        <v>2</v>
      </c>
      <c r="F587">
        <v>8</v>
      </c>
      <c r="G587">
        <v>30</v>
      </c>
      <c r="H587" t="s">
        <v>15</v>
      </c>
      <c r="I587">
        <v>491.8</v>
      </c>
    </row>
    <row r="588" spans="1:9" x14ac:dyDescent="0.25">
      <c r="A588">
        <v>792</v>
      </c>
      <c r="B588">
        <v>18</v>
      </c>
      <c r="C588" t="s">
        <v>45</v>
      </c>
      <c r="D588">
        <v>140475</v>
      </c>
      <c r="E588">
        <v>38</v>
      </c>
      <c r="F588">
        <v>8</v>
      </c>
      <c r="G588">
        <v>7</v>
      </c>
      <c r="H588" t="s">
        <v>15</v>
      </c>
      <c r="I588">
        <v>442.42</v>
      </c>
    </row>
    <row r="589" spans="1:9" x14ac:dyDescent="0.25">
      <c r="A589">
        <v>798</v>
      </c>
      <c r="B589">
        <v>68</v>
      </c>
      <c r="C589" t="s">
        <v>45</v>
      </c>
      <c r="D589">
        <v>44597</v>
      </c>
      <c r="E589">
        <v>3</v>
      </c>
      <c r="F589">
        <v>1</v>
      </c>
      <c r="G589">
        <v>36</v>
      </c>
      <c r="H589" t="s">
        <v>15</v>
      </c>
      <c r="I589">
        <v>743.73</v>
      </c>
    </row>
    <row r="590" spans="1:9" x14ac:dyDescent="0.25">
      <c r="A590">
        <v>800</v>
      </c>
      <c r="B590">
        <v>35</v>
      </c>
      <c r="C590" t="s">
        <v>45</v>
      </c>
      <c r="D590">
        <v>114874</v>
      </c>
      <c r="E590">
        <v>40</v>
      </c>
      <c r="F590">
        <v>3</v>
      </c>
      <c r="G590">
        <v>15</v>
      </c>
      <c r="H590" t="s">
        <v>15</v>
      </c>
      <c r="I590">
        <v>333.55</v>
      </c>
    </row>
    <row r="591" spans="1:9" x14ac:dyDescent="0.25">
      <c r="A591">
        <v>801</v>
      </c>
      <c r="B591">
        <v>61</v>
      </c>
      <c r="C591" t="s">
        <v>45</v>
      </c>
      <c r="D591">
        <v>69791</v>
      </c>
      <c r="E591">
        <v>33</v>
      </c>
      <c r="F591">
        <v>8</v>
      </c>
      <c r="G591">
        <v>1</v>
      </c>
      <c r="H591" t="s">
        <v>15</v>
      </c>
      <c r="I591">
        <v>165.39</v>
      </c>
    </row>
    <row r="592" spans="1:9" x14ac:dyDescent="0.25">
      <c r="A592">
        <v>820</v>
      </c>
      <c r="B592">
        <v>52</v>
      </c>
      <c r="C592" t="s">
        <v>45</v>
      </c>
      <c r="D592">
        <v>73723</v>
      </c>
      <c r="E592">
        <v>69</v>
      </c>
      <c r="F592">
        <v>10</v>
      </c>
      <c r="G592">
        <v>19</v>
      </c>
      <c r="H592" t="s">
        <v>15</v>
      </c>
      <c r="I592">
        <v>321.92</v>
      </c>
    </row>
    <row r="593" spans="1:9" x14ac:dyDescent="0.25">
      <c r="A593">
        <v>827</v>
      </c>
      <c r="B593">
        <v>62</v>
      </c>
      <c r="C593" t="s">
        <v>45</v>
      </c>
      <c r="D593">
        <v>88975</v>
      </c>
      <c r="E593">
        <v>58</v>
      </c>
      <c r="F593">
        <v>6</v>
      </c>
      <c r="G593">
        <v>24</v>
      </c>
      <c r="H593" t="s">
        <v>15</v>
      </c>
      <c r="I593">
        <v>921.21</v>
      </c>
    </row>
    <row r="594" spans="1:9" x14ac:dyDescent="0.25">
      <c r="A594">
        <v>867</v>
      </c>
      <c r="B594">
        <v>68</v>
      </c>
      <c r="C594" t="s">
        <v>45</v>
      </c>
      <c r="D594">
        <v>35122</v>
      </c>
      <c r="E594">
        <v>72</v>
      </c>
      <c r="F594">
        <v>6</v>
      </c>
      <c r="G594">
        <v>33</v>
      </c>
      <c r="H594" t="s">
        <v>15</v>
      </c>
      <c r="I594">
        <v>983.84</v>
      </c>
    </row>
    <row r="595" spans="1:9" x14ac:dyDescent="0.25">
      <c r="A595">
        <v>876</v>
      </c>
      <c r="B595">
        <v>60</v>
      </c>
      <c r="C595" t="s">
        <v>45</v>
      </c>
      <c r="D595">
        <v>120195</v>
      </c>
      <c r="E595">
        <v>68</v>
      </c>
      <c r="F595">
        <v>9</v>
      </c>
      <c r="G595">
        <v>26</v>
      </c>
      <c r="H595" t="s">
        <v>15</v>
      </c>
      <c r="I595">
        <v>600.21</v>
      </c>
    </row>
    <row r="596" spans="1:9" x14ac:dyDescent="0.25">
      <c r="A596">
        <v>886</v>
      </c>
      <c r="B596">
        <v>26</v>
      </c>
      <c r="C596" t="s">
        <v>45</v>
      </c>
      <c r="D596">
        <v>113532</v>
      </c>
      <c r="E596">
        <v>70</v>
      </c>
      <c r="F596">
        <v>7</v>
      </c>
      <c r="G596">
        <v>28</v>
      </c>
      <c r="H596" t="s">
        <v>15</v>
      </c>
      <c r="I596">
        <v>679.69</v>
      </c>
    </row>
    <row r="597" spans="1:9" x14ac:dyDescent="0.25">
      <c r="A597">
        <v>889</v>
      </c>
      <c r="B597">
        <v>33</v>
      </c>
      <c r="C597" t="s">
        <v>45</v>
      </c>
      <c r="D597">
        <v>146269</v>
      </c>
      <c r="E597">
        <v>92</v>
      </c>
      <c r="F597">
        <v>6</v>
      </c>
      <c r="G597">
        <v>10</v>
      </c>
      <c r="H597" t="s">
        <v>15</v>
      </c>
      <c r="I597">
        <v>486.86</v>
      </c>
    </row>
    <row r="598" spans="1:9" x14ac:dyDescent="0.25">
      <c r="A598">
        <v>891</v>
      </c>
      <c r="B598">
        <v>22</v>
      </c>
      <c r="C598" t="s">
        <v>45</v>
      </c>
      <c r="D598">
        <v>87909</v>
      </c>
      <c r="E598">
        <v>19</v>
      </c>
      <c r="F598">
        <v>7</v>
      </c>
      <c r="G598">
        <v>39</v>
      </c>
      <c r="H598" t="s">
        <v>15</v>
      </c>
      <c r="I598">
        <v>20.52</v>
      </c>
    </row>
    <row r="599" spans="1:9" x14ac:dyDescent="0.25">
      <c r="A599">
        <v>892</v>
      </c>
      <c r="B599">
        <v>66</v>
      </c>
      <c r="C599" t="s">
        <v>45</v>
      </c>
      <c r="D599">
        <v>40932</v>
      </c>
      <c r="E599">
        <v>5</v>
      </c>
      <c r="F599">
        <v>1</v>
      </c>
      <c r="G599">
        <v>48</v>
      </c>
      <c r="H599" t="s">
        <v>15</v>
      </c>
      <c r="I599">
        <v>546.05999999999995</v>
      </c>
    </row>
    <row r="600" spans="1:9" x14ac:dyDescent="0.25">
      <c r="A600">
        <v>894</v>
      </c>
      <c r="B600">
        <v>63</v>
      </c>
      <c r="C600" t="s">
        <v>45</v>
      </c>
      <c r="D600">
        <v>119492</v>
      </c>
      <c r="E600">
        <v>25</v>
      </c>
      <c r="F600">
        <v>8</v>
      </c>
      <c r="G600">
        <v>40</v>
      </c>
      <c r="H600" t="s">
        <v>15</v>
      </c>
      <c r="I600">
        <v>758.1</v>
      </c>
    </row>
    <row r="601" spans="1:9" x14ac:dyDescent="0.25">
      <c r="A601">
        <v>903</v>
      </c>
      <c r="B601">
        <v>33</v>
      </c>
      <c r="C601" t="s">
        <v>45</v>
      </c>
      <c r="D601">
        <v>106771</v>
      </c>
      <c r="E601">
        <v>23</v>
      </c>
      <c r="F601">
        <v>7</v>
      </c>
      <c r="G601">
        <v>3</v>
      </c>
      <c r="H601" t="s">
        <v>15</v>
      </c>
      <c r="I601">
        <v>609.79999999999995</v>
      </c>
    </row>
    <row r="602" spans="1:9" x14ac:dyDescent="0.25">
      <c r="A602">
        <v>908</v>
      </c>
      <c r="B602">
        <v>59</v>
      </c>
      <c r="C602" t="s">
        <v>45</v>
      </c>
      <c r="D602">
        <v>141567</v>
      </c>
      <c r="E602">
        <v>27</v>
      </c>
      <c r="F602">
        <v>8</v>
      </c>
      <c r="G602">
        <v>30</v>
      </c>
      <c r="H602" t="s">
        <v>15</v>
      </c>
      <c r="I602">
        <v>95.96</v>
      </c>
    </row>
    <row r="603" spans="1:9" x14ac:dyDescent="0.25">
      <c r="A603">
        <v>915</v>
      </c>
      <c r="B603">
        <v>18</v>
      </c>
      <c r="C603" t="s">
        <v>45</v>
      </c>
      <c r="D603">
        <v>69502</v>
      </c>
      <c r="E603">
        <v>83</v>
      </c>
      <c r="F603">
        <v>6</v>
      </c>
      <c r="G603">
        <v>32</v>
      </c>
      <c r="H603" t="s">
        <v>15</v>
      </c>
      <c r="I603">
        <v>236.83</v>
      </c>
    </row>
    <row r="604" spans="1:9" x14ac:dyDescent="0.25">
      <c r="A604">
        <v>932</v>
      </c>
      <c r="B604">
        <v>31</v>
      </c>
      <c r="C604" t="s">
        <v>45</v>
      </c>
      <c r="D604">
        <v>30969</v>
      </c>
      <c r="E604">
        <v>32</v>
      </c>
      <c r="F604">
        <v>9</v>
      </c>
      <c r="G604">
        <v>11</v>
      </c>
      <c r="H604" t="s">
        <v>15</v>
      </c>
      <c r="I604">
        <v>562.47</v>
      </c>
    </row>
    <row r="605" spans="1:9" x14ac:dyDescent="0.25">
      <c r="A605">
        <v>948</v>
      </c>
      <c r="B605">
        <v>21</v>
      </c>
      <c r="C605" t="s">
        <v>45</v>
      </c>
      <c r="D605">
        <v>117520</v>
      </c>
      <c r="E605">
        <v>34</v>
      </c>
      <c r="F605">
        <v>3</v>
      </c>
      <c r="G605">
        <v>32</v>
      </c>
      <c r="H605" t="s">
        <v>15</v>
      </c>
      <c r="I605">
        <v>256.98</v>
      </c>
    </row>
    <row r="606" spans="1:9" x14ac:dyDescent="0.25">
      <c r="A606">
        <v>949</v>
      </c>
      <c r="B606">
        <v>62</v>
      </c>
      <c r="C606" t="s">
        <v>45</v>
      </c>
      <c r="D606">
        <v>128667</v>
      </c>
      <c r="E606">
        <v>37</v>
      </c>
      <c r="F606">
        <v>5</v>
      </c>
      <c r="G606">
        <v>17</v>
      </c>
      <c r="H606" t="s">
        <v>15</v>
      </c>
      <c r="I606">
        <v>150.62</v>
      </c>
    </row>
    <row r="607" spans="1:9" x14ac:dyDescent="0.25">
      <c r="A607">
        <v>964</v>
      </c>
      <c r="B607">
        <v>26</v>
      </c>
      <c r="C607" t="s">
        <v>45</v>
      </c>
      <c r="D607">
        <v>109221</v>
      </c>
      <c r="E607">
        <v>91</v>
      </c>
      <c r="F607">
        <v>2</v>
      </c>
      <c r="G607">
        <v>44</v>
      </c>
      <c r="H607" t="s">
        <v>15</v>
      </c>
      <c r="I607">
        <v>660.05</v>
      </c>
    </row>
    <row r="608" spans="1:9" x14ac:dyDescent="0.25">
      <c r="A608">
        <v>969</v>
      </c>
      <c r="B608">
        <v>61</v>
      </c>
      <c r="C608" t="s">
        <v>45</v>
      </c>
      <c r="D608">
        <v>38209</v>
      </c>
      <c r="E608">
        <v>79</v>
      </c>
      <c r="F608">
        <v>8</v>
      </c>
      <c r="G608">
        <v>40</v>
      </c>
      <c r="H608" t="s">
        <v>15</v>
      </c>
      <c r="I608">
        <v>724.23</v>
      </c>
    </row>
    <row r="609" spans="1:9" x14ac:dyDescent="0.25">
      <c r="A609">
        <v>985</v>
      </c>
      <c r="B609">
        <v>35</v>
      </c>
      <c r="C609" t="s">
        <v>45</v>
      </c>
      <c r="D609">
        <v>82057</v>
      </c>
      <c r="E609">
        <v>66</v>
      </c>
      <c r="F609">
        <v>4</v>
      </c>
      <c r="G609">
        <v>9</v>
      </c>
      <c r="H609" t="s">
        <v>15</v>
      </c>
      <c r="I609">
        <v>683.93</v>
      </c>
    </row>
    <row r="610" spans="1:9" x14ac:dyDescent="0.25">
      <c r="A610">
        <v>991</v>
      </c>
      <c r="B610">
        <v>21</v>
      </c>
      <c r="C610" t="s">
        <v>45</v>
      </c>
      <c r="D610">
        <v>80264</v>
      </c>
      <c r="E610">
        <v>41</v>
      </c>
      <c r="F610">
        <v>4</v>
      </c>
      <c r="G610">
        <v>26</v>
      </c>
      <c r="H610" t="s">
        <v>15</v>
      </c>
      <c r="I610">
        <v>458.93</v>
      </c>
    </row>
    <row r="611" spans="1:9" x14ac:dyDescent="0.25">
      <c r="A611">
        <v>992</v>
      </c>
      <c r="B611">
        <v>53</v>
      </c>
      <c r="C611" t="s">
        <v>45</v>
      </c>
      <c r="D611">
        <v>83578</v>
      </c>
      <c r="E611">
        <v>97</v>
      </c>
      <c r="F611">
        <v>5</v>
      </c>
      <c r="G611">
        <v>50</v>
      </c>
      <c r="H611" t="s">
        <v>15</v>
      </c>
      <c r="I611">
        <v>917.08</v>
      </c>
    </row>
    <row r="612" spans="1:9" x14ac:dyDescent="0.25">
      <c r="A612">
        <v>38</v>
      </c>
      <c r="B612">
        <v>48</v>
      </c>
      <c r="C612" t="s">
        <v>45</v>
      </c>
      <c r="D612">
        <v>81794</v>
      </c>
      <c r="E612">
        <v>89</v>
      </c>
      <c r="F612">
        <v>7</v>
      </c>
      <c r="G612">
        <v>50</v>
      </c>
      <c r="H612" t="s">
        <v>14</v>
      </c>
      <c r="I612">
        <v>967.99</v>
      </c>
    </row>
    <row r="613" spans="1:9" x14ac:dyDescent="0.25">
      <c r="A613">
        <v>57</v>
      </c>
      <c r="B613">
        <v>63</v>
      </c>
      <c r="C613" t="s">
        <v>45</v>
      </c>
      <c r="D613">
        <v>49607</v>
      </c>
      <c r="E613">
        <v>7</v>
      </c>
      <c r="F613">
        <v>9</v>
      </c>
      <c r="G613">
        <v>20</v>
      </c>
      <c r="H613" t="s">
        <v>14</v>
      </c>
      <c r="I613">
        <v>195.34</v>
      </c>
    </row>
    <row r="614" spans="1:9" x14ac:dyDescent="0.25">
      <c r="A614">
        <v>80</v>
      </c>
      <c r="B614">
        <v>68</v>
      </c>
      <c r="C614" t="s">
        <v>45</v>
      </c>
      <c r="D614">
        <v>45092</v>
      </c>
      <c r="E614">
        <v>54</v>
      </c>
      <c r="F614">
        <v>4</v>
      </c>
      <c r="G614">
        <v>40</v>
      </c>
      <c r="H614" t="s">
        <v>14</v>
      </c>
      <c r="I614">
        <v>738.6</v>
      </c>
    </row>
    <row r="615" spans="1:9" x14ac:dyDescent="0.25">
      <c r="A615">
        <v>81</v>
      </c>
      <c r="B615">
        <v>65</v>
      </c>
      <c r="C615" t="s">
        <v>45</v>
      </c>
      <c r="D615">
        <v>117157</v>
      </c>
      <c r="E615">
        <v>90</v>
      </c>
      <c r="F615">
        <v>9</v>
      </c>
      <c r="G615">
        <v>39</v>
      </c>
      <c r="H615" t="s">
        <v>14</v>
      </c>
      <c r="I615">
        <v>812.36</v>
      </c>
    </row>
    <row r="616" spans="1:9" x14ac:dyDescent="0.25">
      <c r="A616">
        <v>97</v>
      </c>
      <c r="B616">
        <v>63</v>
      </c>
      <c r="C616" t="s">
        <v>45</v>
      </c>
      <c r="D616">
        <v>102834</v>
      </c>
      <c r="E616">
        <v>31</v>
      </c>
      <c r="F616">
        <v>7</v>
      </c>
      <c r="G616">
        <v>20</v>
      </c>
      <c r="H616" t="s">
        <v>14</v>
      </c>
      <c r="I616">
        <v>582.57000000000005</v>
      </c>
    </row>
    <row r="617" spans="1:9" x14ac:dyDescent="0.25">
      <c r="A617">
        <v>128</v>
      </c>
      <c r="B617">
        <v>40</v>
      </c>
      <c r="C617" t="s">
        <v>45</v>
      </c>
      <c r="D617">
        <v>81037</v>
      </c>
      <c r="E617">
        <v>70</v>
      </c>
      <c r="F617">
        <v>10</v>
      </c>
      <c r="G617">
        <v>45</v>
      </c>
      <c r="H617" t="s">
        <v>14</v>
      </c>
      <c r="I617">
        <v>370.75</v>
      </c>
    </row>
    <row r="618" spans="1:9" x14ac:dyDescent="0.25">
      <c r="A618">
        <v>141</v>
      </c>
      <c r="B618">
        <v>23</v>
      </c>
      <c r="C618" t="s">
        <v>45</v>
      </c>
      <c r="D618">
        <v>67237</v>
      </c>
      <c r="E618">
        <v>85</v>
      </c>
      <c r="F618">
        <v>9</v>
      </c>
      <c r="G618">
        <v>40</v>
      </c>
      <c r="H618" t="s">
        <v>14</v>
      </c>
      <c r="I618">
        <v>673.02</v>
      </c>
    </row>
    <row r="619" spans="1:9" x14ac:dyDescent="0.25">
      <c r="A619">
        <v>145</v>
      </c>
      <c r="B619">
        <v>44</v>
      </c>
      <c r="C619" t="s">
        <v>45</v>
      </c>
      <c r="D619">
        <v>122987</v>
      </c>
      <c r="E619">
        <v>29</v>
      </c>
      <c r="F619">
        <v>10</v>
      </c>
      <c r="G619">
        <v>25</v>
      </c>
      <c r="H619" t="s">
        <v>14</v>
      </c>
      <c r="I619">
        <v>898.68</v>
      </c>
    </row>
    <row r="620" spans="1:9" x14ac:dyDescent="0.25">
      <c r="A620">
        <v>146</v>
      </c>
      <c r="B620">
        <v>58</v>
      </c>
      <c r="C620" t="s">
        <v>45</v>
      </c>
      <c r="D620">
        <v>90389</v>
      </c>
      <c r="E620">
        <v>17</v>
      </c>
      <c r="F620">
        <v>5</v>
      </c>
      <c r="G620">
        <v>12</v>
      </c>
      <c r="H620" t="s">
        <v>14</v>
      </c>
      <c r="I620">
        <v>855.21</v>
      </c>
    </row>
    <row r="621" spans="1:9" x14ac:dyDescent="0.25">
      <c r="A621">
        <v>151</v>
      </c>
      <c r="B621">
        <v>55</v>
      </c>
      <c r="C621" t="s">
        <v>45</v>
      </c>
      <c r="D621">
        <v>138064</v>
      </c>
      <c r="E621">
        <v>86</v>
      </c>
      <c r="F621">
        <v>5</v>
      </c>
      <c r="G621">
        <v>22</v>
      </c>
      <c r="H621" t="s">
        <v>14</v>
      </c>
      <c r="I621">
        <v>368.75</v>
      </c>
    </row>
    <row r="622" spans="1:9" x14ac:dyDescent="0.25">
      <c r="A622">
        <v>154</v>
      </c>
      <c r="B622">
        <v>30</v>
      </c>
      <c r="C622" t="s">
        <v>45</v>
      </c>
      <c r="D622">
        <v>78653</v>
      </c>
      <c r="E622">
        <v>43</v>
      </c>
      <c r="F622">
        <v>4</v>
      </c>
      <c r="G622">
        <v>2</v>
      </c>
      <c r="H622" t="s">
        <v>14</v>
      </c>
      <c r="I622">
        <v>933.73</v>
      </c>
    </row>
    <row r="623" spans="1:9" x14ac:dyDescent="0.25">
      <c r="A623">
        <v>155</v>
      </c>
      <c r="B623">
        <v>53</v>
      </c>
      <c r="C623" t="s">
        <v>45</v>
      </c>
      <c r="D623">
        <v>146312</v>
      </c>
      <c r="E623">
        <v>58</v>
      </c>
      <c r="F623">
        <v>2</v>
      </c>
      <c r="G623">
        <v>32</v>
      </c>
      <c r="H623" t="s">
        <v>14</v>
      </c>
      <c r="I623">
        <v>880.78</v>
      </c>
    </row>
    <row r="624" spans="1:9" x14ac:dyDescent="0.25">
      <c r="A624">
        <v>177</v>
      </c>
      <c r="B624">
        <v>65</v>
      </c>
      <c r="C624" t="s">
        <v>45</v>
      </c>
      <c r="D624">
        <v>123680</v>
      </c>
      <c r="E624">
        <v>30</v>
      </c>
      <c r="F624">
        <v>2</v>
      </c>
      <c r="G624">
        <v>35</v>
      </c>
      <c r="H624" t="s">
        <v>14</v>
      </c>
      <c r="I624">
        <v>218.74</v>
      </c>
    </row>
    <row r="625" spans="1:9" x14ac:dyDescent="0.25">
      <c r="A625">
        <v>190</v>
      </c>
      <c r="B625">
        <v>41</v>
      </c>
      <c r="C625" t="s">
        <v>45</v>
      </c>
      <c r="D625">
        <v>59408</v>
      </c>
      <c r="E625">
        <v>68</v>
      </c>
      <c r="F625">
        <v>1</v>
      </c>
      <c r="G625">
        <v>16</v>
      </c>
      <c r="H625" t="s">
        <v>14</v>
      </c>
      <c r="I625">
        <v>504.16</v>
      </c>
    </row>
    <row r="626" spans="1:9" x14ac:dyDescent="0.25">
      <c r="A626">
        <v>192</v>
      </c>
      <c r="B626">
        <v>63</v>
      </c>
      <c r="C626" t="s">
        <v>45</v>
      </c>
      <c r="D626">
        <v>109506</v>
      </c>
      <c r="E626">
        <v>48</v>
      </c>
      <c r="F626">
        <v>10</v>
      </c>
      <c r="G626">
        <v>50</v>
      </c>
      <c r="H626" t="s">
        <v>14</v>
      </c>
      <c r="I626">
        <v>26.85</v>
      </c>
    </row>
    <row r="627" spans="1:9" x14ac:dyDescent="0.25">
      <c r="A627">
        <v>195</v>
      </c>
      <c r="B627">
        <v>67</v>
      </c>
      <c r="C627" t="s">
        <v>45</v>
      </c>
      <c r="D627">
        <v>31806</v>
      </c>
      <c r="E627">
        <v>79</v>
      </c>
      <c r="F627">
        <v>8</v>
      </c>
      <c r="G627">
        <v>13</v>
      </c>
      <c r="H627" t="s">
        <v>14</v>
      </c>
      <c r="I627">
        <v>261.07</v>
      </c>
    </row>
    <row r="628" spans="1:9" x14ac:dyDescent="0.25">
      <c r="A628">
        <v>210</v>
      </c>
      <c r="B628">
        <v>47</v>
      </c>
      <c r="C628" t="s">
        <v>45</v>
      </c>
      <c r="D628">
        <v>93783</v>
      </c>
      <c r="E628">
        <v>24</v>
      </c>
      <c r="F628">
        <v>10</v>
      </c>
      <c r="G628">
        <v>3</v>
      </c>
      <c r="H628" t="s">
        <v>14</v>
      </c>
      <c r="I628">
        <v>406.56</v>
      </c>
    </row>
    <row r="629" spans="1:9" x14ac:dyDescent="0.25">
      <c r="A629">
        <v>215</v>
      </c>
      <c r="B629">
        <v>69</v>
      </c>
      <c r="C629" t="s">
        <v>45</v>
      </c>
      <c r="D629">
        <v>127086</v>
      </c>
      <c r="E629">
        <v>93</v>
      </c>
      <c r="F629">
        <v>4</v>
      </c>
      <c r="G629">
        <v>45</v>
      </c>
      <c r="H629" t="s">
        <v>14</v>
      </c>
      <c r="I629">
        <v>339.9</v>
      </c>
    </row>
    <row r="630" spans="1:9" x14ac:dyDescent="0.25">
      <c r="A630">
        <v>216</v>
      </c>
      <c r="B630">
        <v>26</v>
      </c>
      <c r="C630" t="s">
        <v>45</v>
      </c>
      <c r="D630">
        <v>133538</v>
      </c>
      <c r="E630">
        <v>27</v>
      </c>
      <c r="F630">
        <v>5</v>
      </c>
      <c r="G630">
        <v>46</v>
      </c>
      <c r="H630" t="s">
        <v>14</v>
      </c>
      <c r="I630">
        <v>761.08</v>
      </c>
    </row>
    <row r="631" spans="1:9" x14ac:dyDescent="0.25">
      <c r="A631">
        <v>237</v>
      </c>
      <c r="B631">
        <v>62</v>
      </c>
      <c r="C631" t="s">
        <v>45</v>
      </c>
      <c r="D631">
        <v>52480</v>
      </c>
      <c r="E631">
        <v>22</v>
      </c>
      <c r="F631">
        <v>3</v>
      </c>
      <c r="G631">
        <v>14</v>
      </c>
      <c r="H631" t="s">
        <v>14</v>
      </c>
      <c r="I631">
        <v>821.42</v>
      </c>
    </row>
    <row r="632" spans="1:9" x14ac:dyDescent="0.25">
      <c r="A632">
        <v>243</v>
      </c>
      <c r="B632">
        <v>25</v>
      </c>
      <c r="C632" t="s">
        <v>45</v>
      </c>
      <c r="D632">
        <v>109583</v>
      </c>
      <c r="E632">
        <v>6</v>
      </c>
      <c r="F632">
        <v>4</v>
      </c>
      <c r="G632">
        <v>30</v>
      </c>
      <c r="H632" t="s">
        <v>14</v>
      </c>
      <c r="I632">
        <v>923.64</v>
      </c>
    </row>
    <row r="633" spans="1:9" x14ac:dyDescent="0.25">
      <c r="A633">
        <v>258</v>
      </c>
      <c r="B633">
        <v>37</v>
      </c>
      <c r="C633" t="s">
        <v>45</v>
      </c>
      <c r="D633">
        <v>86856</v>
      </c>
      <c r="E633">
        <v>74</v>
      </c>
      <c r="F633">
        <v>3</v>
      </c>
      <c r="G633">
        <v>10</v>
      </c>
      <c r="H633" t="s">
        <v>14</v>
      </c>
      <c r="I633">
        <v>624.29</v>
      </c>
    </row>
    <row r="634" spans="1:9" x14ac:dyDescent="0.25">
      <c r="A634">
        <v>262</v>
      </c>
      <c r="B634">
        <v>60</v>
      </c>
      <c r="C634" t="s">
        <v>45</v>
      </c>
      <c r="D634">
        <v>45827</v>
      </c>
      <c r="E634">
        <v>18</v>
      </c>
      <c r="F634">
        <v>2</v>
      </c>
      <c r="G634">
        <v>47</v>
      </c>
      <c r="H634" t="s">
        <v>14</v>
      </c>
      <c r="I634">
        <v>599.66</v>
      </c>
    </row>
    <row r="635" spans="1:9" x14ac:dyDescent="0.25">
      <c r="A635">
        <v>263</v>
      </c>
      <c r="B635">
        <v>64</v>
      </c>
      <c r="C635" t="s">
        <v>45</v>
      </c>
      <c r="D635">
        <v>115366</v>
      </c>
      <c r="E635">
        <v>68</v>
      </c>
      <c r="F635">
        <v>9</v>
      </c>
      <c r="G635">
        <v>28</v>
      </c>
      <c r="H635" t="s">
        <v>14</v>
      </c>
      <c r="I635">
        <v>934.88</v>
      </c>
    </row>
    <row r="636" spans="1:9" x14ac:dyDescent="0.25">
      <c r="A636">
        <v>279</v>
      </c>
      <c r="B636">
        <v>47</v>
      </c>
      <c r="C636" t="s">
        <v>45</v>
      </c>
      <c r="D636">
        <v>95656</v>
      </c>
      <c r="E636">
        <v>63</v>
      </c>
      <c r="F636">
        <v>2</v>
      </c>
      <c r="G636">
        <v>30</v>
      </c>
      <c r="H636" t="s">
        <v>14</v>
      </c>
      <c r="I636">
        <v>634.19000000000005</v>
      </c>
    </row>
    <row r="637" spans="1:9" x14ac:dyDescent="0.25">
      <c r="A637">
        <v>295</v>
      </c>
      <c r="B637">
        <v>18</v>
      </c>
      <c r="C637" t="s">
        <v>45</v>
      </c>
      <c r="D637">
        <v>135713</v>
      </c>
      <c r="E637">
        <v>79</v>
      </c>
      <c r="F637">
        <v>7</v>
      </c>
      <c r="G637">
        <v>18</v>
      </c>
      <c r="H637" t="s">
        <v>14</v>
      </c>
      <c r="I637">
        <v>871.12</v>
      </c>
    </row>
    <row r="638" spans="1:9" x14ac:dyDescent="0.25">
      <c r="A638">
        <v>313</v>
      </c>
      <c r="B638">
        <v>69</v>
      </c>
      <c r="C638" t="s">
        <v>45</v>
      </c>
      <c r="D638">
        <v>35218</v>
      </c>
      <c r="E638">
        <v>47</v>
      </c>
      <c r="F638">
        <v>4</v>
      </c>
      <c r="G638">
        <v>33</v>
      </c>
      <c r="H638" t="s">
        <v>14</v>
      </c>
      <c r="I638">
        <v>315.49</v>
      </c>
    </row>
    <row r="639" spans="1:9" x14ac:dyDescent="0.25">
      <c r="A639">
        <v>317</v>
      </c>
      <c r="B639">
        <v>18</v>
      </c>
      <c r="C639" t="s">
        <v>45</v>
      </c>
      <c r="D639">
        <v>92363</v>
      </c>
      <c r="E639">
        <v>84</v>
      </c>
      <c r="F639">
        <v>1</v>
      </c>
      <c r="G639">
        <v>10</v>
      </c>
      <c r="H639" t="s">
        <v>14</v>
      </c>
      <c r="I639">
        <v>539.74</v>
      </c>
    </row>
    <row r="640" spans="1:9" x14ac:dyDescent="0.25">
      <c r="A640">
        <v>318</v>
      </c>
      <c r="B640">
        <v>23</v>
      </c>
      <c r="C640" t="s">
        <v>45</v>
      </c>
      <c r="D640">
        <v>84664</v>
      </c>
      <c r="E640">
        <v>45</v>
      </c>
      <c r="F640">
        <v>5</v>
      </c>
      <c r="G640">
        <v>12</v>
      </c>
      <c r="H640" t="s">
        <v>14</v>
      </c>
      <c r="I640">
        <v>592.72</v>
      </c>
    </row>
    <row r="641" spans="1:9" x14ac:dyDescent="0.25">
      <c r="A641">
        <v>341</v>
      </c>
      <c r="B641">
        <v>31</v>
      </c>
      <c r="C641" t="s">
        <v>45</v>
      </c>
      <c r="D641">
        <v>35406</v>
      </c>
      <c r="E641">
        <v>45</v>
      </c>
      <c r="F641">
        <v>10</v>
      </c>
      <c r="G641">
        <v>9</v>
      </c>
      <c r="H641" t="s">
        <v>14</v>
      </c>
      <c r="I641">
        <v>637.02</v>
      </c>
    </row>
    <row r="642" spans="1:9" x14ac:dyDescent="0.25">
      <c r="A642">
        <v>373</v>
      </c>
      <c r="B642">
        <v>30</v>
      </c>
      <c r="C642" t="s">
        <v>45</v>
      </c>
      <c r="D642">
        <v>80320</v>
      </c>
      <c r="E642">
        <v>91</v>
      </c>
      <c r="F642">
        <v>1</v>
      </c>
      <c r="G642">
        <v>31</v>
      </c>
      <c r="H642" t="s">
        <v>14</v>
      </c>
      <c r="I642">
        <v>930.97</v>
      </c>
    </row>
    <row r="643" spans="1:9" x14ac:dyDescent="0.25">
      <c r="A643">
        <v>382</v>
      </c>
      <c r="B643">
        <v>68</v>
      </c>
      <c r="C643" t="s">
        <v>45</v>
      </c>
      <c r="D643">
        <v>93926</v>
      </c>
      <c r="E643">
        <v>45</v>
      </c>
      <c r="F643">
        <v>5</v>
      </c>
      <c r="G643">
        <v>22</v>
      </c>
      <c r="H643" t="s">
        <v>14</v>
      </c>
      <c r="I643">
        <v>19.14</v>
      </c>
    </row>
    <row r="644" spans="1:9" x14ac:dyDescent="0.25">
      <c r="A644">
        <v>397</v>
      </c>
      <c r="B644">
        <v>23</v>
      </c>
      <c r="C644" t="s">
        <v>45</v>
      </c>
      <c r="D644">
        <v>37713</v>
      </c>
      <c r="E644">
        <v>11</v>
      </c>
      <c r="F644">
        <v>8</v>
      </c>
      <c r="G644">
        <v>31</v>
      </c>
      <c r="H644" t="s">
        <v>14</v>
      </c>
      <c r="I644">
        <v>481.24</v>
      </c>
    </row>
    <row r="645" spans="1:9" x14ac:dyDescent="0.25">
      <c r="A645">
        <v>401</v>
      </c>
      <c r="B645">
        <v>32</v>
      </c>
      <c r="C645" t="s">
        <v>45</v>
      </c>
      <c r="D645">
        <v>86268</v>
      </c>
      <c r="E645">
        <v>96</v>
      </c>
      <c r="F645">
        <v>3</v>
      </c>
      <c r="G645">
        <v>21</v>
      </c>
      <c r="H645" t="s">
        <v>14</v>
      </c>
      <c r="I645">
        <v>643.36</v>
      </c>
    </row>
    <row r="646" spans="1:9" x14ac:dyDescent="0.25">
      <c r="A646">
        <v>426</v>
      </c>
      <c r="B646">
        <v>40</v>
      </c>
      <c r="C646" t="s">
        <v>45</v>
      </c>
      <c r="D646">
        <v>142251</v>
      </c>
      <c r="E646">
        <v>90</v>
      </c>
      <c r="F646">
        <v>10</v>
      </c>
      <c r="G646">
        <v>14</v>
      </c>
      <c r="H646" t="s">
        <v>14</v>
      </c>
      <c r="I646">
        <v>866.52</v>
      </c>
    </row>
    <row r="647" spans="1:9" x14ac:dyDescent="0.25">
      <c r="A647">
        <v>443</v>
      </c>
      <c r="B647">
        <v>47</v>
      </c>
      <c r="C647" t="s">
        <v>45</v>
      </c>
      <c r="D647">
        <v>138199</v>
      </c>
      <c r="E647">
        <v>79</v>
      </c>
      <c r="F647">
        <v>10</v>
      </c>
      <c r="G647">
        <v>43</v>
      </c>
      <c r="H647" t="s">
        <v>14</v>
      </c>
      <c r="I647">
        <v>171.38</v>
      </c>
    </row>
    <row r="648" spans="1:9" x14ac:dyDescent="0.25">
      <c r="A648">
        <v>455</v>
      </c>
      <c r="B648">
        <v>28</v>
      </c>
      <c r="C648" t="s">
        <v>45</v>
      </c>
      <c r="D648">
        <v>126571</v>
      </c>
      <c r="E648">
        <v>82</v>
      </c>
      <c r="F648">
        <v>10</v>
      </c>
      <c r="G648">
        <v>8</v>
      </c>
      <c r="H648" t="s">
        <v>14</v>
      </c>
      <c r="I648">
        <v>26.12</v>
      </c>
    </row>
    <row r="649" spans="1:9" x14ac:dyDescent="0.25">
      <c r="A649">
        <v>457</v>
      </c>
      <c r="B649">
        <v>30</v>
      </c>
      <c r="C649" t="s">
        <v>45</v>
      </c>
      <c r="D649">
        <v>120083</v>
      </c>
      <c r="E649">
        <v>47</v>
      </c>
      <c r="F649">
        <v>1</v>
      </c>
      <c r="G649">
        <v>49</v>
      </c>
      <c r="H649" t="s">
        <v>14</v>
      </c>
      <c r="I649">
        <v>443.12</v>
      </c>
    </row>
    <row r="650" spans="1:9" x14ac:dyDescent="0.25">
      <c r="A650">
        <v>472</v>
      </c>
      <c r="B650">
        <v>35</v>
      </c>
      <c r="C650" t="s">
        <v>45</v>
      </c>
      <c r="D650">
        <v>42390</v>
      </c>
      <c r="E650">
        <v>27</v>
      </c>
      <c r="F650">
        <v>3</v>
      </c>
      <c r="G650">
        <v>41</v>
      </c>
      <c r="H650" t="s">
        <v>14</v>
      </c>
      <c r="I650">
        <v>781.31</v>
      </c>
    </row>
    <row r="651" spans="1:9" x14ac:dyDescent="0.25">
      <c r="A651">
        <v>504</v>
      </c>
      <c r="B651">
        <v>18</v>
      </c>
      <c r="C651" t="s">
        <v>45</v>
      </c>
      <c r="D651">
        <v>142641</v>
      </c>
      <c r="E651">
        <v>40</v>
      </c>
      <c r="F651">
        <v>7</v>
      </c>
      <c r="G651">
        <v>31</v>
      </c>
      <c r="H651" t="s">
        <v>14</v>
      </c>
      <c r="I651">
        <v>240.64</v>
      </c>
    </row>
    <row r="652" spans="1:9" x14ac:dyDescent="0.25">
      <c r="A652">
        <v>516</v>
      </c>
      <c r="B652">
        <v>32</v>
      </c>
      <c r="C652" t="s">
        <v>45</v>
      </c>
      <c r="D652">
        <v>137280</v>
      </c>
      <c r="E652">
        <v>95</v>
      </c>
      <c r="F652">
        <v>6</v>
      </c>
      <c r="G652">
        <v>3</v>
      </c>
      <c r="H652" t="s">
        <v>14</v>
      </c>
      <c r="I652">
        <v>31.72</v>
      </c>
    </row>
    <row r="653" spans="1:9" x14ac:dyDescent="0.25">
      <c r="A653">
        <v>524</v>
      </c>
      <c r="B653">
        <v>47</v>
      </c>
      <c r="C653" t="s">
        <v>45</v>
      </c>
      <c r="D653">
        <v>100338</v>
      </c>
      <c r="E653">
        <v>13</v>
      </c>
      <c r="F653">
        <v>9</v>
      </c>
      <c r="G653">
        <v>40</v>
      </c>
      <c r="H653" t="s">
        <v>14</v>
      </c>
      <c r="I653">
        <v>48.65</v>
      </c>
    </row>
    <row r="654" spans="1:9" x14ac:dyDescent="0.25">
      <c r="A654">
        <v>547</v>
      </c>
      <c r="B654">
        <v>60</v>
      </c>
      <c r="C654" t="s">
        <v>45</v>
      </c>
      <c r="D654">
        <v>108533</v>
      </c>
      <c r="E654">
        <v>23</v>
      </c>
      <c r="F654">
        <v>9</v>
      </c>
      <c r="G654">
        <v>24</v>
      </c>
      <c r="H654" t="s">
        <v>14</v>
      </c>
      <c r="I654">
        <v>506.98</v>
      </c>
    </row>
    <row r="655" spans="1:9" x14ac:dyDescent="0.25">
      <c r="A655">
        <v>564</v>
      </c>
      <c r="B655">
        <v>56</v>
      </c>
      <c r="C655" t="s">
        <v>45</v>
      </c>
      <c r="D655">
        <v>134923</v>
      </c>
      <c r="E655">
        <v>18</v>
      </c>
      <c r="F655">
        <v>3</v>
      </c>
      <c r="G655">
        <v>31</v>
      </c>
      <c r="H655" t="s">
        <v>14</v>
      </c>
      <c r="I655">
        <v>515.16</v>
      </c>
    </row>
    <row r="656" spans="1:9" x14ac:dyDescent="0.25">
      <c r="A656">
        <v>565</v>
      </c>
      <c r="B656">
        <v>68</v>
      </c>
      <c r="C656" t="s">
        <v>45</v>
      </c>
      <c r="D656">
        <v>106635</v>
      </c>
      <c r="E656">
        <v>85</v>
      </c>
      <c r="F656">
        <v>10</v>
      </c>
      <c r="G656">
        <v>30</v>
      </c>
      <c r="H656" t="s">
        <v>14</v>
      </c>
      <c r="I656">
        <v>854.95</v>
      </c>
    </row>
    <row r="657" spans="1:9" x14ac:dyDescent="0.25">
      <c r="A657">
        <v>567</v>
      </c>
      <c r="B657">
        <v>22</v>
      </c>
      <c r="C657" t="s">
        <v>45</v>
      </c>
      <c r="D657">
        <v>92601</v>
      </c>
      <c r="E657">
        <v>75</v>
      </c>
      <c r="F657">
        <v>7</v>
      </c>
      <c r="G657">
        <v>49</v>
      </c>
      <c r="H657" t="s">
        <v>14</v>
      </c>
      <c r="I657">
        <v>120.76</v>
      </c>
    </row>
    <row r="658" spans="1:9" x14ac:dyDescent="0.25">
      <c r="A658">
        <v>586</v>
      </c>
      <c r="B658">
        <v>62</v>
      </c>
      <c r="C658" t="s">
        <v>45</v>
      </c>
      <c r="D658">
        <v>147903</v>
      </c>
      <c r="E658">
        <v>79</v>
      </c>
      <c r="F658">
        <v>5</v>
      </c>
      <c r="G658">
        <v>22</v>
      </c>
      <c r="H658" t="s">
        <v>14</v>
      </c>
      <c r="I658">
        <v>203.15</v>
      </c>
    </row>
    <row r="659" spans="1:9" x14ac:dyDescent="0.25">
      <c r="A659">
        <v>598</v>
      </c>
      <c r="B659">
        <v>56</v>
      </c>
      <c r="C659" t="s">
        <v>45</v>
      </c>
      <c r="D659">
        <v>55695</v>
      </c>
      <c r="E659">
        <v>58</v>
      </c>
      <c r="F659">
        <v>7</v>
      </c>
      <c r="G659">
        <v>30</v>
      </c>
      <c r="H659" t="s">
        <v>14</v>
      </c>
      <c r="I659">
        <v>435.76</v>
      </c>
    </row>
    <row r="660" spans="1:9" x14ac:dyDescent="0.25">
      <c r="A660">
        <v>609</v>
      </c>
      <c r="B660">
        <v>53</v>
      </c>
      <c r="C660" t="s">
        <v>45</v>
      </c>
      <c r="D660">
        <v>96499</v>
      </c>
      <c r="E660">
        <v>29</v>
      </c>
      <c r="F660">
        <v>4</v>
      </c>
      <c r="G660">
        <v>5</v>
      </c>
      <c r="H660" t="s">
        <v>14</v>
      </c>
      <c r="I660">
        <v>744.11</v>
      </c>
    </row>
    <row r="661" spans="1:9" x14ac:dyDescent="0.25">
      <c r="A661">
        <v>634</v>
      </c>
      <c r="B661">
        <v>51</v>
      </c>
      <c r="C661" t="s">
        <v>45</v>
      </c>
      <c r="D661">
        <v>143678</v>
      </c>
      <c r="E661">
        <v>50</v>
      </c>
      <c r="F661">
        <v>8</v>
      </c>
      <c r="G661">
        <v>23</v>
      </c>
      <c r="H661" t="s">
        <v>14</v>
      </c>
      <c r="I661">
        <v>916.04</v>
      </c>
    </row>
    <row r="662" spans="1:9" x14ac:dyDescent="0.25">
      <c r="A662">
        <v>647</v>
      </c>
      <c r="B662">
        <v>24</v>
      </c>
      <c r="C662" t="s">
        <v>45</v>
      </c>
      <c r="D662">
        <v>122371</v>
      </c>
      <c r="E662">
        <v>11</v>
      </c>
      <c r="F662">
        <v>2</v>
      </c>
      <c r="G662">
        <v>4</v>
      </c>
      <c r="H662" t="s">
        <v>14</v>
      </c>
      <c r="I662">
        <v>838.19</v>
      </c>
    </row>
    <row r="663" spans="1:9" x14ac:dyDescent="0.25">
      <c r="A663">
        <v>652</v>
      </c>
      <c r="B663">
        <v>32</v>
      </c>
      <c r="C663" t="s">
        <v>45</v>
      </c>
      <c r="D663">
        <v>95862</v>
      </c>
      <c r="E663">
        <v>34</v>
      </c>
      <c r="F663">
        <v>6</v>
      </c>
      <c r="G663">
        <v>41</v>
      </c>
      <c r="H663" t="s">
        <v>14</v>
      </c>
      <c r="I663">
        <v>65.150000000000006</v>
      </c>
    </row>
    <row r="664" spans="1:9" x14ac:dyDescent="0.25">
      <c r="A664">
        <v>674</v>
      </c>
      <c r="B664">
        <v>32</v>
      </c>
      <c r="C664" t="s">
        <v>45</v>
      </c>
      <c r="D664">
        <v>41072</v>
      </c>
      <c r="E664">
        <v>14</v>
      </c>
      <c r="F664">
        <v>5</v>
      </c>
      <c r="G664">
        <v>39</v>
      </c>
      <c r="H664" t="s">
        <v>14</v>
      </c>
      <c r="I664">
        <v>981.04</v>
      </c>
    </row>
    <row r="665" spans="1:9" x14ac:dyDescent="0.25">
      <c r="A665">
        <v>681</v>
      </c>
      <c r="B665">
        <v>49</v>
      </c>
      <c r="C665" t="s">
        <v>45</v>
      </c>
      <c r="D665">
        <v>115974</v>
      </c>
      <c r="E665">
        <v>95</v>
      </c>
      <c r="F665">
        <v>8</v>
      </c>
      <c r="G665">
        <v>22</v>
      </c>
      <c r="H665" t="s">
        <v>14</v>
      </c>
      <c r="I665">
        <v>143</v>
      </c>
    </row>
    <row r="666" spans="1:9" x14ac:dyDescent="0.25">
      <c r="A666">
        <v>698</v>
      </c>
      <c r="B666">
        <v>33</v>
      </c>
      <c r="C666" t="s">
        <v>45</v>
      </c>
      <c r="D666">
        <v>36577</v>
      </c>
      <c r="E666">
        <v>28</v>
      </c>
      <c r="F666">
        <v>4</v>
      </c>
      <c r="G666">
        <v>1</v>
      </c>
      <c r="H666" t="s">
        <v>14</v>
      </c>
      <c r="I666">
        <v>612.54</v>
      </c>
    </row>
    <row r="667" spans="1:9" x14ac:dyDescent="0.25">
      <c r="A667">
        <v>715</v>
      </c>
      <c r="B667">
        <v>43</v>
      </c>
      <c r="C667" t="s">
        <v>45</v>
      </c>
      <c r="D667">
        <v>67912</v>
      </c>
      <c r="E667">
        <v>71</v>
      </c>
      <c r="F667">
        <v>10</v>
      </c>
      <c r="G667">
        <v>35</v>
      </c>
      <c r="H667" t="s">
        <v>14</v>
      </c>
      <c r="I667">
        <v>698.03</v>
      </c>
    </row>
    <row r="668" spans="1:9" x14ac:dyDescent="0.25">
      <c r="A668">
        <v>720</v>
      </c>
      <c r="B668">
        <v>69</v>
      </c>
      <c r="C668" t="s">
        <v>45</v>
      </c>
      <c r="D668">
        <v>72651</v>
      </c>
      <c r="E668">
        <v>58</v>
      </c>
      <c r="F668">
        <v>5</v>
      </c>
      <c r="G668">
        <v>30</v>
      </c>
      <c r="H668" t="s">
        <v>14</v>
      </c>
      <c r="I668">
        <v>103.11</v>
      </c>
    </row>
    <row r="669" spans="1:9" x14ac:dyDescent="0.25">
      <c r="A669">
        <v>732</v>
      </c>
      <c r="B669">
        <v>29</v>
      </c>
      <c r="C669" t="s">
        <v>45</v>
      </c>
      <c r="D669">
        <v>66264</v>
      </c>
      <c r="E669">
        <v>85</v>
      </c>
      <c r="F669">
        <v>2</v>
      </c>
      <c r="G669">
        <v>8</v>
      </c>
      <c r="H669" t="s">
        <v>14</v>
      </c>
      <c r="I669">
        <v>743.3</v>
      </c>
    </row>
    <row r="670" spans="1:9" x14ac:dyDescent="0.25">
      <c r="A670">
        <v>734</v>
      </c>
      <c r="B670">
        <v>23</v>
      </c>
      <c r="C670" t="s">
        <v>45</v>
      </c>
      <c r="D670">
        <v>66886</v>
      </c>
      <c r="E670">
        <v>7</v>
      </c>
      <c r="F670">
        <v>6</v>
      </c>
      <c r="G670">
        <v>40</v>
      </c>
      <c r="H670" t="s">
        <v>14</v>
      </c>
      <c r="I670">
        <v>322.64</v>
      </c>
    </row>
    <row r="671" spans="1:9" x14ac:dyDescent="0.25">
      <c r="A671">
        <v>750</v>
      </c>
      <c r="B671">
        <v>41</v>
      </c>
      <c r="C671" t="s">
        <v>45</v>
      </c>
      <c r="D671">
        <v>74985</v>
      </c>
      <c r="E671">
        <v>68</v>
      </c>
      <c r="F671">
        <v>8</v>
      </c>
      <c r="G671">
        <v>21</v>
      </c>
      <c r="H671" t="s">
        <v>14</v>
      </c>
      <c r="I671">
        <v>123.96</v>
      </c>
    </row>
    <row r="672" spans="1:9" x14ac:dyDescent="0.25">
      <c r="A672">
        <v>753</v>
      </c>
      <c r="B672">
        <v>28</v>
      </c>
      <c r="C672" t="s">
        <v>45</v>
      </c>
      <c r="D672">
        <v>129367</v>
      </c>
      <c r="E672">
        <v>4</v>
      </c>
      <c r="F672">
        <v>1</v>
      </c>
      <c r="G672">
        <v>44</v>
      </c>
      <c r="H672" t="s">
        <v>14</v>
      </c>
      <c r="I672">
        <v>559.61</v>
      </c>
    </row>
    <row r="673" spans="1:9" x14ac:dyDescent="0.25">
      <c r="A673">
        <v>765</v>
      </c>
      <c r="B673">
        <v>40</v>
      </c>
      <c r="C673" t="s">
        <v>45</v>
      </c>
      <c r="D673">
        <v>108344</v>
      </c>
      <c r="E673">
        <v>87</v>
      </c>
      <c r="F673">
        <v>2</v>
      </c>
      <c r="G673">
        <v>13</v>
      </c>
      <c r="H673" t="s">
        <v>14</v>
      </c>
      <c r="I673">
        <v>892.28</v>
      </c>
    </row>
    <row r="674" spans="1:9" x14ac:dyDescent="0.25">
      <c r="A674">
        <v>779</v>
      </c>
      <c r="B674">
        <v>56</v>
      </c>
      <c r="C674" t="s">
        <v>45</v>
      </c>
      <c r="D674">
        <v>43031</v>
      </c>
      <c r="E674">
        <v>56</v>
      </c>
      <c r="F674">
        <v>2</v>
      </c>
      <c r="G674">
        <v>15</v>
      </c>
      <c r="H674" t="s">
        <v>14</v>
      </c>
      <c r="I674">
        <v>830.79</v>
      </c>
    </row>
    <row r="675" spans="1:9" x14ac:dyDescent="0.25">
      <c r="A675">
        <v>809</v>
      </c>
      <c r="B675">
        <v>46</v>
      </c>
      <c r="C675" t="s">
        <v>45</v>
      </c>
      <c r="D675">
        <v>91845</v>
      </c>
      <c r="E675">
        <v>35</v>
      </c>
      <c r="F675">
        <v>8</v>
      </c>
      <c r="G675">
        <v>49</v>
      </c>
      <c r="H675" t="s">
        <v>14</v>
      </c>
      <c r="I675">
        <v>537.23</v>
      </c>
    </row>
    <row r="676" spans="1:9" x14ac:dyDescent="0.25">
      <c r="A676">
        <v>846</v>
      </c>
      <c r="B676">
        <v>60</v>
      </c>
      <c r="C676" t="s">
        <v>45</v>
      </c>
      <c r="D676">
        <v>61376</v>
      </c>
      <c r="E676">
        <v>97</v>
      </c>
      <c r="F676">
        <v>8</v>
      </c>
      <c r="G676">
        <v>9</v>
      </c>
      <c r="H676" t="s">
        <v>14</v>
      </c>
      <c r="I676">
        <v>793.84</v>
      </c>
    </row>
    <row r="677" spans="1:9" x14ac:dyDescent="0.25">
      <c r="A677">
        <v>885</v>
      </c>
      <c r="B677">
        <v>58</v>
      </c>
      <c r="C677" t="s">
        <v>45</v>
      </c>
      <c r="D677">
        <v>149723</v>
      </c>
      <c r="E677">
        <v>70</v>
      </c>
      <c r="F677">
        <v>9</v>
      </c>
      <c r="G677">
        <v>23</v>
      </c>
      <c r="H677" t="s">
        <v>14</v>
      </c>
      <c r="I677">
        <v>374.59</v>
      </c>
    </row>
    <row r="678" spans="1:9" x14ac:dyDescent="0.25">
      <c r="A678">
        <v>917</v>
      </c>
      <c r="B678">
        <v>49</v>
      </c>
      <c r="C678" t="s">
        <v>45</v>
      </c>
      <c r="D678">
        <v>30523</v>
      </c>
      <c r="E678">
        <v>83</v>
      </c>
      <c r="F678">
        <v>4</v>
      </c>
      <c r="G678">
        <v>38</v>
      </c>
      <c r="H678" t="s">
        <v>14</v>
      </c>
      <c r="I678">
        <v>564.48</v>
      </c>
    </row>
    <row r="679" spans="1:9" x14ac:dyDescent="0.25">
      <c r="A679">
        <v>920</v>
      </c>
      <c r="B679">
        <v>60</v>
      </c>
      <c r="C679" t="s">
        <v>45</v>
      </c>
      <c r="D679">
        <v>44555</v>
      </c>
      <c r="E679">
        <v>84</v>
      </c>
      <c r="F679">
        <v>7</v>
      </c>
      <c r="G679">
        <v>28</v>
      </c>
      <c r="H679" t="s">
        <v>14</v>
      </c>
      <c r="I679">
        <v>678.42</v>
      </c>
    </row>
    <row r="680" spans="1:9" x14ac:dyDescent="0.25">
      <c r="A680">
        <v>944</v>
      </c>
      <c r="B680">
        <v>47</v>
      </c>
      <c r="C680" t="s">
        <v>45</v>
      </c>
      <c r="D680">
        <v>37014</v>
      </c>
      <c r="E680">
        <v>76</v>
      </c>
      <c r="F680">
        <v>5</v>
      </c>
      <c r="G680">
        <v>34</v>
      </c>
      <c r="H680" t="s">
        <v>14</v>
      </c>
      <c r="I680">
        <v>880.18</v>
      </c>
    </row>
    <row r="681" spans="1:9" x14ac:dyDescent="0.25">
      <c r="A681">
        <v>951</v>
      </c>
      <c r="B681">
        <v>41</v>
      </c>
      <c r="C681" t="s">
        <v>45</v>
      </c>
      <c r="D681">
        <v>134487</v>
      </c>
      <c r="E681">
        <v>7</v>
      </c>
      <c r="F681">
        <v>10</v>
      </c>
      <c r="G681">
        <v>50</v>
      </c>
      <c r="H681" t="s">
        <v>14</v>
      </c>
      <c r="I681">
        <v>556.1</v>
      </c>
    </row>
    <row r="682" spans="1:9" x14ac:dyDescent="0.25">
      <c r="A682">
        <v>965</v>
      </c>
      <c r="B682">
        <v>49</v>
      </c>
      <c r="C682" t="s">
        <v>45</v>
      </c>
      <c r="D682">
        <v>94218</v>
      </c>
      <c r="E682">
        <v>4</v>
      </c>
      <c r="F682">
        <v>10</v>
      </c>
      <c r="G682">
        <v>5</v>
      </c>
      <c r="H682" t="s">
        <v>14</v>
      </c>
      <c r="I682">
        <v>287.36</v>
      </c>
    </row>
    <row r="683" spans="1:9" x14ac:dyDescent="0.25">
      <c r="A683">
        <v>974</v>
      </c>
      <c r="B683">
        <v>48</v>
      </c>
      <c r="C683" t="s">
        <v>45</v>
      </c>
      <c r="D683">
        <v>75118</v>
      </c>
      <c r="E683">
        <v>84</v>
      </c>
      <c r="F683">
        <v>6</v>
      </c>
      <c r="G683">
        <v>41</v>
      </c>
      <c r="H683" t="s">
        <v>14</v>
      </c>
      <c r="I683">
        <v>711.37</v>
      </c>
    </row>
    <row r="684" spans="1:9" x14ac:dyDescent="0.25">
      <c r="A684">
        <v>984</v>
      </c>
      <c r="B684">
        <v>51</v>
      </c>
      <c r="C684" t="s">
        <v>45</v>
      </c>
      <c r="D684">
        <v>91682</v>
      </c>
      <c r="E684">
        <v>27</v>
      </c>
      <c r="F684">
        <v>9</v>
      </c>
      <c r="G684">
        <v>49</v>
      </c>
      <c r="H684" t="s">
        <v>14</v>
      </c>
      <c r="I684">
        <v>990.87</v>
      </c>
    </row>
    <row r="685" spans="1:9" x14ac:dyDescent="0.25">
      <c r="A685">
        <v>990</v>
      </c>
      <c r="B685">
        <v>31</v>
      </c>
      <c r="C685" t="s">
        <v>45</v>
      </c>
      <c r="D685">
        <v>45695</v>
      </c>
      <c r="E685">
        <v>36</v>
      </c>
      <c r="F685">
        <v>2</v>
      </c>
      <c r="G685">
        <v>31</v>
      </c>
      <c r="H685" t="s">
        <v>14</v>
      </c>
      <c r="I685">
        <v>864.67</v>
      </c>
    </row>
    <row r="686" spans="1:9" x14ac:dyDescent="0.25">
      <c r="A686">
        <v>13</v>
      </c>
      <c r="B686">
        <v>29</v>
      </c>
      <c r="C686" t="s">
        <v>18</v>
      </c>
      <c r="D686">
        <v>87461</v>
      </c>
      <c r="E686">
        <v>81</v>
      </c>
      <c r="F686">
        <v>3</v>
      </c>
      <c r="G686">
        <v>27</v>
      </c>
      <c r="H686" t="s">
        <v>13</v>
      </c>
      <c r="I686">
        <v>101.07</v>
      </c>
    </row>
    <row r="687" spans="1:9" x14ac:dyDescent="0.25">
      <c r="A687">
        <v>21</v>
      </c>
      <c r="B687">
        <v>19</v>
      </c>
      <c r="C687" t="s">
        <v>18</v>
      </c>
      <c r="D687">
        <v>82519</v>
      </c>
      <c r="E687">
        <v>13</v>
      </c>
      <c r="F687">
        <v>4</v>
      </c>
      <c r="G687">
        <v>4</v>
      </c>
      <c r="H687" t="s">
        <v>13</v>
      </c>
      <c r="I687">
        <v>742.39</v>
      </c>
    </row>
    <row r="688" spans="1:9" x14ac:dyDescent="0.25">
      <c r="A688">
        <v>29</v>
      </c>
      <c r="B688">
        <v>18</v>
      </c>
      <c r="C688" t="s">
        <v>18</v>
      </c>
      <c r="D688">
        <v>70721</v>
      </c>
      <c r="E688">
        <v>78</v>
      </c>
      <c r="F688">
        <v>7</v>
      </c>
      <c r="G688">
        <v>1</v>
      </c>
      <c r="H688" t="s">
        <v>13</v>
      </c>
      <c r="I688">
        <v>191.9</v>
      </c>
    </row>
    <row r="689" spans="1:9" x14ac:dyDescent="0.25">
      <c r="A689">
        <v>54</v>
      </c>
      <c r="B689">
        <v>33</v>
      </c>
      <c r="C689" t="s">
        <v>18</v>
      </c>
      <c r="D689">
        <v>45136</v>
      </c>
      <c r="E689">
        <v>84</v>
      </c>
      <c r="F689">
        <v>9</v>
      </c>
      <c r="G689">
        <v>38</v>
      </c>
      <c r="H689" t="s">
        <v>13</v>
      </c>
      <c r="I689">
        <v>332.34</v>
      </c>
    </row>
    <row r="690" spans="1:9" x14ac:dyDescent="0.25">
      <c r="A690">
        <v>74</v>
      </c>
      <c r="B690">
        <v>38</v>
      </c>
      <c r="C690" t="s">
        <v>18</v>
      </c>
      <c r="D690">
        <v>102944</v>
      </c>
      <c r="E690">
        <v>63</v>
      </c>
      <c r="F690">
        <v>8</v>
      </c>
      <c r="G690">
        <v>9</v>
      </c>
      <c r="H690" t="s">
        <v>13</v>
      </c>
      <c r="I690">
        <v>92.69</v>
      </c>
    </row>
    <row r="691" spans="1:9" x14ac:dyDescent="0.25">
      <c r="A691">
        <v>76</v>
      </c>
      <c r="B691">
        <v>60</v>
      </c>
      <c r="C691" t="s">
        <v>18</v>
      </c>
      <c r="D691">
        <v>131101</v>
      </c>
      <c r="E691">
        <v>68</v>
      </c>
      <c r="F691">
        <v>8</v>
      </c>
      <c r="G691">
        <v>28</v>
      </c>
      <c r="H691" t="s">
        <v>13</v>
      </c>
      <c r="I691">
        <v>522.95000000000005</v>
      </c>
    </row>
    <row r="692" spans="1:9" x14ac:dyDescent="0.25">
      <c r="A692">
        <v>110</v>
      </c>
      <c r="B692">
        <v>56</v>
      </c>
      <c r="C692" t="s">
        <v>18</v>
      </c>
      <c r="D692">
        <v>40676</v>
      </c>
      <c r="E692">
        <v>86</v>
      </c>
      <c r="F692">
        <v>7</v>
      </c>
      <c r="G692">
        <v>38</v>
      </c>
      <c r="H692" t="s">
        <v>13</v>
      </c>
      <c r="I692">
        <v>627.65</v>
      </c>
    </row>
    <row r="693" spans="1:9" x14ac:dyDescent="0.25">
      <c r="A693">
        <v>132</v>
      </c>
      <c r="B693">
        <v>67</v>
      </c>
      <c r="C693" t="s">
        <v>18</v>
      </c>
      <c r="D693">
        <v>116124</v>
      </c>
      <c r="E693">
        <v>78</v>
      </c>
      <c r="F693">
        <v>10</v>
      </c>
      <c r="G693">
        <v>28</v>
      </c>
      <c r="H693" t="s">
        <v>13</v>
      </c>
      <c r="I693">
        <v>11.29</v>
      </c>
    </row>
    <row r="694" spans="1:9" x14ac:dyDescent="0.25">
      <c r="A694">
        <v>144</v>
      </c>
      <c r="B694">
        <v>41</v>
      </c>
      <c r="C694" t="s">
        <v>18</v>
      </c>
      <c r="D694">
        <v>82613</v>
      </c>
      <c r="E694">
        <v>49</v>
      </c>
      <c r="F694">
        <v>3</v>
      </c>
      <c r="G694">
        <v>10</v>
      </c>
      <c r="H694" t="s">
        <v>13</v>
      </c>
      <c r="I694">
        <v>421.24</v>
      </c>
    </row>
    <row r="695" spans="1:9" x14ac:dyDescent="0.25">
      <c r="A695">
        <v>148</v>
      </c>
      <c r="B695">
        <v>47</v>
      </c>
      <c r="C695" t="s">
        <v>18</v>
      </c>
      <c r="D695">
        <v>104517</v>
      </c>
      <c r="E695">
        <v>91</v>
      </c>
      <c r="F695">
        <v>2</v>
      </c>
      <c r="G695">
        <v>6</v>
      </c>
      <c r="H695" t="s">
        <v>13</v>
      </c>
      <c r="I695">
        <v>979.41</v>
      </c>
    </row>
    <row r="696" spans="1:9" x14ac:dyDescent="0.25">
      <c r="A696">
        <v>152</v>
      </c>
      <c r="B696">
        <v>45</v>
      </c>
      <c r="C696" t="s">
        <v>18</v>
      </c>
      <c r="D696">
        <v>79721</v>
      </c>
      <c r="E696">
        <v>20</v>
      </c>
      <c r="F696">
        <v>1</v>
      </c>
      <c r="G696">
        <v>1</v>
      </c>
      <c r="H696" t="s">
        <v>13</v>
      </c>
      <c r="I696">
        <v>215.41</v>
      </c>
    </row>
    <row r="697" spans="1:9" x14ac:dyDescent="0.25">
      <c r="A697">
        <v>156</v>
      </c>
      <c r="B697">
        <v>24</v>
      </c>
      <c r="C697" t="s">
        <v>18</v>
      </c>
      <c r="D697">
        <v>103766</v>
      </c>
      <c r="E697">
        <v>77</v>
      </c>
      <c r="F697">
        <v>4</v>
      </c>
      <c r="G697">
        <v>25</v>
      </c>
      <c r="H697" t="s">
        <v>13</v>
      </c>
      <c r="I697">
        <v>663.21</v>
      </c>
    </row>
    <row r="698" spans="1:9" x14ac:dyDescent="0.25">
      <c r="A698">
        <v>173</v>
      </c>
      <c r="B698">
        <v>56</v>
      </c>
      <c r="C698" t="s">
        <v>18</v>
      </c>
      <c r="D698">
        <v>111754</v>
      </c>
      <c r="E698">
        <v>96</v>
      </c>
      <c r="F698">
        <v>8</v>
      </c>
      <c r="G698">
        <v>38</v>
      </c>
      <c r="H698" t="s">
        <v>13</v>
      </c>
      <c r="I698">
        <v>631.05999999999995</v>
      </c>
    </row>
    <row r="699" spans="1:9" x14ac:dyDescent="0.25">
      <c r="A699">
        <v>183</v>
      </c>
      <c r="B699">
        <v>43</v>
      </c>
      <c r="C699" t="s">
        <v>18</v>
      </c>
      <c r="D699">
        <v>32512</v>
      </c>
      <c r="E699">
        <v>95</v>
      </c>
      <c r="F699">
        <v>4</v>
      </c>
      <c r="G699">
        <v>49</v>
      </c>
      <c r="H699" t="s">
        <v>13</v>
      </c>
      <c r="I699">
        <v>223.39</v>
      </c>
    </row>
    <row r="700" spans="1:9" x14ac:dyDescent="0.25">
      <c r="A700">
        <v>185</v>
      </c>
      <c r="B700">
        <v>41</v>
      </c>
      <c r="C700" t="s">
        <v>18</v>
      </c>
      <c r="D700">
        <v>104337</v>
      </c>
      <c r="E700">
        <v>91</v>
      </c>
      <c r="F700">
        <v>6</v>
      </c>
      <c r="G700">
        <v>27</v>
      </c>
      <c r="H700" t="s">
        <v>13</v>
      </c>
      <c r="I700">
        <v>401.63</v>
      </c>
    </row>
    <row r="701" spans="1:9" x14ac:dyDescent="0.25">
      <c r="A701">
        <v>197</v>
      </c>
      <c r="B701">
        <v>34</v>
      </c>
      <c r="C701" t="s">
        <v>18</v>
      </c>
      <c r="D701">
        <v>56125</v>
      </c>
      <c r="E701">
        <v>66</v>
      </c>
      <c r="F701">
        <v>10</v>
      </c>
      <c r="G701">
        <v>26</v>
      </c>
      <c r="H701" t="s">
        <v>13</v>
      </c>
      <c r="I701">
        <v>610.66</v>
      </c>
    </row>
    <row r="702" spans="1:9" x14ac:dyDescent="0.25">
      <c r="A702">
        <v>209</v>
      </c>
      <c r="B702">
        <v>60</v>
      </c>
      <c r="C702" t="s">
        <v>18</v>
      </c>
      <c r="D702">
        <v>124416</v>
      </c>
      <c r="E702">
        <v>24</v>
      </c>
      <c r="F702">
        <v>5</v>
      </c>
      <c r="G702">
        <v>39</v>
      </c>
      <c r="H702" t="s">
        <v>13</v>
      </c>
      <c r="I702">
        <v>544.04</v>
      </c>
    </row>
    <row r="703" spans="1:9" x14ac:dyDescent="0.25">
      <c r="A703">
        <v>226</v>
      </c>
      <c r="B703">
        <v>19</v>
      </c>
      <c r="C703" t="s">
        <v>18</v>
      </c>
      <c r="D703">
        <v>51355</v>
      </c>
      <c r="E703">
        <v>48</v>
      </c>
      <c r="F703">
        <v>8</v>
      </c>
      <c r="G703">
        <v>28</v>
      </c>
      <c r="H703" t="s">
        <v>13</v>
      </c>
      <c r="I703">
        <v>278.20999999999998</v>
      </c>
    </row>
    <row r="704" spans="1:9" x14ac:dyDescent="0.25">
      <c r="A704">
        <v>244</v>
      </c>
      <c r="B704">
        <v>47</v>
      </c>
      <c r="C704" t="s">
        <v>18</v>
      </c>
      <c r="D704">
        <v>108356</v>
      </c>
      <c r="E704">
        <v>84</v>
      </c>
      <c r="F704">
        <v>6</v>
      </c>
      <c r="G704">
        <v>19</v>
      </c>
      <c r="H704" t="s">
        <v>13</v>
      </c>
      <c r="I704">
        <v>911</v>
      </c>
    </row>
    <row r="705" spans="1:9" x14ac:dyDescent="0.25">
      <c r="A705">
        <v>267</v>
      </c>
      <c r="B705">
        <v>57</v>
      </c>
      <c r="C705" t="s">
        <v>18</v>
      </c>
      <c r="D705">
        <v>114972</v>
      </c>
      <c r="E705">
        <v>42</v>
      </c>
      <c r="F705">
        <v>9</v>
      </c>
      <c r="G705">
        <v>12</v>
      </c>
      <c r="H705" t="s">
        <v>13</v>
      </c>
      <c r="I705">
        <v>999.74</v>
      </c>
    </row>
    <row r="706" spans="1:9" x14ac:dyDescent="0.25">
      <c r="A706">
        <v>348</v>
      </c>
      <c r="B706">
        <v>39</v>
      </c>
      <c r="C706" t="s">
        <v>18</v>
      </c>
      <c r="D706">
        <v>136141</v>
      </c>
      <c r="E706">
        <v>58</v>
      </c>
      <c r="F706">
        <v>6</v>
      </c>
      <c r="G706">
        <v>30</v>
      </c>
      <c r="H706" t="s">
        <v>13</v>
      </c>
      <c r="I706">
        <v>211.56</v>
      </c>
    </row>
    <row r="707" spans="1:9" x14ac:dyDescent="0.25">
      <c r="A707">
        <v>368</v>
      </c>
      <c r="B707">
        <v>53</v>
      </c>
      <c r="C707" t="s">
        <v>18</v>
      </c>
      <c r="D707">
        <v>130474</v>
      </c>
      <c r="E707">
        <v>74</v>
      </c>
      <c r="F707">
        <v>10</v>
      </c>
      <c r="G707">
        <v>39</v>
      </c>
      <c r="H707" t="s">
        <v>13</v>
      </c>
      <c r="I707">
        <v>217.92</v>
      </c>
    </row>
    <row r="708" spans="1:9" x14ac:dyDescent="0.25">
      <c r="A708">
        <v>378</v>
      </c>
      <c r="B708">
        <v>45</v>
      </c>
      <c r="C708" t="s">
        <v>18</v>
      </c>
      <c r="D708">
        <v>110174</v>
      </c>
      <c r="E708">
        <v>87</v>
      </c>
      <c r="F708">
        <v>5</v>
      </c>
      <c r="G708">
        <v>32</v>
      </c>
      <c r="H708" t="s">
        <v>13</v>
      </c>
      <c r="I708">
        <v>388.15</v>
      </c>
    </row>
    <row r="709" spans="1:9" x14ac:dyDescent="0.25">
      <c r="A709">
        <v>395</v>
      </c>
      <c r="B709">
        <v>69</v>
      </c>
      <c r="C709" t="s">
        <v>18</v>
      </c>
      <c r="D709">
        <v>119075</v>
      </c>
      <c r="E709">
        <v>40</v>
      </c>
      <c r="F709">
        <v>8</v>
      </c>
      <c r="G709">
        <v>44</v>
      </c>
      <c r="H709" t="s">
        <v>13</v>
      </c>
      <c r="I709">
        <v>866.72</v>
      </c>
    </row>
    <row r="710" spans="1:9" x14ac:dyDescent="0.25">
      <c r="A710">
        <v>409</v>
      </c>
      <c r="B710">
        <v>63</v>
      </c>
      <c r="C710" t="s">
        <v>18</v>
      </c>
      <c r="D710">
        <v>70967</v>
      </c>
      <c r="E710">
        <v>59</v>
      </c>
      <c r="F710">
        <v>6</v>
      </c>
      <c r="G710">
        <v>10</v>
      </c>
      <c r="H710" t="s">
        <v>13</v>
      </c>
      <c r="I710">
        <v>954.05</v>
      </c>
    </row>
    <row r="711" spans="1:9" x14ac:dyDescent="0.25">
      <c r="A711">
        <v>410</v>
      </c>
      <c r="B711">
        <v>20</v>
      </c>
      <c r="C711" t="s">
        <v>18</v>
      </c>
      <c r="D711">
        <v>98213</v>
      </c>
      <c r="E711">
        <v>12</v>
      </c>
      <c r="F711">
        <v>5</v>
      </c>
      <c r="G711">
        <v>37</v>
      </c>
      <c r="H711" t="s">
        <v>13</v>
      </c>
      <c r="I711">
        <v>902.24</v>
      </c>
    </row>
    <row r="712" spans="1:9" x14ac:dyDescent="0.25">
      <c r="A712">
        <v>413</v>
      </c>
      <c r="B712">
        <v>19</v>
      </c>
      <c r="C712" t="s">
        <v>18</v>
      </c>
      <c r="D712">
        <v>105731</v>
      </c>
      <c r="E712">
        <v>9</v>
      </c>
      <c r="F712">
        <v>7</v>
      </c>
      <c r="G712">
        <v>10</v>
      </c>
      <c r="H712" t="s">
        <v>13</v>
      </c>
      <c r="I712">
        <v>421.08</v>
      </c>
    </row>
    <row r="713" spans="1:9" x14ac:dyDescent="0.25">
      <c r="A713">
        <v>435</v>
      </c>
      <c r="B713">
        <v>32</v>
      </c>
      <c r="C713" t="s">
        <v>18</v>
      </c>
      <c r="D713">
        <v>69782</v>
      </c>
      <c r="E713">
        <v>76</v>
      </c>
      <c r="F713">
        <v>1</v>
      </c>
      <c r="G713">
        <v>9</v>
      </c>
      <c r="H713" t="s">
        <v>13</v>
      </c>
      <c r="I713">
        <v>803.28</v>
      </c>
    </row>
    <row r="714" spans="1:9" x14ac:dyDescent="0.25">
      <c r="A714">
        <v>473</v>
      </c>
      <c r="B714">
        <v>53</v>
      </c>
      <c r="C714" t="s">
        <v>18</v>
      </c>
      <c r="D714">
        <v>104435</v>
      </c>
      <c r="E714">
        <v>42</v>
      </c>
      <c r="F714">
        <v>4</v>
      </c>
      <c r="G714">
        <v>34</v>
      </c>
      <c r="H714" t="s">
        <v>13</v>
      </c>
      <c r="I714">
        <v>795.81</v>
      </c>
    </row>
    <row r="715" spans="1:9" x14ac:dyDescent="0.25">
      <c r="A715">
        <v>487</v>
      </c>
      <c r="B715">
        <v>22</v>
      </c>
      <c r="C715" t="s">
        <v>18</v>
      </c>
      <c r="D715">
        <v>104781</v>
      </c>
      <c r="E715">
        <v>64</v>
      </c>
      <c r="F715">
        <v>8</v>
      </c>
      <c r="G715">
        <v>38</v>
      </c>
      <c r="H715" t="s">
        <v>13</v>
      </c>
      <c r="I715">
        <v>151.47999999999999</v>
      </c>
    </row>
    <row r="716" spans="1:9" x14ac:dyDescent="0.25">
      <c r="A716">
        <v>489</v>
      </c>
      <c r="B716">
        <v>26</v>
      </c>
      <c r="C716" t="s">
        <v>18</v>
      </c>
      <c r="D716">
        <v>96845</v>
      </c>
      <c r="E716">
        <v>19</v>
      </c>
      <c r="F716">
        <v>1</v>
      </c>
      <c r="G716">
        <v>5</v>
      </c>
      <c r="H716" t="s">
        <v>13</v>
      </c>
      <c r="I716">
        <v>154.88999999999999</v>
      </c>
    </row>
    <row r="717" spans="1:9" x14ac:dyDescent="0.25">
      <c r="A717">
        <v>514</v>
      </c>
      <c r="B717">
        <v>69</v>
      </c>
      <c r="C717" t="s">
        <v>18</v>
      </c>
      <c r="D717">
        <v>58668</v>
      </c>
      <c r="E717">
        <v>40</v>
      </c>
      <c r="F717">
        <v>2</v>
      </c>
      <c r="G717">
        <v>15</v>
      </c>
      <c r="H717" t="s">
        <v>13</v>
      </c>
      <c r="I717">
        <v>626.35</v>
      </c>
    </row>
    <row r="718" spans="1:9" x14ac:dyDescent="0.25">
      <c r="A718">
        <v>522</v>
      </c>
      <c r="B718">
        <v>29</v>
      </c>
      <c r="C718" t="s">
        <v>18</v>
      </c>
      <c r="D718">
        <v>51471</v>
      </c>
      <c r="E718">
        <v>96</v>
      </c>
      <c r="F718">
        <v>3</v>
      </c>
      <c r="G718">
        <v>13</v>
      </c>
      <c r="H718" t="s">
        <v>13</v>
      </c>
      <c r="I718">
        <v>668.21</v>
      </c>
    </row>
    <row r="719" spans="1:9" x14ac:dyDescent="0.25">
      <c r="A719">
        <v>537</v>
      </c>
      <c r="B719">
        <v>48</v>
      </c>
      <c r="C719" t="s">
        <v>18</v>
      </c>
      <c r="D719">
        <v>57932</v>
      </c>
      <c r="E719">
        <v>70</v>
      </c>
      <c r="F719">
        <v>9</v>
      </c>
      <c r="G719">
        <v>44</v>
      </c>
      <c r="H719" t="s">
        <v>13</v>
      </c>
      <c r="I719">
        <v>192.46</v>
      </c>
    </row>
    <row r="720" spans="1:9" x14ac:dyDescent="0.25">
      <c r="A720">
        <v>548</v>
      </c>
      <c r="B720">
        <v>22</v>
      </c>
      <c r="C720" t="s">
        <v>18</v>
      </c>
      <c r="D720">
        <v>93861</v>
      </c>
      <c r="E720">
        <v>42</v>
      </c>
      <c r="F720">
        <v>6</v>
      </c>
      <c r="G720">
        <v>6</v>
      </c>
      <c r="H720" t="s">
        <v>13</v>
      </c>
      <c r="I720">
        <v>73.13</v>
      </c>
    </row>
    <row r="721" spans="1:9" x14ac:dyDescent="0.25">
      <c r="A721">
        <v>554</v>
      </c>
      <c r="B721">
        <v>61</v>
      </c>
      <c r="C721" t="s">
        <v>18</v>
      </c>
      <c r="D721">
        <v>54256</v>
      </c>
      <c r="E721">
        <v>78</v>
      </c>
      <c r="F721">
        <v>3</v>
      </c>
      <c r="G721">
        <v>3</v>
      </c>
      <c r="H721" t="s">
        <v>13</v>
      </c>
      <c r="I721">
        <v>886.44</v>
      </c>
    </row>
    <row r="722" spans="1:9" x14ac:dyDescent="0.25">
      <c r="A722">
        <v>568</v>
      </c>
      <c r="B722">
        <v>45</v>
      </c>
      <c r="C722" t="s">
        <v>18</v>
      </c>
      <c r="D722">
        <v>41917</v>
      </c>
      <c r="E722">
        <v>58</v>
      </c>
      <c r="F722">
        <v>8</v>
      </c>
      <c r="G722">
        <v>5</v>
      </c>
      <c r="H722" t="s">
        <v>13</v>
      </c>
      <c r="I722">
        <v>870.38</v>
      </c>
    </row>
    <row r="723" spans="1:9" x14ac:dyDescent="0.25">
      <c r="A723">
        <v>610</v>
      </c>
      <c r="B723">
        <v>23</v>
      </c>
      <c r="C723" t="s">
        <v>18</v>
      </c>
      <c r="D723">
        <v>83912</v>
      </c>
      <c r="E723">
        <v>28</v>
      </c>
      <c r="F723">
        <v>6</v>
      </c>
      <c r="G723">
        <v>31</v>
      </c>
      <c r="H723" t="s">
        <v>13</v>
      </c>
      <c r="I723">
        <v>98.32</v>
      </c>
    </row>
    <row r="724" spans="1:9" x14ac:dyDescent="0.25">
      <c r="A724">
        <v>611</v>
      </c>
      <c r="B724">
        <v>42</v>
      </c>
      <c r="C724" t="s">
        <v>18</v>
      </c>
      <c r="D724">
        <v>63444</v>
      </c>
      <c r="E724">
        <v>72</v>
      </c>
      <c r="F724">
        <v>4</v>
      </c>
      <c r="G724">
        <v>40</v>
      </c>
      <c r="H724" t="s">
        <v>13</v>
      </c>
      <c r="I724">
        <v>166.45</v>
      </c>
    </row>
    <row r="725" spans="1:9" x14ac:dyDescent="0.25">
      <c r="A725">
        <v>630</v>
      </c>
      <c r="B725">
        <v>64</v>
      </c>
      <c r="C725" t="s">
        <v>18</v>
      </c>
      <c r="D725">
        <v>145746</v>
      </c>
      <c r="E725">
        <v>76</v>
      </c>
      <c r="F725">
        <v>2</v>
      </c>
      <c r="G725">
        <v>48</v>
      </c>
      <c r="H725" t="s">
        <v>13</v>
      </c>
      <c r="I725">
        <v>49.06</v>
      </c>
    </row>
    <row r="726" spans="1:9" x14ac:dyDescent="0.25">
      <c r="A726">
        <v>638</v>
      </c>
      <c r="B726">
        <v>34</v>
      </c>
      <c r="C726" t="s">
        <v>18</v>
      </c>
      <c r="D726">
        <v>60489</v>
      </c>
      <c r="E726">
        <v>95</v>
      </c>
      <c r="F726">
        <v>3</v>
      </c>
      <c r="G726">
        <v>38</v>
      </c>
      <c r="H726" t="s">
        <v>13</v>
      </c>
      <c r="I726">
        <v>304.86</v>
      </c>
    </row>
    <row r="727" spans="1:9" x14ac:dyDescent="0.25">
      <c r="A727">
        <v>675</v>
      </c>
      <c r="B727">
        <v>64</v>
      </c>
      <c r="C727" t="s">
        <v>18</v>
      </c>
      <c r="D727">
        <v>67704</v>
      </c>
      <c r="E727">
        <v>12</v>
      </c>
      <c r="F727">
        <v>6</v>
      </c>
      <c r="G727">
        <v>17</v>
      </c>
      <c r="H727" t="s">
        <v>13</v>
      </c>
      <c r="I727">
        <v>126.15</v>
      </c>
    </row>
    <row r="728" spans="1:9" x14ac:dyDescent="0.25">
      <c r="A728">
        <v>683</v>
      </c>
      <c r="B728">
        <v>27</v>
      </c>
      <c r="C728" t="s">
        <v>18</v>
      </c>
      <c r="D728">
        <v>89855</v>
      </c>
      <c r="E728">
        <v>54</v>
      </c>
      <c r="F728">
        <v>10</v>
      </c>
      <c r="G728">
        <v>37</v>
      </c>
      <c r="H728" t="s">
        <v>13</v>
      </c>
      <c r="I728">
        <v>750.51</v>
      </c>
    </row>
    <row r="729" spans="1:9" x14ac:dyDescent="0.25">
      <c r="A729">
        <v>703</v>
      </c>
      <c r="B729">
        <v>26</v>
      </c>
      <c r="C729" t="s">
        <v>18</v>
      </c>
      <c r="D729">
        <v>56466</v>
      </c>
      <c r="E729">
        <v>61</v>
      </c>
      <c r="F729">
        <v>3</v>
      </c>
      <c r="G729">
        <v>12</v>
      </c>
      <c r="H729" t="s">
        <v>13</v>
      </c>
      <c r="I729">
        <v>358.22</v>
      </c>
    </row>
    <row r="730" spans="1:9" x14ac:dyDescent="0.25">
      <c r="A730">
        <v>718</v>
      </c>
      <c r="B730">
        <v>57</v>
      </c>
      <c r="C730" t="s">
        <v>18</v>
      </c>
      <c r="D730">
        <v>108833</v>
      </c>
      <c r="E730">
        <v>77</v>
      </c>
      <c r="F730">
        <v>3</v>
      </c>
      <c r="G730">
        <v>37</v>
      </c>
      <c r="H730" t="s">
        <v>13</v>
      </c>
      <c r="I730">
        <v>623.78</v>
      </c>
    </row>
    <row r="731" spans="1:9" x14ac:dyDescent="0.25">
      <c r="A731">
        <v>757</v>
      </c>
      <c r="B731">
        <v>19</v>
      </c>
      <c r="C731" t="s">
        <v>18</v>
      </c>
      <c r="D731">
        <v>129687</v>
      </c>
      <c r="E731">
        <v>78</v>
      </c>
      <c r="F731">
        <v>3</v>
      </c>
      <c r="G731">
        <v>43</v>
      </c>
      <c r="H731" t="s">
        <v>13</v>
      </c>
      <c r="I731">
        <v>679.67</v>
      </c>
    </row>
    <row r="732" spans="1:9" x14ac:dyDescent="0.25">
      <c r="A732">
        <v>791</v>
      </c>
      <c r="B732">
        <v>59</v>
      </c>
      <c r="C732" t="s">
        <v>18</v>
      </c>
      <c r="D732">
        <v>97756</v>
      </c>
      <c r="E732">
        <v>89</v>
      </c>
      <c r="F732">
        <v>6</v>
      </c>
      <c r="G732">
        <v>3</v>
      </c>
      <c r="H732" t="s">
        <v>13</v>
      </c>
      <c r="I732">
        <v>318.74</v>
      </c>
    </row>
    <row r="733" spans="1:9" x14ac:dyDescent="0.25">
      <c r="A733">
        <v>793</v>
      </c>
      <c r="B733">
        <v>63</v>
      </c>
      <c r="C733" t="s">
        <v>18</v>
      </c>
      <c r="D733">
        <v>123481</v>
      </c>
      <c r="E733">
        <v>26</v>
      </c>
      <c r="F733">
        <v>1</v>
      </c>
      <c r="G733">
        <v>26</v>
      </c>
      <c r="H733" t="s">
        <v>13</v>
      </c>
      <c r="I733">
        <v>386.51</v>
      </c>
    </row>
    <row r="734" spans="1:9" x14ac:dyDescent="0.25">
      <c r="A734">
        <v>811</v>
      </c>
      <c r="B734">
        <v>27</v>
      </c>
      <c r="C734" t="s">
        <v>18</v>
      </c>
      <c r="D734">
        <v>78001</v>
      </c>
      <c r="E734">
        <v>50</v>
      </c>
      <c r="F734">
        <v>5</v>
      </c>
      <c r="G734">
        <v>17</v>
      </c>
      <c r="H734" t="s">
        <v>13</v>
      </c>
      <c r="I734">
        <v>117.03</v>
      </c>
    </row>
    <row r="735" spans="1:9" x14ac:dyDescent="0.25">
      <c r="A735">
        <v>815</v>
      </c>
      <c r="B735">
        <v>53</v>
      </c>
      <c r="C735" t="s">
        <v>18</v>
      </c>
      <c r="D735">
        <v>58486</v>
      </c>
      <c r="E735">
        <v>87</v>
      </c>
      <c r="F735">
        <v>8</v>
      </c>
      <c r="G735">
        <v>23</v>
      </c>
      <c r="H735" t="s">
        <v>13</v>
      </c>
      <c r="I735">
        <v>409.35</v>
      </c>
    </row>
    <row r="736" spans="1:9" x14ac:dyDescent="0.25">
      <c r="A736">
        <v>824</v>
      </c>
      <c r="B736">
        <v>38</v>
      </c>
      <c r="C736" t="s">
        <v>18</v>
      </c>
      <c r="D736">
        <v>81244</v>
      </c>
      <c r="E736">
        <v>57</v>
      </c>
      <c r="F736">
        <v>5</v>
      </c>
      <c r="G736">
        <v>3</v>
      </c>
      <c r="H736" t="s">
        <v>13</v>
      </c>
      <c r="I736">
        <v>301.58999999999997</v>
      </c>
    </row>
    <row r="737" spans="1:9" x14ac:dyDescent="0.25">
      <c r="A737">
        <v>831</v>
      </c>
      <c r="B737">
        <v>43</v>
      </c>
      <c r="C737" t="s">
        <v>18</v>
      </c>
      <c r="D737">
        <v>76811</v>
      </c>
      <c r="E737">
        <v>26</v>
      </c>
      <c r="F737">
        <v>1</v>
      </c>
      <c r="G737">
        <v>33</v>
      </c>
      <c r="H737" t="s">
        <v>13</v>
      </c>
      <c r="I737">
        <v>836.5</v>
      </c>
    </row>
    <row r="738" spans="1:9" x14ac:dyDescent="0.25">
      <c r="A738">
        <v>857</v>
      </c>
      <c r="B738">
        <v>19</v>
      </c>
      <c r="C738" t="s">
        <v>18</v>
      </c>
      <c r="D738">
        <v>90561</v>
      </c>
      <c r="E738">
        <v>75</v>
      </c>
      <c r="F738">
        <v>10</v>
      </c>
      <c r="G738">
        <v>23</v>
      </c>
      <c r="H738" t="s">
        <v>13</v>
      </c>
      <c r="I738">
        <v>866.23</v>
      </c>
    </row>
    <row r="739" spans="1:9" x14ac:dyDescent="0.25">
      <c r="A739">
        <v>869</v>
      </c>
      <c r="B739">
        <v>49</v>
      </c>
      <c r="C739" t="s">
        <v>18</v>
      </c>
      <c r="D739">
        <v>61376</v>
      </c>
      <c r="E739">
        <v>47</v>
      </c>
      <c r="F739">
        <v>5</v>
      </c>
      <c r="G739">
        <v>16</v>
      </c>
      <c r="H739" t="s">
        <v>13</v>
      </c>
      <c r="I739">
        <v>241.25</v>
      </c>
    </row>
    <row r="740" spans="1:9" x14ac:dyDescent="0.25">
      <c r="A740">
        <v>871</v>
      </c>
      <c r="B740">
        <v>57</v>
      </c>
      <c r="C740" t="s">
        <v>18</v>
      </c>
      <c r="D740">
        <v>128481</v>
      </c>
      <c r="E740">
        <v>86</v>
      </c>
      <c r="F740">
        <v>10</v>
      </c>
      <c r="G740">
        <v>40</v>
      </c>
      <c r="H740" t="s">
        <v>13</v>
      </c>
      <c r="I740">
        <v>727.15</v>
      </c>
    </row>
    <row r="741" spans="1:9" x14ac:dyDescent="0.25">
      <c r="A741">
        <v>875</v>
      </c>
      <c r="B741">
        <v>25</v>
      </c>
      <c r="C741" t="s">
        <v>18</v>
      </c>
      <c r="D741">
        <v>76606</v>
      </c>
      <c r="E741">
        <v>99</v>
      </c>
      <c r="F741">
        <v>10</v>
      </c>
      <c r="G741">
        <v>32</v>
      </c>
      <c r="H741" t="s">
        <v>13</v>
      </c>
      <c r="I741">
        <v>472.4</v>
      </c>
    </row>
    <row r="742" spans="1:9" x14ac:dyDescent="0.25">
      <c r="A742">
        <v>877</v>
      </c>
      <c r="B742">
        <v>51</v>
      </c>
      <c r="C742" t="s">
        <v>18</v>
      </c>
      <c r="D742">
        <v>127950</v>
      </c>
      <c r="E742">
        <v>27</v>
      </c>
      <c r="F742">
        <v>3</v>
      </c>
      <c r="G742">
        <v>45</v>
      </c>
      <c r="H742" t="s">
        <v>13</v>
      </c>
      <c r="I742">
        <v>412.76</v>
      </c>
    </row>
    <row r="743" spans="1:9" x14ac:dyDescent="0.25">
      <c r="A743">
        <v>878</v>
      </c>
      <c r="B743">
        <v>45</v>
      </c>
      <c r="C743" t="s">
        <v>18</v>
      </c>
      <c r="D743">
        <v>51646</v>
      </c>
      <c r="E743">
        <v>61</v>
      </c>
      <c r="F743">
        <v>5</v>
      </c>
      <c r="G743">
        <v>41</v>
      </c>
      <c r="H743" t="s">
        <v>13</v>
      </c>
      <c r="I743">
        <v>246.41</v>
      </c>
    </row>
    <row r="744" spans="1:9" x14ac:dyDescent="0.25">
      <c r="A744">
        <v>893</v>
      </c>
      <c r="B744">
        <v>24</v>
      </c>
      <c r="C744" t="s">
        <v>18</v>
      </c>
      <c r="D744">
        <v>60763</v>
      </c>
      <c r="E744">
        <v>92</v>
      </c>
      <c r="F744">
        <v>5</v>
      </c>
      <c r="G744">
        <v>29</v>
      </c>
      <c r="H744" t="s">
        <v>13</v>
      </c>
      <c r="I744">
        <v>320.7</v>
      </c>
    </row>
    <row r="745" spans="1:9" x14ac:dyDescent="0.25">
      <c r="A745">
        <v>900</v>
      </c>
      <c r="B745">
        <v>52</v>
      </c>
      <c r="C745" t="s">
        <v>18</v>
      </c>
      <c r="D745">
        <v>41544</v>
      </c>
      <c r="E745">
        <v>1</v>
      </c>
      <c r="F745">
        <v>10</v>
      </c>
      <c r="G745">
        <v>46</v>
      </c>
      <c r="H745" t="s">
        <v>13</v>
      </c>
      <c r="I745">
        <v>720.52</v>
      </c>
    </row>
    <row r="746" spans="1:9" x14ac:dyDescent="0.25">
      <c r="A746">
        <v>901</v>
      </c>
      <c r="B746">
        <v>57</v>
      </c>
      <c r="C746" t="s">
        <v>18</v>
      </c>
      <c r="D746">
        <v>135440</v>
      </c>
      <c r="E746">
        <v>46</v>
      </c>
      <c r="F746">
        <v>8</v>
      </c>
      <c r="G746">
        <v>3</v>
      </c>
      <c r="H746" t="s">
        <v>13</v>
      </c>
      <c r="I746">
        <v>442.46</v>
      </c>
    </row>
    <row r="747" spans="1:9" x14ac:dyDescent="0.25">
      <c r="A747">
        <v>902</v>
      </c>
      <c r="B747">
        <v>55</v>
      </c>
      <c r="C747" t="s">
        <v>18</v>
      </c>
      <c r="D747">
        <v>72193</v>
      </c>
      <c r="E747">
        <v>39</v>
      </c>
      <c r="F747">
        <v>2</v>
      </c>
      <c r="G747">
        <v>6</v>
      </c>
      <c r="H747" t="s">
        <v>13</v>
      </c>
      <c r="I747">
        <v>207.44</v>
      </c>
    </row>
    <row r="748" spans="1:9" x14ac:dyDescent="0.25">
      <c r="A748">
        <v>937</v>
      </c>
      <c r="B748">
        <v>43</v>
      </c>
      <c r="C748" t="s">
        <v>18</v>
      </c>
      <c r="D748">
        <v>42201</v>
      </c>
      <c r="E748">
        <v>76</v>
      </c>
      <c r="F748">
        <v>1</v>
      </c>
      <c r="G748">
        <v>50</v>
      </c>
      <c r="H748" t="s">
        <v>13</v>
      </c>
      <c r="I748">
        <v>106.48</v>
      </c>
    </row>
    <row r="749" spans="1:9" x14ac:dyDescent="0.25">
      <c r="A749">
        <v>940</v>
      </c>
      <c r="B749">
        <v>56</v>
      </c>
      <c r="C749" t="s">
        <v>18</v>
      </c>
      <c r="D749">
        <v>51736</v>
      </c>
      <c r="E749">
        <v>3</v>
      </c>
      <c r="F749">
        <v>9</v>
      </c>
      <c r="G749">
        <v>25</v>
      </c>
      <c r="H749" t="s">
        <v>13</v>
      </c>
      <c r="I749">
        <v>666.01</v>
      </c>
    </row>
    <row r="750" spans="1:9" x14ac:dyDescent="0.25">
      <c r="A750">
        <v>961</v>
      </c>
      <c r="B750">
        <v>23</v>
      </c>
      <c r="C750" t="s">
        <v>18</v>
      </c>
      <c r="D750">
        <v>60808</v>
      </c>
      <c r="E750">
        <v>96</v>
      </c>
      <c r="F750">
        <v>2</v>
      </c>
      <c r="G750">
        <v>12</v>
      </c>
      <c r="H750" t="s">
        <v>13</v>
      </c>
      <c r="I750">
        <v>231.03</v>
      </c>
    </row>
    <row r="751" spans="1:9" x14ac:dyDescent="0.25">
      <c r="A751">
        <v>971</v>
      </c>
      <c r="B751">
        <v>58</v>
      </c>
      <c r="C751" t="s">
        <v>18</v>
      </c>
      <c r="D751">
        <v>51913</v>
      </c>
      <c r="E751">
        <v>14</v>
      </c>
      <c r="F751">
        <v>4</v>
      </c>
      <c r="G751">
        <v>21</v>
      </c>
      <c r="H751" t="s">
        <v>13</v>
      </c>
      <c r="I751">
        <v>733.63</v>
      </c>
    </row>
    <row r="752" spans="1:9" x14ac:dyDescent="0.25">
      <c r="A752">
        <v>975</v>
      </c>
      <c r="B752">
        <v>49</v>
      </c>
      <c r="C752" t="s">
        <v>18</v>
      </c>
      <c r="D752">
        <v>79546</v>
      </c>
      <c r="E752">
        <v>26</v>
      </c>
      <c r="F752">
        <v>5</v>
      </c>
      <c r="G752">
        <v>12</v>
      </c>
      <c r="H752" t="s">
        <v>13</v>
      </c>
      <c r="I752">
        <v>935.73</v>
      </c>
    </row>
    <row r="753" spans="1:9" x14ac:dyDescent="0.25">
      <c r="A753">
        <v>993</v>
      </c>
      <c r="B753">
        <v>22</v>
      </c>
      <c r="C753" t="s">
        <v>18</v>
      </c>
      <c r="D753">
        <v>125479</v>
      </c>
      <c r="E753">
        <v>57</v>
      </c>
      <c r="F753">
        <v>8</v>
      </c>
      <c r="G753">
        <v>27</v>
      </c>
      <c r="H753" t="s">
        <v>13</v>
      </c>
      <c r="I753">
        <v>139.75</v>
      </c>
    </row>
    <row r="754" spans="1:9" x14ac:dyDescent="0.25">
      <c r="A754">
        <v>1</v>
      </c>
      <c r="B754">
        <v>38</v>
      </c>
      <c r="C754" t="s">
        <v>18</v>
      </c>
      <c r="D754">
        <v>99342</v>
      </c>
      <c r="E754">
        <v>90</v>
      </c>
      <c r="F754">
        <v>3</v>
      </c>
      <c r="G754">
        <v>24</v>
      </c>
      <c r="H754" t="s">
        <v>16</v>
      </c>
      <c r="I754">
        <v>113.53</v>
      </c>
    </row>
    <row r="755" spans="1:9" x14ac:dyDescent="0.25">
      <c r="A755">
        <v>50</v>
      </c>
      <c r="B755">
        <v>68</v>
      </c>
      <c r="C755" t="s">
        <v>18</v>
      </c>
      <c r="D755">
        <v>146519</v>
      </c>
      <c r="E755">
        <v>96</v>
      </c>
      <c r="F755">
        <v>2</v>
      </c>
      <c r="G755">
        <v>18</v>
      </c>
      <c r="H755" t="s">
        <v>16</v>
      </c>
      <c r="I755">
        <v>673.79</v>
      </c>
    </row>
    <row r="756" spans="1:9" x14ac:dyDescent="0.25">
      <c r="A756">
        <v>73</v>
      </c>
      <c r="B756">
        <v>31</v>
      </c>
      <c r="C756" t="s">
        <v>18</v>
      </c>
      <c r="D756">
        <v>112452</v>
      </c>
      <c r="E756">
        <v>21</v>
      </c>
      <c r="F756">
        <v>1</v>
      </c>
      <c r="G756">
        <v>5</v>
      </c>
      <c r="H756" t="s">
        <v>16</v>
      </c>
      <c r="I756">
        <v>552.21</v>
      </c>
    </row>
    <row r="757" spans="1:9" x14ac:dyDescent="0.25">
      <c r="A757">
        <v>82</v>
      </c>
      <c r="B757">
        <v>36</v>
      </c>
      <c r="C757" t="s">
        <v>18</v>
      </c>
      <c r="D757">
        <v>148542</v>
      </c>
      <c r="E757">
        <v>60</v>
      </c>
      <c r="F757">
        <v>1</v>
      </c>
      <c r="G757">
        <v>17</v>
      </c>
      <c r="H757" t="s">
        <v>16</v>
      </c>
      <c r="I757">
        <v>15.66</v>
      </c>
    </row>
    <row r="758" spans="1:9" x14ac:dyDescent="0.25">
      <c r="A758">
        <v>101</v>
      </c>
      <c r="B758">
        <v>40</v>
      </c>
      <c r="C758" t="s">
        <v>18</v>
      </c>
      <c r="D758">
        <v>115569</v>
      </c>
      <c r="E758">
        <v>1</v>
      </c>
      <c r="F758">
        <v>2</v>
      </c>
      <c r="G758">
        <v>5</v>
      </c>
      <c r="H758" t="s">
        <v>16</v>
      </c>
      <c r="I758">
        <v>241.91</v>
      </c>
    </row>
    <row r="759" spans="1:9" x14ac:dyDescent="0.25">
      <c r="A759">
        <v>121</v>
      </c>
      <c r="B759">
        <v>47</v>
      </c>
      <c r="C759" t="s">
        <v>18</v>
      </c>
      <c r="D759">
        <v>112072</v>
      </c>
      <c r="E759">
        <v>50</v>
      </c>
      <c r="F759">
        <v>5</v>
      </c>
      <c r="G759">
        <v>21</v>
      </c>
      <c r="H759" t="s">
        <v>16</v>
      </c>
      <c r="I759">
        <v>884.19</v>
      </c>
    </row>
    <row r="760" spans="1:9" x14ac:dyDescent="0.25">
      <c r="A760">
        <v>139</v>
      </c>
      <c r="B760">
        <v>18</v>
      </c>
      <c r="C760" t="s">
        <v>18</v>
      </c>
      <c r="D760">
        <v>99638</v>
      </c>
      <c r="E760">
        <v>33</v>
      </c>
      <c r="F760">
        <v>8</v>
      </c>
      <c r="G760">
        <v>23</v>
      </c>
      <c r="H760" t="s">
        <v>16</v>
      </c>
      <c r="I760">
        <v>316.27</v>
      </c>
    </row>
    <row r="761" spans="1:9" x14ac:dyDescent="0.25">
      <c r="A761">
        <v>166</v>
      </c>
      <c r="B761">
        <v>41</v>
      </c>
      <c r="C761" t="s">
        <v>18</v>
      </c>
      <c r="D761">
        <v>48155</v>
      </c>
      <c r="E761">
        <v>19</v>
      </c>
      <c r="F761">
        <v>10</v>
      </c>
      <c r="G761">
        <v>36</v>
      </c>
      <c r="H761" t="s">
        <v>16</v>
      </c>
      <c r="I761">
        <v>566.65</v>
      </c>
    </row>
    <row r="762" spans="1:9" x14ac:dyDescent="0.25">
      <c r="A762">
        <v>179</v>
      </c>
      <c r="B762">
        <v>45</v>
      </c>
      <c r="C762" t="s">
        <v>18</v>
      </c>
      <c r="D762">
        <v>102050</v>
      </c>
      <c r="E762">
        <v>57</v>
      </c>
      <c r="F762">
        <v>8</v>
      </c>
      <c r="G762">
        <v>39</v>
      </c>
      <c r="H762" t="s">
        <v>16</v>
      </c>
      <c r="I762">
        <v>263.93</v>
      </c>
    </row>
    <row r="763" spans="1:9" x14ac:dyDescent="0.25">
      <c r="A763">
        <v>193</v>
      </c>
      <c r="B763">
        <v>69</v>
      </c>
      <c r="C763" t="s">
        <v>18</v>
      </c>
      <c r="D763">
        <v>39509</v>
      </c>
      <c r="E763">
        <v>10</v>
      </c>
      <c r="F763">
        <v>6</v>
      </c>
      <c r="G763">
        <v>27</v>
      </c>
      <c r="H763" t="s">
        <v>16</v>
      </c>
      <c r="I763">
        <v>377.66</v>
      </c>
    </row>
    <row r="764" spans="1:9" x14ac:dyDescent="0.25">
      <c r="A764">
        <v>199</v>
      </c>
      <c r="B764">
        <v>45</v>
      </c>
      <c r="C764" t="s">
        <v>18</v>
      </c>
      <c r="D764">
        <v>82014</v>
      </c>
      <c r="E764">
        <v>30</v>
      </c>
      <c r="F764">
        <v>10</v>
      </c>
      <c r="G764">
        <v>15</v>
      </c>
      <c r="H764" t="s">
        <v>16</v>
      </c>
      <c r="I764">
        <v>81.91</v>
      </c>
    </row>
    <row r="765" spans="1:9" x14ac:dyDescent="0.25">
      <c r="A765">
        <v>224</v>
      </c>
      <c r="B765">
        <v>51</v>
      </c>
      <c r="C765" t="s">
        <v>18</v>
      </c>
      <c r="D765">
        <v>33665</v>
      </c>
      <c r="E765">
        <v>12</v>
      </c>
      <c r="F765">
        <v>2</v>
      </c>
      <c r="G765">
        <v>2</v>
      </c>
      <c r="H765" t="s">
        <v>16</v>
      </c>
      <c r="I765">
        <v>139.07</v>
      </c>
    </row>
    <row r="766" spans="1:9" x14ac:dyDescent="0.25">
      <c r="A766">
        <v>233</v>
      </c>
      <c r="B766">
        <v>41</v>
      </c>
      <c r="C766" t="s">
        <v>18</v>
      </c>
      <c r="D766">
        <v>88312</v>
      </c>
      <c r="E766">
        <v>22</v>
      </c>
      <c r="F766">
        <v>6</v>
      </c>
      <c r="G766">
        <v>31</v>
      </c>
      <c r="H766" t="s">
        <v>16</v>
      </c>
      <c r="I766">
        <v>212.53</v>
      </c>
    </row>
    <row r="767" spans="1:9" x14ac:dyDescent="0.25">
      <c r="A767">
        <v>235</v>
      </c>
      <c r="B767">
        <v>19</v>
      </c>
      <c r="C767" t="s">
        <v>18</v>
      </c>
      <c r="D767">
        <v>41542</v>
      </c>
      <c r="E767">
        <v>21</v>
      </c>
      <c r="F767">
        <v>1</v>
      </c>
      <c r="G767">
        <v>22</v>
      </c>
      <c r="H767" t="s">
        <v>16</v>
      </c>
      <c r="I767">
        <v>132.88</v>
      </c>
    </row>
    <row r="768" spans="1:9" x14ac:dyDescent="0.25">
      <c r="A768">
        <v>239</v>
      </c>
      <c r="B768">
        <v>64</v>
      </c>
      <c r="C768" t="s">
        <v>18</v>
      </c>
      <c r="D768">
        <v>124599</v>
      </c>
      <c r="E768">
        <v>41</v>
      </c>
      <c r="F768">
        <v>9</v>
      </c>
      <c r="G768">
        <v>41</v>
      </c>
      <c r="H768" t="s">
        <v>16</v>
      </c>
      <c r="I768">
        <v>924.18</v>
      </c>
    </row>
    <row r="769" spans="1:9" x14ac:dyDescent="0.25">
      <c r="A769">
        <v>240</v>
      </c>
      <c r="B769">
        <v>44</v>
      </c>
      <c r="C769" t="s">
        <v>18</v>
      </c>
      <c r="D769">
        <v>121975</v>
      </c>
      <c r="E769">
        <v>33</v>
      </c>
      <c r="F769">
        <v>6</v>
      </c>
      <c r="G769">
        <v>27</v>
      </c>
      <c r="H769" t="s">
        <v>16</v>
      </c>
      <c r="I769">
        <v>640.96</v>
      </c>
    </row>
    <row r="770" spans="1:9" x14ac:dyDescent="0.25">
      <c r="A770">
        <v>276</v>
      </c>
      <c r="B770">
        <v>39</v>
      </c>
      <c r="C770" t="s">
        <v>18</v>
      </c>
      <c r="D770">
        <v>39931</v>
      </c>
      <c r="E770">
        <v>43</v>
      </c>
      <c r="F770">
        <v>1</v>
      </c>
      <c r="G770">
        <v>28</v>
      </c>
      <c r="H770" t="s">
        <v>16</v>
      </c>
      <c r="I770">
        <v>261.36</v>
      </c>
    </row>
    <row r="771" spans="1:9" x14ac:dyDescent="0.25">
      <c r="A771">
        <v>301</v>
      </c>
      <c r="B771">
        <v>52</v>
      </c>
      <c r="C771" t="s">
        <v>18</v>
      </c>
      <c r="D771">
        <v>106147</v>
      </c>
      <c r="E771">
        <v>2</v>
      </c>
      <c r="F771">
        <v>6</v>
      </c>
      <c r="G771">
        <v>19</v>
      </c>
      <c r="H771" t="s">
        <v>16</v>
      </c>
      <c r="I771">
        <v>412.65</v>
      </c>
    </row>
    <row r="772" spans="1:9" x14ac:dyDescent="0.25">
      <c r="A772">
        <v>309</v>
      </c>
      <c r="B772">
        <v>64</v>
      </c>
      <c r="C772" t="s">
        <v>18</v>
      </c>
      <c r="D772">
        <v>96182</v>
      </c>
      <c r="E772">
        <v>44</v>
      </c>
      <c r="F772">
        <v>4</v>
      </c>
      <c r="G772">
        <v>8</v>
      </c>
      <c r="H772" t="s">
        <v>16</v>
      </c>
      <c r="I772">
        <v>509.31</v>
      </c>
    </row>
    <row r="773" spans="1:9" x14ac:dyDescent="0.25">
      <c r="A773">
        <v>328</v>
      </c>
      <c r="B773">
        <v>41</v>
      </c>
      <c r="C773" t="s">
        <v>18</v>
      </c>
      <c r="D773">
        <v>64634</v>
      </c>
      <c r="E773">
        <v>55</v>
      </c>
      <c r="F773">
        <v>9</v>
      </c>
      <c r="G773">
        <v>44</v>
      </c>
      <c r="H773" t="s">
        <v>16</v>
      </c>
      <c r="I773">
        <v>488.07</v>
      </c>
    </row>
    <row r="774" spans="1:9" x14ac:dyDescent="0.25">
      <c r="A774">
        <v>375</v>
      </c>
      <c r="B774">
        <v>33</v>
      </c>
      <c r="C774" t="s">
        <v>18</v>
      </c>
      <c r="D774">
        <v>58367</v>
      </c>
      <c r="E774">
        <v>11</v>
      </c>
      <c r="F774">
        <v>4</v>
      </c>
      <c r="G774">
        <v>29</v>
      </c>
      <c r="H774" t="s">
        <v>16</v>
      </c>
      <c r="I774">
        <v>826.87</v>
      </c>
    </row>
    <row r="775" spans="1:9" x14ac:dyDescent="0.25">
      <c r="A775">
        <v>399</v>
      </c>
      <c r="B775">
        <v>19</v>
      </c>
      <c r="C775" t="s">
        <v>18</v>
      </c>
      <c r="D775">
        <v>69790</v>
      </c>
      <c r="E775">
        <v>3</v>
      </c>
      <c r="F775">
        <v>9</v>
      </c>
      <c r="G775">
        <v>38</v>
      </c>
      <c r="H775" t="s">
        <v>16</v>
      </c>
      <c r="I775">
        <v>596.63</v>
      </c>
    </row>
    <row r="776" spans="1:9" x14ac:dyDescent="0.25">
      <c r="A776">
        <v>414</v>
      </c>
      <c r="B776">
        <v>69</v>
      </c>
      <c r="C776" t="s">
        <v>18</v>
      </c>
      <c r="D776">
        <v>117737</v>
      </c>
      <c r="E776">
        <v>6</v>
      </c>
      <c r="F776">
        <v>4</v>
      </c>
      <c r="G776">
        <v>9</v>
      </c>
      <c r="H776" t="s">
        <v>16</v>
      </c>
      <c r="I776">
        <v>877.51</v>
      </c>
    </row>
    <row r="777" spans="1:9" x14ac:dyDescent="0.25">
      <c r="A777">
        <v>445</v>
      </c>
      <c r="B777">
        <v>62</v>
      </c>
      <c r="C777" t="s">
        <v>18</v>
      </c>
      <c r="D777">
        <v>75974</v>
      </c>
      <c r="E777">
        <v>68</v>
      </c>
      <c r="F777">
        <v>4</v>
      </c>
      <c r="G777">
        <v>46</v>
      </c>
      <c r="H777" t="s">
        <v>16</v>
      </c>
      <c r="I777">
        <v>180.09</v>
      </c>
    </row>
    <row r="778" spans="1:9" x14ac:dyDescent="0.25">
      <c r="A778">
        <v>474</v>
      </c>
      <c r="B778">
        <v>54</v>
      </c>
      <c r="C778" t="s">
        <v>18</v>
      </c>
      <c r="D778">
        <v>111261</v>
      </c>
      <c r="E778">
        <v>56</v>
      </c>
      <c r="F778">
        <v>1</v>
      </c>
      <c r="G778">
        <v>44</v>
      </c>
      <c r="H778" t="s">
        <v>16</v>
      </c>
      <c r="I778">
        <v>216.09</v>
      </c>
    </row>
    <row r="779" spans="1:9" x14ac:dyDescent="0.25">
      <c r="A779">
        <v>483</v>
      </c>
      <c r="B779">
        <v>44</v>
      </c>
      <c r="C779" t="s">
        <v>18</v>
      </c>
      <c r="D779">
        <v>43069</v>
      </c>
      <c r="E779">
        <v>55</v>
      </c>
      <c r="F779">
        <v>6</v>
      </c>
      <c r="G779">
        <v>33</v>
      </c>
      <c r="H779" t="s">
        <v>16</v>
      </c>
      <c r="I779">
        <v>501.34</v>
      </c>
    </row>
    <row r="780" spans="1:9" x14ac:dyDescent="0.25">
      <c r="A780">
        <v>491</v>
      </c>
      <c r="B780">
        <v>22</v>
      </c>
      <c r="C780" t="s">
        <v>18</v>
      </c>
      <c r="D780">
        <v>46900</v>
      </c>
      <c r="E780">
        <v>70</v>
      </c>
      <c r="F780">
        <v>1</v>
      </c>
      <c r="G780">
        <v>24</v>
      </c>
      <c r="H780" t="s">
        <v>16</v>
      </c>
      <c r="I780">
        <v>325.45999999999998</v>
      </c>
    </row>
    <row r="781" spans="1:9" x14ac:dyDescent="0.25">
      <c r="A781">
        <v>518</v>
      </c>
      <c r="B781">
        <v>45</v>
      </c>
      <c r="C781" t="s">
        <v>18</v>
      </c>
      <c r="D781">
        <v>110280</v>
      </c>
      <c r="E781">
        <v>85</v>
      </c>
      <c r="F781">
        <v>4</v>
      </c>
      <c r="G781">
        <v>21</v>
      </c>
      <c r="H781" t="s">
        <v>16</v>
      </c>
      <c r="I781">
        <v>944.07</v>
      </c>
    </row>
    <row r="782" spans="1:9" x14ac:dyDescent="0.25">
      <c r="A782">
        <v>543</v>
      </c>
      <c r="B782">
        <v>68</v>
      </c>
      <c r="C782" t="s">
        <v>18</v>
      </c>
      <c r="D782">
        <v>40478</v>
      </c>
      <c r="E782">
        <v>22</v>
      </c>
      <c r="F782">
        <v>4</v>
      </c>
      <c r="G782">
        <v>46</v>
      </c>
      <c r="H782" t="s">
        <v>16</v>
      </c>
      <c r="I782">
        <v>954.91</v>
      </c>
    </row>
    <row r="783" spans="1:9" x14ac:dyDescent="0.25">
      <c r="A783">
        <v>556</v>
      </c>
      <c r="B783">
        <v>25</v>
      </c>
      <c r="C783" t="s">
        <v>18</v>
      </c>
      <c r="D783">
        <v>52403</v>
      </c>
      <c r="E783">
        <v>53</v>
      </c>
      <c r="F783">
        <v>1</v>
      </c>
      <c r="G783">
        <v>14</v>
      </c>
      <c r="H783" t="s">
        <v>16</v>
      </c>
      <c r="I783">
        <v>73.34</v>
      </c>
    </row>
    <row r="784" spans="1:9" x14ac:dyDescent="0.25">
      <c r="A784">
        <v>569</v>
      </c>
      <c r="B784">
        <v>29</v>
      </c>
      <c r="C784" t="s">
        <v>18</v>
      </c>
      <c r="D784">
        <v>59815</v>
      </c>
      <c r="E784">
        <v>43</v>
      </c>
      <c r="F784">
        <v>6</v>
      </c>
      <c r="G784">
        <v>24</v>
      </c>
      <c r="H784" t="s">
        <v>16</v>
      </c>
      <c r="I784">
        <v>105.48</v>
      </c>
    </row>
    <row r="785" spans="1:9" x14ac:dyDescent="0.25">
      <c r="A785">
        <v>573</v>
      </c>
      <c r="B785">
        <v>40</v>
      </c>
      <c r="C785" t="s">
        <v>18</v>
      </c>
      <c r="D785">
        <v>143338</v>
      </c>
      <c r="E785">
        <v>6</v>
      </c>
      <c r="F785">
        <v>8</v>
      </c>
      <c r="G785">
        <v>26</v>
      </c>
      <c r="H785" t="s">
        <v>16</v>
      </c>
      <c r="I785">
        <v>491.07</v>
      </c>
    </row>
    <row r="786" spans="1:9" x14ac:dyDescent="0.25">
      <c r="A786">
        <v>577</v>
      </c>
      <c r="B786">
        <v>32</v>
      </c>
      <c r="C786" t="s">
        <v>18</v>
      </c>
      <c r="D786">
        <v>46610</v>
      </c>
      <c r="E786">
        <v>92</v>
      </c>
      <c r="F786">
        <v>5</v>
      </c>
      <c r="G786">
        <v>9</v>
      </c>
      <c r="H786" t="s">
        <v>16</v>
      </c>
      <c r="I786">
        <v>409.85</v>
      </c>
    </row>
    <row r="787" spans="1:9" x14ac:dyDescent="0.25">
      <c r="A787">
        <v>580</v>
      </c>
      <c r="B787">
        <v>51</v>
      </c>
      <c r="C787" t="s">
        <v>18</v>
      </c>
      <c r="D787">
        <v>149744</v>
      </c>
      <c r="E787">
        <v>99</v>
      </c>
      <c r="F787">
        <v>1</v>
      </c>
      <c r="G787">
        <v>12</v>
      </c>
      <c r="H787" t="s">
        <v>16</v>
      </c>
      <c r="I787">
        <v>215.92</v>
      </c>
    </row>
    <row r="788" spans="1:9" x14ac:dyDescent="0.25">
      <c r="A788">
        <v>601</v>
      </c>
      <c r="B788">
        <v>53</v>
      </c>
      <c r="C788" t="s">
        <v>18</v>
      </c>
      <c r="D788">
        <v>137854</v>
      </c>
      <c r="E788">
        <v>33</v>
      </c>
      <c r="F788">
        <v>10</v>
      </c>
      <c r="G788">
        <v>47</v>
      </c>
      <c r="H788" t="s">
        <v>16</v>
      </c>
      <c r="I788">
        <v>523.27</v>
      </c>
    </row>
    <row r="789" spans="1:9" x14ac:dyDescent="0.25">
      <c r="A789">
        <v>631</v>
      </c>
      <c r="B789">
        <v>47</v>
      </c>
      <c r="C789" t="s">
        <v>18</v>
      </c>
      <c r="D789">
        <v>108766</v>
      </c>
      <c r="E789">
        <v>37</v>
      </c>
      <c r="F789">
        <v>7</v>
      </c>
      <c r="G789">
        <v>38</v>
      </c>
      <c r="H789" t="s">
        <v>16</v>
      </c>
      <c r="I789">
        <v>640.54999999999995</v>
      </c>
    </row>
    <row r="790" spans="1:9" x14ac:dyDescent="0.25">
      <c r="A790">
        <v>648</v>
      </c>
      <c r="B790">
        <v>43</v>
      </c>
      <c r="C790" t="s">
        <v>18</v>
      </c>
      <c r="D790">
        <v>67979</v>
      </c>
      <c r="E790">
        <v>49</v>
      </c>
      <c r="F790">
        <v>2</v>
      </c>
      <c r="G790">
        <v>6</v>
      </c>
      <c r="H790" t="s">
        <v>16</v>
      </c>
      <c r="I790">
        <v>420.03</v>
      </c>
    </row>
    <row r="791" spans="1:9" x14ac:dyDescent="0.25">
      <c r="A791">
        <v>663</v>
      </c>
      <c r="B791">
        <v>30</v>
      </c>
      <c r="C791" t="s">
        <v>18</v>
      </c>
      <c r="D791">
        <v>76658</v>
      </c>
      <c r="E791">
        <v>70</v>
      </c>
      <c r="F791">
        <v>3</v>
      </c>
      <c r="G791">
        <v>32</v>
      </c>
      <c r="H791" t="s">
        <v>16</v>
      </c>
      <c r="I791">
        <v>760.27</v>
      </c>
    </row>
    <row r="792" spans="1:9" x14ac:dyDescent="0.25">
      <c r="A792">
        <v>676</v>
      </c>
      <c r="B792">
        <v>64</v>
      </c>
      <c r="C792" t="s">
        <v>18</v>
      </c>
      <c r="D792">
        <v>48169</v>
      </c>
      <c r="E792">
        <v>39</v>
      </c>
      <c r="F792">
        <v>5</v>
      </c>
      <c r="G792">
        <v>33</v>
      </c>
      <c r="H792" t="s">
        <v>16</v>
      </c>
      <c r="I792">
        <v>451.86</v>
      </c>
    </row>
    <row r="793" spans="1:9" x14ac:dyDescent="0.25">
      <c r="A793">
        <v>677</v>
      </c>
      <c r="B793">
        <v>51</v>
      </c>
      <c r="C793" t="s">
        <v>18</v>
      </c>
      <c r="D793">
        <v>146159</v>
      </c>
      <c r="E793">
        <v>99</v>
      </c>
      <c r="F793">
        <v>7</v>
      </c>
      <c r="G793">
        <v>38</v>
      </c>
      <c r="H793" t="s">
        <v>16</v>
      </c>
      <c r="I793">
        <v>808.89</v>
      </c>
    </row>
    <row r="794" spans="1:9" x14ac:dyDescent="0.25">
      <c r="A794">
        <v>693</v>
      </c>
      <c r="B794">
        <v>28</v>
      </c>
      <c r="C794" t="s">
        <v>18</v>
      </c>
      <c r="D794">
        <v>142450</v>
      </c>
      <c r="E794">
        <v>80</v>
      </c>
      <c r="F794">
        <v>3</v>
      </c>
      <c r="G794">
        <v>22</v>
      </c>
      <c r="H794" t="s">
        <v>16</v>
      </c>
      <c r="I794">
        <v>471.87</v>
      </c>
    </row>
    <row r="795" spans="1:9" x14ac:dyDescent="0.25">
      <c r="A795">
        <v>731</v>
      </c>
      <c r="B795">
        <v>53</v>
      </c>
      <c r="C795" t="s">
        <v>18</v>
      </c>
      <c r="D795">
        <v>52855</v>
      </c>
      <c r="E795">
        <v>12</v>
      </c>
      <c r="F795">
        <v>5</v>
      </c>
      <c r="G795">
        <v>33</v>
      </c>
      <c r="H795" t="s">
        <v>16</v>
      </c>
      <c r="I795">
        <v>444.09</v>
      </c>
    </row>
    <row r="796" spans="1:9" x14ac:dyDescent="0.25">
      <c r="A796">
        <v>745</v>
      </c>
      <c r="B796">
        <v>30</v>
      </c>
      <c r="C796" t="s">
        <v>18</v>
      </c>
      <c r="D796">
        <v>64288</v>
      </c>
      <c r="E796">
        <v>93</v>
      </c>
      <c r="F796">
        <v>9</v>
      </c>
      <c r="G796">
        <v>43</v>
      </c>
      <c r="H796" t="s">
        <v>16</v>
      </c>
      <c r="I796">
        <v>825.85</v>
      </c>
    </row>
    <row r="797" spans="1:9" x14ac:dyDescent="0.25">
      <c r="A797">
        <v>748</v>
      </c>
      <c r="B797">
        <v>57</v>
      </c>
      <c r="C797" t="s">
        <v>18</v>
      </c>
      <c r="D797">
        <v>58696</v>
      </c>
      <c r="E797">
        <v>69</v>
      </c>
      <c r="F797">
        <v>4</v>
      </c>
      <c r="G797">
        <v>29</v>
      </c>
      <c r="H797" t="s">
        <v>16</v>
      </c>
      <c r="I797">
        <v>570.87</v>
      </c>
    </row>
    <row r="798" spans="1:9" x14ac:dyDescent="0.25">
      <c r="A798">
        <v>773</v>
      </c>
      <c r="B798">
        <v>51</v>
      </c>
      <c r="C798" t="s">
        <v>18</v>
      </c>
      <c r="D798">
        <v>70099</v>
      </c>
      <c r="E798">
        <v>42</v>
      </c>
      <c r="F798">
        <v>7</v>
      </c>
      <c r="G798">
        <v>12</v>
      </c>
      <c r="H798" t="s">
        <v>16</v>
      </c>
      <c r="I798">
        <v>481.56</v>
      </c>
    </row>
    <row r="799" spans="1:9" x14ac:dyDescent="0.25">
      <c r="A799">
        <v>776</v>
      </c>
      <c r="B799">
        <v>31</v>
      </c>
      <c r="C799" t="s">
        <v>18</v>
      </c>
      <c r="D799">
        <v>123947</v>
      </c>
      <c r="E799">
        <v>25</v>
      </c>
      <c r="F799">
        <v>2</v>
      </c>
      <c r="G799">
        <v>39</v>
      </c>
      <c r="H799" t="s">
        <v>16</v>
      </c>
      <c r="I799">
        <v>355.67</v>
      </c>
    </row>
    <row r="800" spans="1:9" x14ac:dyDescent="0.25">
      <c r="A800">
        <v>804</v>
      </c>
      <c r="B800">
        <v>59</v>
      </c>
      <c r="C800" t="s">
        <v>18</v>
      </c>
      <c r="D800">
        <v>58656</v>
      </c>
      <c r="E800">
        <v>47</v>
      </c>
      <c r="F800">
        <v>6</v>
      </c>
      <c r="G800">
        <v>6</v>
      </c>
      <c r="H800" t="s">
        <v>16</v>
      </c>
      <c r="I800">
        <v>246.07</v>
      </c>
    </row>
    <row r="801" spans="1:9" x14ac:dyDescent="0.25">
      <c r="A801">
        <v>817</v>
      </c>
      <c r="B801">
        <v>37</v>
      </c>
      <c r="C801" t="s">
        <v>18</v>
      </c>
      <c r="D801">
        <v>115734</v>
      </c>
      <c r="E801">
        <v>87</v>
      </c>
      <c r="F801">
        <v>2</v>
      </c>
      <c r="G801">
        <v>50</v>
      </c>
      <c r="H801" t="s">
        <v>16</v>
      </c>
      <c r="I801">
        <v>646.4</v>
      </c>
    </row>
    <row r="802" spans="1:9" x14ac:dyDescent="0.25">
      <c r="A802">
        <v>822</v>
      </c>
      <c r="B802">
        <v>26</v>
      </c>
      <c r="C802" t="s">
        <v>18</v>
      </c>
      <c r="D802">
        <v>34901</v>
      </c>
      <c r="E802">
        <v>31</v>
      </c>
      <c r="F802">
        <v>7</v>
      </c>
      <c r="G802">
        <v>9</v>
      </c>
      <c r="H802" t="s">
        <v>16</v>
      </c>
      <c r="I802">
        <v>667.8</v>
      </c>
    </row>
    <row r="803" spans="1:9" x14ac:dyDescent="0.25">
      <c r="A803">
        <v>835</v>
      </c>
      <c r="B803">
        <v>41</v>
      </c>
      <c r="C803" t="s">
        <v>18</v>
      </c>
      <c r="D803">
        <v>68147</v>
      </c>
      <c r="E803">
        <v>75</v>
      </c>
      <c r="F803">
        <v>2</v>
      </c>
      <c r="G803">
        <v>33</v>
      </c>
      <c r="H803" t="s">
        <v>16</v>
      </c>
      <c r="I803">
        <v>553.35</v>
      </c>
    </row>
    <row r="804" spans="1:9" x14ac:dyDescent="0.25">
      <c r="A804">
        <v>837</v>
      </c>
      <c r="B804">
        <v>69</v>
      </c>
      <c r="C804" t="s">
        <v>18</v>
      </c>
      <c r="D804">
        <v>106629</v>
      </c>
      <c r="E804">
        <v>4</v>
      </c>
      <c r="F804">
        <v>7</v>
      </c>
      <c r="G804">
        <v>9</v>
      </c>
      <c r="H804" t="s">
        <v>16</v>
      </c>
      <c r="I804">
        <v>443.22</v>
      </c>
    </row>
    <row r="805" spans="1:9" x14ac:dyDescent="0.25">
      <c r="A805">
        <v>840</v>
      </c>
      <c r="B805">
        <v>58</v>
      </c>
      <c r="C805" t="s">
        <v>18</v>
      </c>
      <c r="D805">
        <v>68764</v>
      </c>
      <c r="E805">
        <v>96</v>
      </c>
      <c r="F805">
        <v>6</v>
      </c>
      <c r="G805">
        <v>31</v>
      </c>
      <c r="H805" t="s">
        <v>16</v>
      </c>
      <c r="I805">
        <v>723.66</v>
      </c>
    </row>
    <row r="806" spans="1:9" x14ac:dyDescent="0.25">
      <c r="A806">
        <v>852</v>
      </c>
      <c r="B806">
        <v>64</v>
      </c>
      <c r="C806" t="s">
        <v>18</v>
      </c>
      <c r="D806">
        <v>63123</v>
      </c>
      <c r="E806">
        <v>88</v>
      </c>
      <c r="F806">
        <v>1</v>
      </c>
      <c r="G806">
        <v>16</v>
      </c>
      <c r="H806" t="s">
        <v>16</v>
      </c>
      <c r="I806">
        <v>330.95</v>
      </c>
    </row>
    <row r="807" spans="1:9" x14ac:dyDescent="0.25">
      <c r="A807">
        <v>854</v>
      </c>
      <c r="B807">
        <v>27</v>
      </c>
      <c r="C807" t="s">
        <v>18</v>
      </c>
      <c r="D807">
        <v>40595</v>
      </c>
      <c r="E807">
        <v>84</v>
      </c>
      <c r="F807">
        <v>6</v>
      </c>
      <c r="G807">
        <v>15</v>
      </c>
      <c r="H807" t="s">
        <v>16</v>
      </c>
      <c r="I807">
        <v>268.76</v>
      </c>
    </row>
    <row r="808" spans="1:9" x14ac:dyDescent="0.25">
      <c r="A808">
        <v>881</v>
      </c>
      <c r="B808">
        <v>47</v>
      </c>
      <c r="C808" t="s">
        <v>18</v>
      </c>
      <c r="D808">
        <v>133264</v>
      </c>
      <c r="E808">
        <v>93</v>
      </c>
      <c r="F808">
        <v>2</v>
      </c>
      <c r="G808">
        <v>21</v>
      </c>
      <c r="H808" t="s">
        <v>16</v>
      </c>
      <c r="I808">
        <v>11.01</v>
      </c>
    </row>
    <row r="809" spans="1:9" x14ac:dyDescent="0.25">
      <c r="A809">
        <v>904</v>
      </c>
      <c r="B809">
        <v>64</v>
      </c>
      <c r="C809" t="s">
        <v>18</v>
      </c>
      <c r="D809">
        <v>122557</v>
      </c>
      <c r="E809">
        <v>87</v>
      </c>
      <c r="F809">
        <v>2</v>
      </c>
      <c r="G809">
        <v>5</v>
      </c>
      <c r="H809" t="s">
        <v>16</v>
      </c>
      <c r="I809">
        <v>344.59</v>
      </c>
    </row>
    <row r="810" spans="1:9" x14ac:dyDescent="0.25">
      <c r="A810">
        <v>909</v>
      </c>
      <c r="B810">
        <v>27</v>
      </c>
      <c r="C810" t="s">
        <v>18</v>
      </c>
      <c r="D810">
        <v>89618</v>
      </c>
      <c r="E810">
        <v>49</v>
      </c>
      <c r="F810">
        <v>8</v>
      </c>
      <c r="G810">
        <v>12</v>
      </c>
      <c r="H810" t="s">
        <v>16</v>
      </c>
      <c r="I810">
        <v>831.05</v>
      </c>
    </row>
    <row r="811" spans="1:9" x14ac:dyDescent="0.25">
      <c r="A811">
        <v>918</v>
      </c>
      <c r="B811">
        <v>36</v>
      </c>
      <c r="C811" t="s">
        <v>18</v>
      </c>
      <c r="D811">
        <v>45458</v>
      </c>
      <c r="E811">
        <v>74</v>
      </c>
      <c r="F811">
        <v>6</v>
      </c>
      <c r="G811">
        <v>19</v>
      </c>
      <c r="H811" t="s">
        <v>16</v>
      </c>
      <c r="I811">
        <v>135.22999999999999</v>
      </c>
    </row>
    <row r="812" spans="1:9" x14ac:dyDescent="0.25">
      <c r="A812">
        <v>926</v>
      </c>
      <c r="B812">
        <v>39</v>
      </c>
      <c r="C812" t="s">
        <v>18</v>
      </c>
      <c r="D812">
        <v>53091</v>
      </c>
      <c r="E812">
        <v>41</v>
      </c>
      <c r="F812">
        <v>9</v>
      </c>
      <c r="G812">
        <v>3</v>
      </c>
      <c r="H812" t="s">
        <v>16</v>
      </c>
      <c r="I812">
        <v>12.45</v>
      </c>
    </row>
    <row r="813" spans="1:9" x14ac:dyDescent="0.25">
      <c r="A813">
        <v>952</v>
      </c>
      <c r="B813">
        <v>29</v>
      </c>
      <c r="C813" t="s">
        <v>18</v>
      </c>
      <c r="D813">
        <v>45164</v>
      </c>
      <c r="E813">
        <v>54</v>
      </c>
      <c r="F813">
        <v>8</v>
      </c>
      <c r="G813">
        <v>45</v>
      </c>
      <c r="H813" t="s">
        <v>16</v>
      </c>
      <c r="I813">
        <v>915.62</v>
      </c>
    </row>
    <row r="814" spans="1:9" x14ac:dyDescent="0.25">
      <c r="A814">
        <v>957</v>
      </c>
      <c r="B814">
        <v>60</v>
      </c>
      <c r="C814" t="s">
        <v>18</v>
      </c>
      <c r="D814">
        <v>56429</v>
      </c>
      <c r="E814">
        <v>69</v>
      </c>
      <c r="F814">
        <v>9</v>
      </c>
      <c r="G814">
        <v>32</v>
      </c>
      <c r="H814" t="s">
        <v>16</v>
      </c>
      <c r="I814">
        <v>894.95</v>
      </c>
    </row>
    <row r="815" spans="1:9" x14ac:dyDescent="0.25">
      <c r="A815">
        <v>959</v>
      </c>
      <c r="B815">
        <v>38</v>
      </c>
      <c r="C815" t="s">
        <v>18</v>
      </c>
      <c r="D815">
        <v>99054</v>
      </c>
      <c r="E815">
        <v>59</v>
      </c>
      <c r="F815">
        <v>6</v>
      </c>
      <c r="G815">
        <v>4</v>
      </c>
      <c r="H815" t="s">
        <v>16</v>
      </c>
      <c r="I815">
        <v>174.22</v>
      </c>
    </row>
    <row r="816" spans="1:9" x14ac:dyDescent="0.25">
      <c r="A816">
        <v>963</v>
      </c>
      <c r="B816">
        <v>66</v>
      </c>
      <c r="C816" t="s">
        <v>18</v>
      </c>
      <c r="D816">
        <v>72885</v>
      </c>
      <c r="E816">
        <v>1</v>
      </c>
      <c r="F816">
        <v>9</v>
      </c>
      <c r="G816">
        <v>33</v>
      </c>
      <c r="H816" t="s">
        <v>16</v>
      </c>
      <c r="I816">
        <v>654.48</v>
      </c>
    </row>
    <row r="817" spans="1:9" x14ac:dyDescent="0.25">
      <c r="A817">
        <v>968</v>
      </c>
      <c r="B817">
        <v>23</v>
      </c>
      <c r="C817" t="s">
        <v>18</v>
      </c>
      <c r="D817">
        <v>74773</v>
      </c>
      <c r="E817">
        <v>16</v>
      </c>
      <c r="F817">
        <v>2</v>
      </c>
      <c r="G817">
        <v>42</v>
      </c>
      <c r="H817" t="s">
        <v>16</v>
      </c>
      <c r="I817">
        <v>626.04999999999995</v>
      </c>
    </row>
    <row r="818" spans="1:9" x14ac:dyDescent="0.25">
      <c r="A818">
        <v>970</v>
      </c>
      <c r="B818">
        <v>68</v>
      </c>
      <c r="C818" t="s">
        <v>18</v>
      </c>
      <c r="D818">
        <v>40471</v>
      </c>
      <c r="E818">
        <v>28</v>
      </c>
      <c r="F818">
        <v>3</v>
      </c>
      <c r="G818">
        <v>33</v>
      </c>
      <c r="H818" t="s">
        <v>16</v>
      </c>
      <c r="I818">
        <v>40.89</v>
      </c>
    </row>
    <row r="819" spans="1:9" x14ac:dyDescent="0.25">
      <c r="A819">
        <v>1000</v>
      </c>
      <c r="B819">
        <v>36</v>
      </c>
      <c r="C819" t="s">
        <v>18</v>
      </c>
      <c r="D819">
        <v>90420</v>
      </c>
      <c r="E819">
        <v>7</v>
      </c>
      <c r="F819">
        <v>2</v>
      </c>
      <c r="G819">
        <v>31</v>
      </c>
      <c r="H819" t="s">
        <v>16</v>
      </c>
      <c r="I819">
        <v>669.26</v>
      </c>
    </row>
    <row r="820" spans="1:9" x14ac:dyDescent="0.25">
      <c r="A820">
        <v>5</v>
      </c>
      <c r="B820">
        <v>65</v>
      </c>
      <c r="C820" t="s">
        <v>18</v>
      </c>
      <c r="D820">
        <v>140621</v>
      </c>
      <c r="E820">
        <v>21</v>
      </c>
      <c r="F820">
        <v>3</v>
      </c>
      <c r="G820">
        <v>25</v>
      </c>
      <c r="H820" t="s">
        <v>14</v>
      </c>
      <c r="I820">
        <v>347.08</v>
      </c>
    </row>
    <row r="821" spans="1:9" x14ac:dyDescent="0.25">
      <c r="A821">
        <v>10</v>
      </c>
      <c r="B821">
        <v>55</v>
      </c>
      <c r="C821" t="s">
        <v>18</v>
      </c>
      <c r="D821">
        <v>45839</v>
      </c>
      <c r="E821">
        <v>55</v>
      </c>
      <c r="F821">
        <v>7</v>
      </c>
      <c r="G821">
        <v>2</v>
      </c>
      <c r="H821" t="s">
        <v>14</v>
      </c>
      <c r="I821">
        <v>821.18</v>
      </c>
    </row>
    <row r="822" spans="1:9" x14ac:dyDescent="0.25">
      <c r="A822">
        <v>32</v>
      </c>
      <c r="B822">
        <v>60</v>
      </c>
      <c r="C822" t="s">
        <v>18</v>
      </c>
      <c r="D822">
        <v>45733</v>
      </c>
      <c r="E822">
        <v>69</v>
      </c>
      <c r="F822">
        <v>2</v>
      </c>
      <c r="G822">
        <v>18</v>
      </c>
      <c r="H822" t="s">
        <v>14</v>
      </c>
      <c r="I822">
        <v>197.29</v>
      </c>
    </row>
    <row r="823" spans="1:9" x14ac:dyDescent="0.25">
      <c r="A823">
        <v>59</v>
      </c>
      <c r="B823">
        <v>43</v>
      </c>
      <c r="C823" t="s">
        <v>18</v>
      </c>
      <c r="D823">
        <v>81595</v>
      </c>
      <c r="E823">
        <v>12</v>
      </c>
      <c r="F823">
        <v>7</v>
      </c>
      <c r="G823">
        <v>1</v>
      </c>
      <c r="H823" t="s">
        <v>14</v>
      </c>
      <c r="I823">
        <v>806.26</v>
      </c>
    </row>
    <row r="824" spans="1:9" x14ac:dyDescent="0.25">
      <c r="A824">
        <v>64</v>
      </c>
      <c r="B824">
        <v>50</v>
      </c>
      <c r="C824" t="s">
        <v>18</v>
      </c>
      <c r="D824">
        <v>85111</v>
      </c>
      <c r="E824">
        <v>31</v>
      </c>
      <c r="F824">
        <v>1</v>
      </c>
      <c r="G824">
        <v>19</v>
      </c>
      <c r="H824" t="s">
        <v>14</v>
      </c>
      <c r="I824">
        <v>319.05</v>
      </c>
    </row>
    <row r="825" spans="1:9" x14ac:dyDescent="0.25">
      <c r="A825">
        <v>67</v>
      </c>
      <c r="B825">
        <v>36</v>
      </c>
      <c r="C825" t="s">
        <v>18</v>
      </c>
      <c r="D825">
        <v>127346</v>
      </c>
      <c r="E825">
        <v>75</v>
      </c>
      <c r="F825">
        <v>5</v>
      </c>
      <c r="G825">
        <v>7</v>
      </c>
      <c r="H825" t="s">
        <v>14</v>
      </c>
      <c r="I825">
        <v>335.98</v>
      </c>
    </row>
    <row r="826" spans="1:9" x14ac:dyDescent="0.25">
      <c r="A826">
        <v>71</v>
      </c>
      <c r="B826">
        <v>23</v>
      </c>
      <c r="C826" t="s">
        <v>18</v>
      </c>
      <c r="D826">
        <v>66376</v>
      </c>
      <c r="E826">
        <v>60</v>
      </c>
      <c r="F826">
        <v>1</v>
      </c>
      <c r="G826">
        <v>18</v>
      </c>
      <c r="H826" t="s">
        <v>14</v>
      </c>
      <c r="I826">
        <v>77.73</v>
      </c>
    </row>
    <row r="827" spans="1:9" x14ac:dyDescent="0.25">
      <c r="A827">
        <v>106</v>
      </c>
      <c r="B827">
        <v>55</v>
      </c>
      <c r="C827" t="s">
        <v>18</v>
      </c>
      <c r="D827">
        <v>147187</v>
      </c>
      <c r="E827">
        <v>37</v>
      </c>
      <c r="F827">
        <v>7</v>
      </c>
      <c r="G827">
        <v>27</v>
      </c>
      <c r="H827" t="s">
        <v>14</v>
      </c>
      <c r="I827">
        <v>941.67</v>
      </c>
    </row>
    <row r="828" spans="1:9" x14ac:dyDescent="0.25">
      <c r="A828">
        <v>109</v>
      </c>
      <c r="B828">
        <v>57</v>
      </c>
      <c r="C828" t="s">
        <v>18</v>
      </c>
      <c r="D828">
        <v>81695</v>
      </c>
      <c r="E828">
        <v>90</v>
      </c>
      <c r="F828">
        <v>8</v>
      </c>
      <c r="G828">
        <v>44</v>
      </c>
      <c r="H828" t="s">
        <v>14</v>
      </c>
      <c r="I828">
        <v>179.8</v>
      </c>
    </row>
    <row r="829" spans="1:9" x14ac:dyDescent="0.25">
      <c r="A829">
        <v>126</v>
      </c>
      <c r="B829">
        <v>26</v>
      </c>
      <c r="C829" t="s">
        <v>18</v>
      </c>
      <c r="D829">
        <v>69795</v>
      </c>
      <c r="E829">
        <v>60</v>
      </c>
      <c r="F829">
        <v>9</v>
      </c>
      <c r="G829">
        <v>29</v>
      </c>
      <c r="H829" t="s">
        <v>14</v>
      </c>
      <c r="I829">
        <v>389.37</v>
      </c>
    </row>
    <row r="830" spans="1:9" x14ac:dyDescent="0.25">
      <c r="A830">
        <v>178</v>
      </c>
      <c r="B830">
        <v>67</v>
      </c>
      <c r="C830" t="s">
        <v>18</v>
      </c>
      <c r="D830">
        <v>130300</v>
      </c>
      <c r="E830">
        <v>75</v>
      </c>
      <c r="F830">
        <v>5</v>
      </c>
      <c r="G830">
        <v>27</v>
      </c>
      <c r="H830" t="s">
        <v>14</v>
      </c>
      <c r="I830">
        <v>94.32</v>
      </c>
    </row>
    <row r="831" spans="1:9" x14ac:dyDescent="0.25">
      <c r="A831">
        <v>218</v>
      </c>
      <c r="B831">
        <v>55</v>
      </c>
      <c r="C831" t="s">
        <v>18</v>
      </c>
      <c r="D831">
        <v>147024</v>
      </c>
      <c r="E831">
        <v>24</v>
      </c>
      <c r="F831">
        <v>9</v>
      </c>
      <c r="G831">
        <v>16</v>
      </c>
      <c r="H831" t="s">
        <v>14</v>
      </c>
      <c r="I831">
        <v>169.79</v>
      </c>
    </row>
    <row r="832" spans="1:9" x14ac:dyDescent="0.25">
      <c r="A832">
        <v>225</v>
      </c>
      <c r="B832">
        <v>54</v>
      </c>
      <c r="C832" t="s">
        <v>18</v>
      </c>
      <c r="D832">
        <v>92156</v>
      </c>
      <c r="E832">
        <v>18</v>
      </c>
      <c r="F832">
        <v>7</v>
      </c>
      <c r="G832">
        <v>14</v>
      </c>
      <c r="H832" t="s">
        <v>14</v>
      </c>
      <c r="I832">
        <v>238.87</v>
      </c>
    </row>
    <row r="833" spans="1:9" x14ac:dyDescent="0.25">
      <c r="A833">
        <v>231</v>
      </c>
      <c r="B833">
        <v>24</v>
      </c>
      <c r="C833" t="s">
        <v>18</v>
      </c>
      <c r="D833">
        <v>147572</v>
      </c>
      <c r="E833">
        <v>44</v>
      </c>
      <c r="F833">
        <v>7</v>
      </c>
      <c r="G833">
        <v>45</v>
      </c>
      <c r="H833" t="s">
        <v>14</v>
      </c>
      <c r="I833">
        <v>204.27</v>
      </c>
    </row>
    <row r="834" spans="1:9" x14ac:dyDescent="0.25">
      <c r="A834">
        <v>242</v>
      </c>
      <c r="B834">
        <v>31</v>
      </c>
      <c r="C834" t="s">
        <v>18</v>
      </c>
      <c r="D834">
        <v>125501</v>
      </c>
      <c r="E834">
        <v>74</v>
      </c>
      <c r="F834">
        <v>3</v>
      </c>
      <c r="G834">
        <v>18</v>
      </c>
      <c r="H834" t="s">
        <v>14</v>
      </c>
      <c r="I834">
        <v>947.76</v>
      </c>
    </row>
    <row r="835" spans="1:9" x14ac:dyDescent="0.25">
      <c r="A835">
        <v>264</v>
      </c>
      <c r="B835">
        <v>57</v>
      </c>
      <c r="C835" t="s">
        <v>18</v>
      </c>
      <c r="D835">
        <v>31451</v>
      </c>
      <c r="E835">
        <v>75</v>
      </c>
      <c r="F835">
        <v>3</v>
      </c>
      <c r="G835">
        <v>8</v>
      </c>
      <c r="H835" t="s">
        <v>14</v>
      </c>
      <c r="I835">
        <v>611.79</v>
      </c>
    </row>
    <row r="836" spans="1:9" x14ac:dyDescent="0.25">
      <c r="A836">
        <v>270</v>
      </c>
      <c r="B836">
        <v>28</v>
      </c>
      <c r="C836" t="s">
        <v>18</v>
      </c>
      <c r="D836">
        <v>49020</v>
      </c>
      <c r="E836">
        <v>75</v>
      </c>
      <c r="F836">
        <v>9</v>
      </c>
      <c r="G836">
        <v>49</v>
      </c>
      <c r="H836" t="s">
        <v>14</v>
      </c>
      <c r="I836">
        <v>109.03</v>
      </c>
    </row>
    <row r="837" spans="1:9" x14ac:dyDescent="0.25">
      <c r="A837">
        <v>303</v>
      </c>
      <c r="B837">
        <v>59</v>
      </c>
      <c r="C837" t="s">
        <v>18</v>
      </c>
      <c r="D837">
        <v>57745</v>
      </c>
      <c r="E837">
        <v>33</v>
      </c>
      <c r="F837">
        <v>7</v>
      </c>
      <c r="G837">
        <v>42</v>
      </c>
      <c r="H837" t="s">
        <v>14</v>
      </c>
      <c r="I837">
        <v>492.87</v>
      </c>
    </row>
    <row r="838" spans="1:9" x14ac:dyDescent="0.25">
      <c r="A838">
        <v>304</v>
      </c>
      <c r="B838">
        <v>50</v>
      </c>
      <c r="C838" t="s">
        <v>18</v>
      </c>
      <c r="D838">
        <v>78296</v>
      </c>
      <c r="E838">
        <v>93</v>
      </c>
      <c r="F838">
        <v>9</v>
      </c>
      <c r="G838">
        <v>47</v>
      </c>
      <c r="H838" t="s">
        <v>14</v>
      </c>
      <c r="I838">
        <v>559.16</v>
      </c>
    </row>
    <row r="839" spans="1:9" x14ac:dyDescent="0.25">
      <c r="A839">
        <v>308</v>
      </c>
      <c r="B839">
        <v>54</v>
      </c>
      <c r="C839" t="s">
        <v>18</v>
      </c>
      <c r="D839">
        <v>76995</v>
      </c>
      <c r="E839">
        <v>14</v>
      </c>
      <c r="F839">
        <v>3</v>
      </c>
      <c r="G839">
        <v>46</v>
      </c>
      <c r="H839" t="s">
        <v>14</v>
      </c>
      <c r="I839">
        <v>685.09</v>
      </c>
    </row>
    <row r="840" spans="1:9" x14ac:dyDescent="0.25">
      <c r="A840">
        <v>315</v>
      </c>
      <c r="B840">
        <v>68</v>
      </c>
      <c r="C840" t="s">
        <v>18</v>
      </c>
      <c r="D840">
        <v>62971</v>
      </c>
      <c r="E840">
        <v>27</v>
      </c>
      <c r="F840">
        <v>8</v>
      </c>
      <c r="G840">
        <v>17</v>
      </c>
      <c r="H840" t="s">
        <v>14</v>
      </c>
      <c r="I840">
        <v>85.45</v>
      </c>
    </row>
    <row r="841" spans="1:9" x14ac:dyDescent="0.25">
      <c r="A841">
        <v>316</v>
      </c>
      <c r="B841">
        <v>20</v>
      </c>
      <c r="C841" t="s">
        <v>18</v>
      </c>
      <c r="D841">
        <v>57260</v>
      </c>
      <c r="E841">
        <v>47</v>
      </c>
      <c r="F841">
        <v>2</v>
      </c>
      <c r="G841">
        <v>49</v>
      </c>
      <c r="H841" t="s">
        <v>14</v>
      </c>
      <c r="I841">
        <v>506.7</v>
      </c>
    </row>
    <row r="842" spans="1:9" x14ac:dyDescent="0.25">
      <c r="A842">
        <v>346</v>
      </c>
      <c r="B842">
        <v>62</v>
      </c>
      <c r="C842" t="s">
        <v>18</v>
      </c>
      <c r="D842">
        <v>114587</v>
      </c>
      <c r="E842">
        <v>14</v>
      </c>
      <c r="F842">
        <v>7</v>
      </c>
      <c r="G842">
        <v>11</v>
      </c>
      <c r="H842" t="s">
        <v>14</v>
      </c>
      <c r="I842">
        <v>26.72</v>
      </c>
    </row>
    <row r="843" spans="1:9" x14ac:dyDescent="0.25">
      <c r="A843">
        <v>350</v>
      </c>
      <c r="B843">
        <v>56</v>
      </c>
      <c r="C843" t="s">
        <v>18</v>
      </c>
      <c r="D843">
        <v>148694</v>
      </c>
      <c r="E843">
        <v>44</v>
      </c>
      <c r="F843">
        <v>7</v>
      </c>
      <c r="G843">
        <v>13</v>
      </c>
      <c r="H843" t="s">
        <v>14</v>
      </c>
      <c r="I843">
        <v>326.5</v>
      </c>
    </row>
    <row r="844" spans="1:9" x14ac:dyDescent="0.25">
      <c r="A844">
        <v>352</v>
      </c>
      <c r="B844">
        <v>47</v>
      </c>
      <c r="C844" t="s">
        <v>18</v>
      </c>
      <c r="D844">
        <v>54571</v>
      </c>
      <c r="E844">
        <v>57</v>
      </c>
      <c r="F844">
        <v>4</v>
      </c>
      <c r="G844">
        <v>2</v>
      </c>
      <c r="H844" t="s">
        <v>14</v>
      </c>
      <c r="I844">
        <v>138.30000000000001</v>
      </c>
    </row>
    <row r="845" spans="1:9" x14ac:dyDescent="0.25">
      <c r="A845">
        <v>361</v>
      </c>
      <c r="B845">
        <v>28</v>
      </c>
      <c r="C845" t="s">
        <v>18</v>
      </c>
      <c r="D845">
        <v>130938</v>
      </c>
      <c r="E845">
        <v>98</v>
      </c>
      <c r="F845">
        <v>5</v>
      </c>
      <c r="G845">
        <v>37</v>
      </c>
      <c r="H845" t="s">
        <v>14</v>
      </c>
      <c r="I845">
        <v>612.09</v>
      </c>
    </row>
    <row r="846" spans="1:9" x14ac:dyDescent="0.25">
      <c r="A846">
        <v>370</v>
      </c>
      <c r="B846">
        <v>23</v>
      </c>
      <c r="C846" t="s">
        <v>18</v>
      </c>
      <c r="D846">
        <v>30751</v>
      </c>
      <c r="E846">
        <v>99</v>
      </c>
      <c r="F846">
        <v>9</v>
      </c>
      <c r="G846">
        <v>26</v>
      </c>
      <c r="H846" t="s">
        <v>14</v>
      </c>
      <c r="I846">
        <v>696.9</v>
      </c>
    </row>
    <row r="847" spans="1:9" x14ac:dyDescent="0.25">
      <c r="A847">
        <v>376</v>
      </c>
      <c r="B847">
        <v>25</v>
      </c>
      <c r="C847" t="s">
        <v>18</v>
      </c>
      <c r="D847">
        <v>56110</v>
      </c>
      <c r="E847">
        <v>36</v>
      </c>
      <c r="F847">
        <v>5</v>
      </c>
      <c r="G847">
        <v>42</v>
      </c>
      <c r="H847" t="s">
        <v>14</v>
      </c>
      <c r="I847">
        <v>389.97</v>
      </c>
    </row>
    <row r="848" spans="1:9" x14ac:dyDescent="0.25">
      <c r="A848">
        <v>387</v>
      </c>
      <c r="B848">
        <v>51</v>
      </c>
      <c r="C848" t="s">
        <v>18</v>
      </c>
      <c r="D848">
        <v>105658</v>
      </c>
      <c r="E848">
        <v>49</v>
      </c>
      <c r="F848">
        <v>9</v>
      </c>
      <c r="G848">
        <v>9</v>
      </c>
      <c r="H848" t="s">
        <v>14</v>
      </c>
      <c r="I848">
        <v>785.55</v>
      </c>
    </row>
    <row r="849" spans="1:9" x14ac:dyDescent="0.25">
      <c r="A849">
        <v>388</v>
      </c>
      <c r="B849">
        <v>25</v>
      </c>
      <c r="C849" t="s">
        <v>18</v>
      </c>
      <c r="D849">
        <v>100053</v>
      </c>
      <c r="E849">
        <v>6</v>
      </c>
      <c r="F849">
        <v>5</v>
      </c>
      <c r="G849">
        <v>33</v>
      </c>
      <c r="H849" t="s">
        <v>14</v>
      </c>
      <c r="I849">
        <v>832.57</v>
      </c>
    </row>
    <row r="850" spans="1:9" x14ac:dyDescent="0.25">
      <c r="A850">
        <v>423</v>
      </c>
      <c r="B850">
        <v>62</v>
      </c>
      <c r="C850" t="s">
        <v>18</v>
      </c>
      <c r="D850">
        <v>96260</v>
      </c>
      <c r="E850">
        <v>30</v>
      </c>
      <c r="F850">
        <v>6</v>
      </c>
      <c r="G850">
        <v>45</v>
      </c>
      <c r="H850" t="s">
        <v>14</v>
      </c>
      <c r="I850">
        <v>159.13</v>
      </c>
    </row>
    <row r="851" spans="1:9" x14ac:dyDescent="0.25">
      <c r="A851">
        <v>433</v>
      </c>
      <c r="B851">
        <v>44</v>
      </c>
      <c r="C851" t="s">
        <v>18</v>
      </c>
      <c r="D851">
        <v>100832</v>
      </c>
      <c r="E851">
        <v>90</v>
      </c>
      <c r="F851">
        <v>8</v>
      </c>
      <c r="G851">
        <v>39</v>
      </c>
      <c r="H851" t="s">
        <v>14</v>
      </c>
      <c r="I851">
        <v>769</v>
      </c>
    </row>
    <row r="852" spans="1:9" x14ac:dyDescent="0.25">
      <c r="A852">
        <v>438</v>
      </c>
      <c r="B852">
        <v>47</v>
      </c>
      <c r="C852" t="s">
        <v>18</v>
      </c>
      <c r="D852">
        <v>95033</v>
      </c>
      <c r="E852">
        <v>25</v>
      </c>
      <c r="F852">
        <v>3</v>
      </c>
      <c r="G852">
        <v>35</v>
      </c>
      <c r="H852" t="s">
        <v>14</v>
      </c>
      <c r="I852">
        <v>273.38</v>
      </c>
    </row>
    <row r="853" spans="1:9" x14ac:dyDescent="0.25">
      <c r="A853">
        <v>462</v>
      </c>
      <c r="B853">
        <v>57</v>
      </c>
      <c r="C853" t="s">
        <v>18</v>
      </c>
      <c r="D853">
        <v>46563</v>
      </c>
      <c r="E853">
        <v>86</v>
      </c>
      <c r="F853">
        <v>4</v>
      </c>
      <c r="G853">
        <v>24</v>
      </c>
      <c r="H853" t="s">
        <v>14</v>
      </c>
      <c r="I853">
        <v>800.46</v>
      </c>
    </row>
    <row r="854" spans="1:9" x14ac:dyDescent="0.25">
      <c r="A854">
        <v>479</v>
      </c>
      <c r="B854">
        <v>58</v>
      </c>
      <c r="C854" t="s">
        <v>18</v>
      </c>
      <c r="D854">
        <v>137836</v>
      </c>
      <c r="E854">
        <v>19</v>
      </c>
      <c r="F854">
        <v>9</v>
      </c>
      <c r="G854">
        <v>21</v>
      </c>
      <c r="H854" t="s">
        <v>14</v>
      </c>
      <c r="I854">
        <v>172.39</v>
      </c>
    </row>
    <row r="855" spans="1:9" x14ac:dyDescent="0.25">
      <c r="A855">
        <v>498</v>
      </c>
      <c r="B855">
        <v>54</v>
      </c>
      <c r="C855" t="s">
        <v>18</v>
      </c>
      <c r="D855">
        <v>43308</v>
      </c>
      <c r="E855">
        <v>56</v>
      </c>
      <c r="F855">
        <v>5</v>
      </c>
      <c r="G855">
        <v>50</v>
      </c>
      <c r="H855" t="s">
        <v>14</v>
      </c>
      <c r="I855">
        <v>667.92</v>
      </c>
    </row>
    <row r="856" spans="1:9" x14ac:dyDescent="0.25">
      <c r="A856">
        <v>502</v>
      </c>
      <c r="B856">
        <v>61</v>
      </c>
      <c r="C856" t="s">
        <v>18</v>
      </c>
      <c r="D856">
        <v>41730</v>
      </c>
      <c r="E856">
        <v>2</v>
      </c>
      <c r="F856">
        <v>9</v>
      </c>
      <c r="G856">
        <v>20</v>
      </c>
      <c r="H856" t="s">
        <v>14</v>
      </c>
      <c r="I856">
        <v>177.64</v>
      </c>
    </row>
    <row r="857" spans="1:9" x14ac:dyDescent="0.25">
      <c r="A857">
        <v>523</v>
      </c>
      <c r="B857">
        <v>32</v>
      </c>
      <c r="C857" t="s">
        <v>18</v>
      </c>
      <c r="D857">
        <v>58144</v>
      </c>
      <c r="E857">
        <v>4</v>
      </c>
      <c r="F857">
        <v>5</v>
      </c>
      <c r="G857">
        <v>16</v>
      </c>
      <c r="H857" t="s">
        <v>14</v>
      </c>
      <c r="I857">
        <v>923.37</v>
      </c>
    </row>
    <row r="858" spans="1:9" x14ac:dyDescent="0.25">
      <c r="A858">
        <v>541</v>
      </c>
      <c r="B858">
        <v>33</v>
      </c>
      <c r="C858" t="s">
        <v>18</v>
      </c>
      <c r="D858">
        <v>103063</v>
      </c>
      <c r="E858">
        <v>16</v>
      </c>
      <c r="F858">
        <v>3</v>
      </c>
      <c r="G858">
        <v>4</v>
      </c>
      <c r="H858" t="s">
        <v>14</v>
      </c>
      <c r="I858">
        <v>998.51</v>
      </c>
    </row>
    <row r="859" spans="1:9" x14ac:dyDescent="0.25">
      <c r="A859">
        <v>571</v>
      </c>
      <c r="B859">
        <v>36</v>
      </c>
      <c r="C859" t="s">
        <v>18</v>
      </c>
      <c r="D859">
        <v>31458</v>
      </c>
      <c r="E859">
        <v>40</v>
      </c>
      <c r="F859">
        <v>4</v>
      </c>
      <c r="G859">
        <v>6</v>
      </c>
      <c r="H859" t="s">
        <v>14</v>
      </c>
      <c r="I859">
        <v>371.77</v>
      </c>
    </row>
    <row r="860" spans="1:9" x14ac:dyDescent="0.25">
      <c r="A860">
        <v>576</v>
      </c>
      <c r="B860">
        <v>51</v>
      </c>
      <c r="C860" t="s">
        <v>18</v>
      </c>
      <c r="D860">
        <v>149256</v>
      </c>
      <c r="E860">
        <v>96</v>
      </c>
      <c r="F860">
        <v>1</v>
      </c>
      <c r="G860">
        <v>31</v>
      </c>
      <c r="H860" t="s">
        <v>14</v>
      </c>
      <c r="I860">
        <v>266.83</v>
      </c>
    </row>
    <row r="861" spans="1:9" x14ac:dyDescent="0.25">
      <c r="A861">
        <v>579</v>
      </c>
      <c r="B861">
        <v>21</v>
      </c>
      <c r="C861" t="s">
        <v>18</v>
      </c>
      <c r="D861">
        <v>71227</v>
      </c>
      <c r="E861">
        <v>17</v>
      </c>
      <c r="F861">
        <v>10</v>
      </c>
      <c r="G861">
        <v>12</v>
      </c>
      <c r="H861" t="s">
        <v>14</v>
      </c>
      <c r="I861">
        <v>101.48</v>
      </c>
    </row>
    <row r="862" spans="1:9" x14ac:dyDescent="0.25">
      <c r="A862">
        <v>605</v>
      </c>
      <c r="B862">
        <v>18</v>
      </c>
      <c r="C862" t="s">
        <v>18</v>
      </c>
      <c r="D862">
        <v>144275</v>
      </c>
      <c r="E862">
        <v>69</v>
      </c>
      <c r="F862">
        <v>9</v>
      </c>
      <c r="G862">
        <v>27</v>
      </c>
      <c r="H862" t="s">
        <v>14</v>
      </c>
      <c r="I862">
        <v>141.72</v>
      </c>
    </row>
    <row r="863" spans="1:9" x14ac:dyDescent="0.25">
      <c r="A863">
        <v>612</v>
      </c>
      <c r="B863">
        <v>33</v>
      </c>
      <c r="C863" t="s">
        <v>18</v>
      </c>
      <c r="D863">
        <v>38271</v>
      </c>
      <c r="E863">
        <v>39</v>
      </c>
      <c r="F863">
        <v>10</v>
      </c>
      <c r="G863">
        <v>43</v>
      </c>
      <c r="H863" t="s">
        <v>14</v>
      </c>
      <c r="I863">
        <v>99.52</v>
      </c>
    </row>
    <row r="864" spans="1:9" x14ac:dyDescent="0.25">
      <c r="A864">
        <v>627</v>
      </c>
      <c r="B864">
        <v>27</v>
      </c>
      <c r="C864" t="s">
        <v>18</v>
      </c>
      <c r="D864">
        <v>96762</v>
      </c>
      <c r="E864">
        <v>22</v>
      </c>
      <c r="F864">
        <v>3</v>
      </c>
      <c r="G864">
        <v>10</v>
      </c>
      <c r="H864" t="s">
        <v>14</v>
      </c>
      <c r="I864">
        <v>551.42999999999995</v>
      </c>
    </row>
    <row r="865" spans="1:9" x14ac:dyDescent="0.25">
      <c r="A865">
        <v>633</v>
      </c>
      <c r="B865">
        <v>43</v>
      </c>
      <c r="C865" t="s">
        <v>18</v>
      </c>
      <c r="D865">
        <v>97989</v>
      </c>
      <c r="E865">
        <v>14</v>
      </c>
      <c r="F865">
        <v>6</v>
      </c>
      <c r="G865">
        <v>49</v>
      </c>
      <c r="H865" t="s">
        <v>14</v>
      </c>
      <c r="I865">
        <v>886.61</v>
      </c>
    </row>
    <row r="866" spans="1:9" x14ac:dyDescent="0.25">
      <c r="A866">
        <v>635</v>
      </c>
      <c r="B866">
        <v>23</v>
      </c>
      <c r="C866" t="s">
        <v>18</v>
      </c>
      <c r="D866">
        <v>122669</v>
      </c>
      <c r="E866">
        <v>15</v>
      </c>
      <c r="F866">
        <v>3</v>
      </c>
      <c r="G866">
        <v>4</v>
      </c>
      <c r="H866" t="s">
        <v>14</v>
      </c>
      <c r="I866">
        <v>248.68</v>
      </c>
    </row>
    <row r="867" spans="1:9" x14ac:dyDescent="0.25">
      <c r="A867">
        <v>642</v>
      </c>
      <c r="B867">
        <v>34</v>
      </c>
      <c r="C867" t="s">
        <v>18</v>
      </c>
      <c r="D867">
        <v>114408</v>
      </c>
      <c r="E867">
        <v>38</v>
      </c>
      <c r="F867">
        <v>7</v>
      </c>
      <c r="G867">
        <v>28</v>
      </c>
      <c r="H867" t="s">
        <v>14</v>
      </c>
      <c r="I867">
        <v>647.35</v>
      </c>
    </row>
    <row r="868" spans="1:9" x14ac:dyDescent="0.25">
      <c r="A868">
        <v>651</v>
      </c>
      <c r="B868">
        <v>27</v>
      </c>
      <c r="C868" t="s">
        <v>18</v>
      </c>
      <c r="D868">
        <v>113174</v>
      </c>
      <c r="E868">
        <v>36</v>
      </c>
      <c r="F868">
        <v>3</v>
      </c>
      <c r="G868">
        <v>46</v>
      </c>
      <c r="H868" t="s">
        <v>14</v>
      </c>
      <c r="I868">
        <v>499.07</v>
      </c>
    </row>
    <row r="869" spans="1:9" x14ac:dyDescent="0.25">
      <c r="A869">
        <v>702</v>
      </c>
      <c r="B869">
        <v>26</v>
      </c>
      <c r="C869" t="s">
        <v>18</v>
      </c>
      <c r="D869">
        <v>42499</v>
      </c>
      <c r="E869">
        <v>92</v>
      </c>
      <c r="F869">
        <v>9</v>
      </c>
      <c r="G869">
        <v>50</v>
      </c>
      <c r="H869" t="s">
        <v>14</v>
      </c>
      <c r="I869">
        <v>37.57</v>
      </c>
    </row>
    <row r="870" spans="1:9" x14ac:dyDescent="0.25">
      <c r="A870">
        <v>710</v>
      </c>
      <c r="B870">
        <v>43</v>
      </c>
      <c r="C870" t="s">
        <v>18</v>
      </c>
      <c r="D870">
        <v>43545</v>
      </c>
      <c r="E870">
        <v>67</v>
      </c>
      <c r="F870">
        <v>5</v>
      </c>
      <c r="G870">
        <v>41</v>
      </c>
      <c r="H870" t="s">
        <v>14</v>
      </c>
      <c r="I870">
        <v>179.71</v>
      </c>
    </row>
    <row r="871" spans="1:9" x14ac:dyDescent="0.25">
      <c r="A871">
        <v>713</v>
      </c>
      <c r="B871">
        <v>19</v>
      </c>
      <c r="C871" t="s">
        <v>18</v>
      </c>
      <c r="D871">
        <v>76416</v>
      </c>
      <c r="E871">
        <v>26</v>
      </c>
      <c r="F871">
        <v>6</v>
      </c>
      <c r="G871">
        <v>20</v>
      </c>
      <c r="H871" t="s">
        <v>14</v>
      </c>
      <c r="I871">
        <v>385.1</v>
      </c>
    </row>
    <row r="872" spans="1:9" x14ac:dyDescent="0.25">
      <c r="A872">
        <v>738</v>
      </c>
      <c r="B872">
        <v>18</v>
      </c>
      <c r="C872" t="s">
        <v>18</v>
      </c>
      <c r="D872">
        <v>136320</v>
      </c>
      <c r="E872">
        <v>52</v>
      </c>
      <c r="F872">
        <v>5</v>
      </c>
      <c r="G872">
        <v>42</v>
      </c>
      <c r="H872" t="s">
        <v>14</v>
      </c>
      <c r="I872">
        <v>891.19</v>
      </c>
    </row>
    <row r="873" spans="1:9" x14ac:dyDescent="0.25">
      <c r="A873">
        <v>740</v>
      </c>
      <c r="B873">
        <v>62</v>
      </c>
      <c r="C873" t="s">
        <v>18</v>
      </c>
      <c r="D873">
        <v>119083</v>
      </c>
      <c r="E873">
        <v>18</v>
      </c>
      <c r="F873">
        <v>4</v>
      </c>
      <c r="G873">
        <v>28</v>
      </c>
      <c r="H873" t="s">
        <v>14</v>
      </c>
      <c r="I873">
        <v>317.77999999999997</v>
      </c>
    </row>
    <row r="874" spans="1:9" x14ac:dyDescent="0.25">
      <c r="A874">
        <v>741</v>
      </c>
      <c r="B874">
        <v>50</v>
      </c>
      <c r="C874" t="s">
        <v>18</v>
      </c>
      <c r="D874">
        <v>50944</v>
      </c>
      <c r="E874">
        <v>24</v>
      </c>
      <c r="F874">
        <v>3</v>
      </c>
      <c r="G874">
        <v>36</v>
      </c>
      <c r="H874" t="s">
        <v>14</v>
      </c>
      <c r="I874">
        <v>121.22</v>
      </c>
    </row>
    <row r="875" spans="1:9" x14ac:dyDescent="0.25">
      <c r="A875">
        <v>756</v>
      </c>
      <c r="B875">
        <v>30</v>
      </c>
      <c r="C875" t="s">
        <v>18</v>
      </c>
      <c r="D875">
        <v>111050</v>
      </c>
      <c r="E875">
        <v>61</v>
      </c>
      <c r="F875">
        <v>10</v>
      </c>
      <c r="G875">
        <v>32</v>
      </c>
      <c r="H875" t="s">
        <v>14</v>
      </c>
      <c r="I875">
        <v>213.88</v>
      </c>
    </row>
    <row r="876" spans="1:9" x14ac:dyDescent="0.25">
      <c r="A876">
        <v>785</v>
      </c>
      <c r="B876">
        <v>45</v>
      </c>
      <c r="C876" t="s">
        <v>18</v>
      </c>
      <c r="D876">
        <v>88366</v>
      </c>
      <c r="E876">
        <v>22</v>
      </c>
      <c r="F876">
        <v>10</v>
      </c>
      <c r="G876">
        <v>24</v>
      </c>
      <c r="H876" t="s">
        <v>14</v>
      </c>
      <c r="I876">
        <v>253.64</v>
      </c>
    </row>
    <row r="877" spans="1:9" x14ac:dyDescent="0.25">
      <c r="A877">
        <v>795</v>
      </c>
      <c r="B877">
        <v>33</v>
      </c>
      <c r="C877" t="s">
        <v>18</v>
      </c>
      <c r="D877">
        <v>45432</v>
      </c>
      <c r="E877">
        <v>11</v>
      </c>
      <c r="F877">
        <v>4</v>
      </c>
      <c r="G877">
        <v>42</v>
      </c>
      <c r="H877" t="s">
        <v>14</v>
      </c>
      <c r="I877">
        <v>990.34</v>
      </c>
    </row>
    <row r="878" spans="1:9" x14ac:dyDescent="0.25">
      <c r="A878">
        <v>825</v>
      </c>
      <c r="B878">
        <v>30</v>
      </c>
      <c r="C878" t="s">
        <v>18</v>
      </c>
      <c r="D878">
        <v>121358</v>
      </c>
      <c r="E878">
        <v>16</v>
      </c>
      <c r="F878">
        <v>1</v>
      </c>
      <c r="G878">
        <v>2</v>
      </c>
      <c r="H878" t="s">
        <v>14</v>
      </c>
      <c r="I878">
        <v>122.7</v>
      </c>
    </row>
    <row r="879" spans="1:9" x14ac:dyDescent="0.25">
      <c r="A879">
        <v>845</v>
      </c>
      <c r="B879">
        <v>45</v>
      </c>
      <c r="C879" t="s">
        <v>18</v>
      </c>
      <c r="D879">
        <v>57615</v>
      </c>
      <c r="E879">
        <v>30</v>
      </c>
      <c r="F879">
        <v>5</v>
      </c>
      <c r="G879">
        <v>15</v>
      </c>
      <c r="H879" t="s">
        <v>14</v>
      </c>
      <c r="I879">
        <v>998.09</v>
      </c>
    </row>
    <row r="880" spans="1:9" x14ac:dyDescent="0.25">
      <c r="A880">
        <v>911</v>
      </c>
      <c r="B880">
        <v>66</v>
      </c>
      <c r="C880" t="s">
        <v>18</v>
      </c>
      <c r="D880">
        <v>55154</v>
      </c>
      <c r="E880">
        <v>93</v>
      </c>
      <c r="F880">
        <v>3</v>
      </c>
      <c r="G880">
        <v>19</v>
      </c>
      <c r="H880" t="s">
        <v>14</v>
      </c>
      <c r="I880">
        <v>684.88</v>
      </c>
    </row>
    <row r="881" spans="1:9" x14ac:dyDescent="0.25">
      <c r="A881">
        <v>943</v>
      </c>
      <c r="B881">
        <v>54</v>
      </c>
      <c r="C881" t="s">
        <v>18</v>
      </c>
      <c r="D881">
        <v>140081</v>
      </c>
      <c r="E881">
        <v>100</v>
      </c>
      <c r="F881">
        <v>1</v>
      </c>
      <c r="G881">
        <v>25</v>
      </c>
      <c r="H881" t="s">
        <v>14</v>
      </c>
      <c r="I881">
        <v>30.51</v>
      </c>
    </row>
    <row r="882" spans="1:9" x14ac:dyDescent="0.25">
      <c r="A882">
        <v>983</v>
      </c>
      <c r="B882">
        <v>68</v>
      </c>
      <c r="C882" t="s">
        <v>18</v>
      </c>
      <c r="D882">
        <v>117203</v>
      </c>
      <c r="E882">
        <v>76</v>
      </c>
      <c r="F882">
        <v>7</v>
      </c>
      <c r="G882">
        <v>38</v>
      </c>
      <c r="H882" t="s">
        <v>14</v>
      </c>
      <c r="I882">
        <v>363.94</v>
      </c>
    </row>
    <row r="883" spans="1:9" x14ac:dyDescent="0.25">
      <c r="A883">
        <v>994</v>
      </c>
      <c r="B883">
        <v>29</v>
      </c>
      <c r="C883" t="s">
        <v>18</v>
      </c>
      <c r="D883">
        <v>64799</v>
      </c>
      <c r="E883">
        <v>42</v>
      </c>
      <c r="F883">
        <v>5</v>
      </c>
      <c r="G883">
        <v>19</v>
      </c>
      <c r="H883" t="s">
        <v>14</v>
      </c>
      <c r="I883">
        <v>967.26</v>
      </c>
    </row>
    <row r="884" spans="1:9" x14ac:dyDescent="0.25">
      <c r="A884">
        <v>999</v>
      </c>
      <c r="B884">
        <v>22</v>
      </c>
      <c r="C884" t="s">
        <v>18</v>
      </c>
      <c r="D884">
        <v>113695</v>
      </c>
      <c r="E884">
        <v>63</v>
      </c>
      <c r="F884">
        <v>7</v>
      </c>
      <c r="G884">
        <v>44</v>
      </c>
      <c r="H884" t="s">
        <v>14</v>
      </c>
      <c r="I884">
        <v>505.16</v>
      </c>
    </row>
    <row r="885" spans="1:9" x14ac:dyDescent="0.25">
      <c r="A885">
        <v>2</v>
      </c>
      <c r="B885">
        <v>21</v>
      </c>
      <c r="C885" t="s">
        <v>18</v>
      </c>
      <c r="D885">
        <v>78852</v>
      </c>
      <c r="E885">
        <v>60</v>
      </c>
      <c r="F885">
        <v>2</v>
      </c>
      <c r="G885">
        <v>42</v>
      </c>
      <c r="H885" t="s">
        <v>15</v>
      </c>
      <c r="I885">
        <v>41.93</v>
      </c>
    </row>
    <row r="886" spans="1:9" x14ac:dyDescent="0.25">
      <c r="A886">
        <v>3</v>
      </c>
      <c r="B886">
        <v>60</v>
      </c>
      <c r="C886" t="s">
        <v>18</v>
      </c>
      <c r="D886">
        <v>126573</v>
      </c>
      <c r="E886">
        <v>30</v>
      </c>
      <c r="F886">
        <v>2</v>
      </c>
      <c r="G886">
        <v>28</v>
      </c>
      <c r="H886" t="s">
        <v>17</v>
      </c>
      <c r="I886">
        <v>424.36</v>
      </c>
    </row>
    <row r="887" spans="1:9" x14ac:dyDescent="0.25">
      <c r="A887">
        <v>25</v>
      </c>
      <c r="B887">
        <v>69</v>
      </c>
      <c r="C887" t="s">
        <v>18</v>
      </c>
      <c r="D887">
        <v>36140</v>
      </c>
      <c r="E887">
        <v>78</v>
      </c>
      <c r="F887">
        <v>5</v>
      </c>
      <c r="G887">
        <v>39</v>
      </c>
      <c r="H887" t="s">
        <v>15</v>
      </c>
      <c r="I887">
        <v>508.86</v>
      </c>
    </row>
    <row r="888" spans="1:9" x14ac:dyDescent="0.25">
      <c r="A888">
        <v>28</v>
      </c>
      <c r="B888">
        <v>30</v>
      </c>
      <c r="C888" t="s">
        <v>18</v>
      </c>
      <c r="D888">
        <v>50680</v>
      </c>
      <c r="E888">
        <v>19</v>
      </c>
      <c r="F888">
        <v>7</v>
      </c>
      <c r="G888">
        <v>27</v>
      </c>
      <c r="H888" t="s">
        <v>15</v>
      </c>
      <c r="I888">
        <v>515.88</v>
      </c>
    </row>
    <row r="889" spans="1:9" x14ac:dyDescent="0.25">
      <c r="A889">
        <v>36</v>
      </c>
      <c r="B889">
        <v>30</v>
      </c>
      <c r="C889" t="s">
        <v>18</v>
      </c>
      <c r="D889">
        <v>73464</v>
      </c>
      <c r="E889">
        <v>37</v>
      </c>
      <c r="F889">
        <v>1</v>
      </c>
      <c r="G889">
        <v>6</v>
      </c>
      <c r="H889" t="s">
        <v>17</v>
      </c>
      <c r="I889">
        <v>532.51</v>
      </c>
    </row>
    <row r="890" spans="1:9" x14ac:dyDescent="0.25">
      <c r="A890">
        <v>39</v>
      </c>
      <c r="B890">
        <v>31</v>
      </c>
      <c r="C890" t="s">
        <v>18</v>
      </c>
      <c r="D890">
        <v>75392</v>
      </c>
      <c r="E890">
        <v>43</v>
      </c>
      <c r="F890">
        <v>4</v>
      </c>
      <c r="G890">
        <v>29</v>
      </c>
      <c r="H890" t="s">
        <v>15</v>
      </c>
      <c r="I890">
        <v>88.44</v>
      </c>
    </row>
    <row r="891" spans="1:9" x14ac:dyDescent="0.25">
      <c r="A891">
        <v>51</v>
      </c>
      <c r="B891">
        <v>61</v>
      </c>
      <c r="C891" t="s">
        <v>18</v>
      </c>
      <c r="D891">
        <v>61290</v>
      </c>
      <c r="E891">
        <v>83</v>
      </c>
      <c r="F891">
        <v>9</v>
      </c>
      <c r="G891">
        <v>35</v>
      </c>
      <c r="H891" t="s">
        <v>17</v>
      </c>
      <c r="I891">
        <v>110.32</v>
      </c>
    </row>
    <row r="892" spans="1:9" x14ac:dyDescent="0.25">
      <c r="A892">
        <v>52</v>
      </c>
      <c r="B892">
        <v>24</v>
      </c>
      <c r="C892" t="s">
        <v>18</v>
      </c>
      <c r="D892">
        <v>96082</v>
      </c>
      <c r="E892">
        <v>83</v>
      </c>
      <c r="F892">
        <v>4</v>
      </c>
      <c r="G892">
        <v>36</v>
      </c>
      <c r="H892" t="s">
        <v>15</v>
      </c>
      <c r="I892">
        <v>589.35</v>
      </c>
    </row>
    <row r="893" spans="1:9" x14ac:dyDescent="0.25">
      <c r="A893">
        <v>55</v>
      </c>
      <c r="B893">
        <v>56</v>
      </c>
      <c r="C893" t="s">
        <v>18</v>
      </c>
      <c r="D893">
        <v>85476</v>
      </c>
      <c r="E893">
        <v>55</v>
      </c>
      <c r="F893">
        <v>2</v>
      </c>
      <c r="G893">
        <v>41</v>
      </c>
      <c r="H893" t="s">
        <v>15</v>
      </c>
      <c r="I893">
        <v>774.5</v>
      </c>
    </row>
    <row r="894" spans="1:9" x14ac:dyDescent="0.25">
      <c r="A894">
        <v>58</v>
      </c>
      <c r="B894">
        <v>49</v>
      </c>
      <c r="C894" t="s">
        <v>18</v>
      </c>
      <c r="D894">
        <v>112198</v>
      </c>
      <c r="E894">
        <v>48</v>
      </c>
      <c r="F894">
        <v>5</v>
      </c>
      <c r="G894">
        <v>24</v>
      </c>
      <c r="H894" t="s">
        <v>15</v>
      </c>
      <c r="I894">
        <v>843.87</v>
      </c>
    </row>
    <row r="895" spans="1:9" x14ac:dyDescent="0.25">
      <c r="A895">
        <v>60</v>
      </c>
      <c r="B895">
        <v>21</v>
      </c>
      <c r="C895" t="s">
        <v>18</v>
      </c>
      <c r="D895">
        <v>139387</v>
      </c>
      <c r="E895">
        <v>1</v>
      </c>
      <c r="F895">
        <v>5</v>
      </c>
      <c r="G895">
        <v>7</v>
      </c>
      <c r="H895" t="s">
        <v>17</v>
      </c>
      <c r="I895">
        <v>399.58</v>
      </c>
    </row>
    <row r="896" spans="1:9" x14ac:dyDescent="0.25">
      <c r="A896">
        <v>63</v>
      </c>
      <c r="B896">
        <v>49</v>
      </c>
      <c r="C896" t="s">
        <v>18</v>
      </c>
      <c r="D896">
        <v>79992</v>
      </c>
      <c r="E896">
        <v>49</v>
      </c>
      <c r="F896">
        <v>8</v>
      </c>
      <c r="G896">
        <v>6</v>
      </c>
      <c r="H896" t="s">
        <v>15</v>
      </c>
      <c r="I896">
        <v>636.65</v>
      </c>
    </row>
    <row r="897" spans="1:9" x14ac:dyDescent="0.25">
      <c r="A897">
        <v>68</v>
      </c>
      <c r="B897">
        <v>43</v>
      </c>
      <c r="C897" t="s">
        <v>18</v>
      </c>
      <c r="D897">
        <v>87807</v>
      </c>
      <c r="E897">
        <v>52</v>
      </c>
      <c r="F897">
        <v>9</v>
      </c>
      <c r="G897">
        <v>41</v>
      </c>
      <c r="H897" t="s">
        <v>17</v>
      </c>
      <c r="I897">
        <v>95.08</v>
      </c>
    </row>
    <row r="898" spans="1:9" x14ac:dyDescent="0.25">
      <c r="A898">
        <v>83</v>
      </c>
      <c r="B898">
        <v>36</v>
      </c>
      <c r="C898" t="s">
        <v>18</v>
      </c>
      <c r="D898">
        <v>99427</v>
      </c>
      <c r="E898">
        <v>94</v>
      </c>
      <c r="F898">
        <v>8</v>
      </c>
      <c r="G898">
        <v>15</v>
      </c>
      <c r="H898" t="s">
        <v>15</v>
      </c>
      <c r="I898">
        <v>265.04000000000002</v>
      </c>
    </row>
    <row r="899" spans="1:9" x14ac:dyDescent="0.25">
      <c r="A899">
        <v>100</v>
      </c>
      <c r="B899">
        <v>26</v>
      </c>
      <c r="C899" t="s">
        <v>18</v>
      </c>
      <c r="D899">
        <v>59496</v>
      </c>
      <c r="E899">
        <v>58</v>
      </c>
      <c r="F899">
        <v>2</v>
      </c>
      <c r="G899">
        <v>50</v>
      </c>
      <c r="H899" t="s">
        <v>17</v>
      </c>
      <c r="I899">
        <v>23.33</v>
      </c>
    </row>
    <row r="900" spans="1:9" x14ac:dyDescent="0.25">
      <c r="A900">
        <v>104</v>
      </c>
      <c r="B900">
        <v>60</v>
      </c>
      <c r="C900" t="s">
        <v>18</v>
      </c>
      <c r="D900">
        <v>142407</v>
      </c>
      <c r="E900">
        <v>4</v>
      </c>
      <c r="F900">
        <v>2</v>
      </c>
      <c r="G900">
        <v>1</v>
      </c>
      <c r="H900" t="s">
        <v>15</v>
      </c>
      <c r="I900">
        <v>29.58</v>
      </c>
    </row>
    <row r="901" spans="1:9" x14ac:dyDescent="0.25">
      <c r="A901">
        <v>120</v>
      </c>
      <c r="B901">
        <v>68</v>
      </c>
      <c r="C901" t="s">
        <v>18</v>
      </c>
      <c r="D901">
        <v>78309</v>
      </c>
      <c r="E901">
        <v>12</v>
      </c>
      <c r="F901">
        <v>2</v>
      </c>
      <c r="G901">
        <v>49</v>
      </c>
      <c r="H901" t="s">
        <v>17</v>
      </c>
      <c r="I901">
        <v>848.14</v>
      </c>
    </row>
    <row r="902" spans="1:9" x14ac:dyDescent="0.25">
      <c r="A902">
        <v>130</v>
      </c>
      <c r="B902">
        <v>61</v>
      </c>
      <c r="C902" t="s">
        <v>18</v>
      </c>
      <c r="D902">
        <v>131607</v>
      </c>
      <c r="E902">
        <v>25</v>
      </c>
      <c r="F902">
        <v>7</v>
      </c>
      <c r="G902">
        <v>26</v>
      </c>
      <c r="H902" t="s">
        <v>17</v>
      </c>
      <c r="I902">
        <v>714.15</v>
      </c>
    </row>
    <row r="903" spans="1:9" x14ac:dyDescent="0.25">
      <c r="A903">
        <v>135</v>
      </c>
      <c r="B903">
        <v>29</v>
      </c>
      <c r="C903" t="s">
        <v>18</v>
      </c>
      <c r="D903">
        <v>100290</v>
      </c>
      <c r="E903">
        <v>85</v>
      </c>
      <c r="F903">
        <v>8</v>
      </c>
      <c r="G903">
        <v>29</v>
      </c>
      <c r="H903" t="s">
        <v>17</v>
      </c>
      <c r="I903">
        <v>480.87</v>
      </c>
    </row>
    <row r="904" spans="1:9" x14ac:dyDescent="0.25">
      <c r="A904">
        <v>138</v>
      </c>
      <c r="B904">
        <v>67</v>
      </c>
      <c r="C904" t="s">
        <v>18</v>
      </c>
      <c r="D904">
        <v>120561</v>
      </c>
      <c r="E904">
        <v>66</v>
      </c>
      <c r="F904">
        <v>2</v>
      </c>
      <c r="G904">
        <v>21</v>
      </c>
      <c r="H904" t="s">
        <v>17</v>
      </c>
      <c r="I904">
        <v>798.2</v>
      </c>
    </row>
    <row r="905" spans="1:9" x14ac:dyDescent="0.25">
      <c r="A905">
        <v>140</v>
      </c>
      <c r="B905">
        <v>18</v>
      </c>
      <c r="C905" t="s">
        <v>18</v>
      </c>
      <c r="D905">
        <v>78097</v>
      </c>
      <c r="E905">
        <v>84</v>
      </c>
      <c r="F905">
        <v>3</v>
      </c>
      <c r="G905">
        <v>26</v>
      </c>
      <c r="H905" t="s">
        <v>17</v>
      </c>
      <c r="I905">
        <v>453.34</v>
      </c>
    </row>
    <row r="906" spans="1:9" x14ac:dyDescent="0.25">
      <c r="A906">
        <v>157</v>
      </c>
      <c r="B906">
        <v>69</v>
      </c>
      <c r="C906" t="s">
        <v>18</v>
      </c>
      <c r="D906">
        <v>51990</v>
      </c>
      <c r="E906">
        <v>59</v>
      </c>
      <c r="F906">
        <v>2</v>
      </c>
      <c r="G906">
        <v>37</v>
      </c>
      <c r="H906" t="s">
        <v>17</v>
      </c>
      <c r="I906">
        <v>762.41</v>
      </c>
    </row>
    <row r="907" spans="1:9" x14ac:dyDescent="0.25">
      <c r="A907">
        <v>161</v>
      </c>
      <c r="B907">
        <v>69</v>
      </c>
      <c r="C907" t="s">
        <v>18</v>
      </c>
      <c r="D907">
        <v>117782</v>
      </c>
      <c r="E907">
        <v>18</v>
      </c>
      <c r="F907">
        <v>1</v>
      </c>
      <c r="G907">
        <v>15</v>
      </c>
      <c r="H907" t="s">
        <v>15</v>
      </c>
      <c r="I907">
        <v>762.55</v>
      </c>
    </row>
    <row r="908" spans="1:9" x14ac:dyDescent="0.25">
      <c r="A908">
        <v>169</v>
      </c>
      <c r="B908">
        <v>51</v>
      </c>
      <c r="C908" t="s">
        <v>18</v>
      </c>
      <c r="D908">
        <v>58930</v>
      </c>
      <c r="E908">
        <v>95</v>
      </c>
      <c r="F908">
        <v>5</v>
      </c>
      <c r="G908">
        <v>33</v>
      </c>
      <c r="H908" t="s">
        <v>15</v>
      </c>
      <c r="I908">
        <v>115.09</v>
      </c>
    </row>
    <row r="909" spans="1:9" x14ac:dyDescent="0.25">
      <c r="A909">
        <v>175</v>
      </c>
      <c r="B909">
        <v>33</v>
      </c>
      <c r="C909" t="s">
        <v>18</v>
      </c>
      <c r="D909">
        <v>81766</v>
      </c>
      <c r="E909">
        <v>86</v>
      </c>
      <c r="F909">
        <v>1</v>
      </c>
      <c r="G909">
        <v>16</v>
      </c>
      <c r="H909" t="s">
        <v>15</v>
      </c>
      <c r="I909">
        <v>160.11000000000001</v>
      </c>
    </row>
    <row r="910" spans="1:9" x14ac:dyDescent="0.25">
      <c r="A910">
        <v>200</v>
      </c>
      <c r="B910">
        <v>63</v>
      </c>
      <c r="C910" t="s">
        <v>18</v>
      </c>
      <c r="D910">
        <v>113240</v>
      </c>
      <c r="E910">
        <v>47</v>
      </c>
      <c r="F910">
        <v>9</v>
      </c>
      <c r="G910">
        <v>22</v>
      </c>
      <c r="H910" t="s">
        <v>17</v>
      </c>
      <c r="I910">
        <v>279.95999999999998</v>
      </c>
    </row>
    <row r="911" spans="1:9" x14ac:dyDescent="0.25">
      <c r="A911">
        <v>208</v>
      </c>
      <c r="B911">
        <v>59</v>
      </c>
      <c r="C911" t="s">
        <v>18</v>
      </c>
      <c r="D911">
        <v>70050</v>
      </c>
      <c r="E911">
        <v>62</v>
      </c>
      <c r="F911">
        <v>3</v>
      </c>
      <c r="G911">
        <v>10</v>
      </c>
      <c r="H911" t="s">
        <v>17</v>
      </c>
      <c r="I911">
        <v>49.53</v>
      </c>
    </row>
    <row r="912" spans="1:9" x14ac:dyDescent="0.25">
      <c r="A912">
        <v>211</v>
      </c>
      <c r="B912">
        <v>40</v>
      </c>
      <c r="C912" t="s">
        <v>18</v>
      </c>
      <c r="D912">
        <v>83445</v>
      </c>
      <c r="E912">
        <v>89</v>
      </c>
      <c r="F912">
        <v>7</v>
      </c>
      <c r="G912">
        <v>11</v>
      </c>
      <c r="H912" t="s">
        <v>17</v>
      </c>
      <c r="I912">
        <v>356.35</v>
      </c>
    </row>
    <row r="913" spans="1:9" x14ac:dyDescent="0.25">
      <c r="A913">
        <v>213</v>
      </c>
      <c r="B913">
        <v>47</v>
      </c>
      <c r="C913" t="s">
        <v>18</v>
      </c>
      <c r="D913">
        <v>121498</v>
      </c>
      <c r="E913">
        <v>29</v>
      </c>
      <c r="F913">
        <v>9</v>
      </c>
      <c r="G913">
        <v>28</v>
      </c>
      <c r="H913" t="s">
        <v>15</v>
      </c>
      <c r="I913">
        <v>706.37</v>
      </c>
    </row>
    <row r="914" spans="1:9" x14ac:dyDescent="0.25">
      <c r="A914">
        <v>217</v>
      </c>
      <c r="B914">
        <v>46</v>
      </c>
      <c r="C914" t="s">
        <v>18</v>
      </c>
      <c r="D914">
        <v>82034</v>
      </c>
      <c r="E914">
        <v>19</v>
      </c>
      <c r="F914">
        <v>2</v>
      </c>
      <c r="G914">
        <v>45</v>
      </c>
      <c r="H914" t="s">
        <v>15</v>
      </c>
      <c r="I914">
        <v>635.92999999999995</v>
      </c>
    </row>
    <row r="915" spans="1:9" x14ac:dyDescent="0.25">
      <c r="A915">
        <v>223</v>
      </c>
      <c r="B915">
        <v>53</v>
      </c>
      <c r="C915" t="s">
        <v>18</v>
      </c>
      <c r="D915">
        <v>146546</v>
      </c>
      <c r="E915">
        <v>12</v>
      </c>
      <c r="F915">
        <v>6</v>
      </c>
      <c r="G915">
        <v>45</v>
      </c>
      <c r="H915" t="s">
        <v>15</v>
      </c>
      <c r="I915">
        <v>915.02</v>
      </c>
    </row>
    <row r="916" spans="1:9" x14ac:dyDescent="0.25">
      <c r="A916">
        <v>234</v>
      </c>
      <c r="B916">
        <v>29</v>
      </c>
      <c r="C916" t="s">
        <v>18</v>
      </c>
      <c r="D916">
        <v>96066</v>
      </c>
      <c r="E916">
        <v>45</v>
      </c>
      <c r="F916">
        <v>7</v>
      </c>
      <c r="G916">
        <v>24</v>
      </c>
      <c r="H916" t="s">
        <v>15</v>
      </c>
      <c r="I916">
        <v>479.36</v>
      </c>
    </row>
    <row r="917" spans="1:9" x14ac:dyDescent="0.25">
      <c r="A917">
        <v>241</v>
      </c>
      <c r="B917">
        <v>41</v>
      </c>
      <c r="C917" t="s">
        <v>18</v>
      </c>
      <c r="D917">
        <v>41748</v>
      </c>
      <c r="E917">
        <v>50</v>
      </c>
      <c r="F917">
        <v>8</v>
      </c>
      <c r="G917">
        <v>5</v>
      </c>
      <c r="H917" t="s">
        <v>15</v>
      </c>
      <c r="I917">
        <v>35.159999999999997</v>
      </c>
    </row>
    <row r="918" spans="1:9" x14ac:dyDescent="0.25">
      <c r="A918">
        <v>249</v>
      </c>
      <c r="B918">
        <v>54</v>
      </c>
      <c r="C918" t="s">
        <v>18</v>
      </c>
      <c r="D918">
        <v>134743</v>
      </c>
      <c r="E918">
        <v>98</v>
      </c>
      <c r="F918">
        <v>9</v>
      </c>
      <c r="G918">
        <v>42</v>
      </c>
      <c r="H918" t="s">
        <v>15</v>
      </c>
      <c r="I918">
        <v>894.21</v>
      </c>
    </row>
    <row r="919" spans="1:9" x14ac:dyDescent="0.25">
      <c r="A919">
        <v>260</v>
      </c>
      <c r="B919">
        <v>39</v>
      </c>
      <c r="C919" t="s">
        <v>18</v>
      </c>
      <c r="D919">
        <v>56381</v>
      </c>
      <c r="E919">
        <v>82</v>
      </c>
      <c r="F919">
        <v>6</v>
      </c>
      <c r="G919">
        <v>19</v>
      </c>
      <c r="H919" t="s">
        <v>15</v>
      </c>
      <c r="I919">
        <v>759.6</v>
      </c>
    </row>
    <row r="920" spans="1:9" x14ac:dyDescent="0.25">
      <c r="A920">
        <v>269</v>
      </c>
      <c r="B920">
        <v>33</v>
      </c>
      <c r="C920" t="s">
        <v>18</v>
      </c>
      <c r="D920">
        <v>118116</v>
      </c>
      <c r="E920">
        <v>100</v>
      </c>
      <c r="F920">
        <v>9</v>
      </c>
      <c r="G920">
        <v>48</v>
      </c>
      <c r="H920" t="s">
        <v>15</v>
      </c>
      <c r="I920">
        <v>21.9</v>
      </c>
    </row>
    <row r="921" spans="1:9" x14ac:dyDescent="0.25">
      <c r="A921">
        <v>272</v>
      </c>
      <c r="B921">
        <v>52</v>
      </c>
      <c r="C921" t="s">
        <v>18</v>
      </c>
      <c r="D921">
        <v>104033</v>
      </c>
      <c r="E921">
        <v>6</v>
      </c>
      <c r="F921">
        <v>5</v>
      </c>
      <c r="G921">
        <v>15</v>
      </c>
      <c r="H921" t="s">
        <v>17</v>
      </c>
      <c r="I921">
        <v>192.31</v>
      </c>
    </row>
    <row r="922" spans="1:9" x14ac:dyDescent="0.25">
      <c r="A922">
        <v>280</v>
      </c>
      <c r="B922">
        <v>53</v>
      </c>
      <c r="C922" t="s">
        <v>18</v>
      </c>
      <c r="D922">
        <v>61826</v>
      </c>
      <c r="E922">
        <v>96</v>
      </c>
      <c r="F922">
        <v>1</v>
      </c>
      <c r="G922">
        <v>14</v>
      </c>
      <c r="H922" t="s">
        <v>17</v>
      </c>
      <c r="I922">
        <v>577</v>
      </c>
    </row>
    <row r="923" spans="1:9" x14ac:dyDescent="0.25">
      <c r="A923">
        <v>285</v>
      </c>
      <c r="B923">
        <v>63</v>
      </c>
      <c r="C923" t="s">
        <v>18</v>
      </c>
      <c r="D923">
        <v>121652</v>
      </c>
      <c r="E923">
        <v>20</v>
      </c>
      <c r="F923">
        <v>1</v>
      </c>
      <c r="G923">
        <v>26</v>
      </c>
      <c r="H923" t="s">
        <v>15</v>
      </c>
      <c r="I923">
        <v>169.58</v>
      </c>
    </row>
    <row r="924" spans="1:9" x14ac:dyDescent="0.25">
      <c r="A924">
        <v>291</v>
      </c>
      <c r="B924">
        <v>45</v>
      </c>
      <c r="C924" t="s">
        <v>18</v>
      </c>
      <c r="D924">
        <v>57845</v>
      </c>
      <c r="E924">
        <v>32</v>
      </c>
      <c r="F924">
        <v>6</v>
      </c>
      <c r="G924">
        <v>41</v>
      </c>
      <c r="H924" t="s">
        <v>17</v>
      </c>
      <c r="I924">
        <v>934.34</v>
      </c>
    </row>
    <row r="925" spans="1:9" x14ac:dyDescent="0.25">
      <c r="A925">
        <v>321</v>
      </c>
      <c r="B925">
        <v>43</v>
      </c>
      <c r="C925" t="s">
        <v>18</v>
      </c>
      <c r="D925">
        <v>78858</v>
      </c>
      <c r="E925">
        <v>4</v>
      </c>
      <c r="F925">
        <v>3</v>
      </c>
      <c r="G925">
        <v>38</v>
      </c>
      <c r="H925" t="s">
        <v>15</v>
      </c>
      <c r="I925">
        <v>261.19</v>
      </c>
    </row>
    <row r="926" spans="1:9" x14ac:dyDescent="0.25">
      <c r="A926">
        <v>339</v>
      </c>
      <c r="B926">
        <v>28</v>
      </c>
      <c r="C926" t="s">
        <v>18</v>
      </c>
      <c r="D926">
        <v>111697</v>
      </c>
      <c r="E926">
        <v>92</v>
      </c>
      <c r="F926">
        <v>9</v>
      </c>
      <c r="G926">
        <v>50</v>
      </c>
      <c r="H926" t="s">
        <v>15</v>
      </c>
      <c r="I926">
        <v>205.58</v>
      </c>
    </row>
    <row r="927" spans="1:9" x14ac:dyDescent="0.25">
      <c r="A927">
        <v>342</v>
      </c>
      <c r="B927">
        <v>69</v>
      </c>
      <c r="C927" t="s">
        <v>18</v>
      </c>
      <c r="D927">
        <v>71688</v>
      </c>
      <c r="E927">
        <v>69</v>
      </c>
      <c r="F927">
        <v>4</v>
      </c>
      <c r="G927">
        <v>25</v>
      </c>
      <c r="H927" t="s">
        <v>17</v>
      </c>
      <c r="I927">
        <v>532.23</v>
      </c>
    </row>
    <row r="928" spans="1:9" x14ac:dyDescent="0.25">
      <c r="A928">
        <v>347</v>
      </c>
      <c r="B928">
        <v>38</v>
      </c>
      <c r="C928" t="s">
        <v>18</v>
      </c>
      <c r="D928">
        <v>42378</v>
      </c>
      <c r="E928">
        <v>36</v>
      </c>
      <c r="F928">
        <v>5</v>
      </c>
      <c r="G928">
        <v>20</v>
      </c>
      <c r="H928" t="s">
        <v>15</v>
      </c>
      <c r="I928">
        <v>279.77</v>
      </c>
    </row>
    <row r="929" spans="1:9" x14ac:dyDescent="0.25">
      <c r="A929">
        <v>367</v>
      </c>
      <c r="B929">
        <v>65</v>
      </c>
      <c r="C929" t="s">
        <v>18</v>
      </c>
      <c r="D929">
        <v>65576</v>
      </c>
      <c r="E929">
        <v>91</v>
      </c>
      <c r="F929">
        <v>5</v>
      </c>
      <c r="G929">
        <v>12</v>
      </c>
      <c r="H929" t="s">
        <v>17</v>
      </c>
      <c r="I929">
        <v>782.55</v>
      </c>
    </row>
    <row r="930" spans="1:9" x14ac:dyDescent="0.25">
      <c r="A930">
        <v>372</v>
      </c>
      <c r="B930">
        <v>39</v>
      </c>
      <c r="C930" t="s">
        <v>18</v>
      </c>
      <c r="D930">
        <v>53805</v>
      </c>
      <c r="E930">
        <v>71</v>
      </c>
      <c r="F930">
        <v>5</v>
      </c>
      <c r="G930">
        <v>16</v>
      </c>
      <c r="H930" t="s">
        <v>15</v>
      </c>
      <c r="I930">
        <v>372.03</v>
      </c>
    </row>
    <row r="931" spans="1:9" x14ac:dyDescent="0.25">
      <c r="A931">
        <v>379</v>
      </c>
      <c r="B931">
        <v>41</v>
      </c>
      <c r="C931" t="s">
        <v>18</v>
      </c>
      <c r="D931">
        <v>30074</v>
      </c>
      <c r="E931">
        <v>95</v>
      </c>
      <c r="F931">
        <v>8</v>
      </c>
      <c r="G931">
        <v>19</v>
      </c>
      <c r="H931" t="s">
        <v>17</v>
      </c>
      <c r="I931">
        <v>78.819999999999993</v>
      </c>
    </row>
    <row r="932" spans="1:9" x14ac:dyDescent="0.25">
      <c r="A932">
        <v>381</v>
      </c>
      <c r="B932">
        <v>67</v>
      </c>
      <c r="C932" t="s">
        <v>18</v>
      </c>
      <c r="D932">
        <v>104036</v>
      </c>
      <c r="E932">
        <v>56</v>
      </c>
      <c r="F932">
        <v>10</v>
      </c>
      <c r="G932">
        <v>37</v>
      </c>
      <c r="H932" t="s">
        <v>15</v>
      </c>
      <c r="I932">
        <v>998.98</v>
      </c>
    </row>
    <row r="933" spans="1:9" x14ac:dyDescent="0.25">
      <c r="A933">
        <v>391</v>
      </c>
      <c r="B933">
        <v>67</v>
      </c>
      <c r="C933" t="s">
        <v>18</v>
      </c>
      <c r="D933">
        <v>101759</v>
      </c>
      <c r="E933">
        <v>57</v>
      </c>
      <c r="F933">
        <v>3</v>
      </c>
      <c r="G933">
        <v>19</v>
      </c>
      <c r="H933" t="s">
        <v>15</v>
      </c>
      <c r="I933">
        <v>670.51</v>
      </c>
    </row>
    <row r="934" spans="1:9" x14ac:dyDescent="0.25">
      <c r="A934">
        <v>393</v>
      </c>
      <c r="B934">
        <v>55</v>
      </c>
      <c r="C934" t="s">
        <v>18</v>
      </c>
      <c r="D934">
        <v>127542</v>
      </c>
      <c r="E934">
        <v>79</v>
      </c>
      <c r="F934">
        <v>8</v>
      </c>
      <c r="G934">
        <v>12</v>
      </c>
      <c r="H934" t="s">
        <v>17</v>
      </c>
      <c r="I934">
        <v>632.6</v>
      </c>
    </row>
    <row r="935" spans="1:9" x14ac:dyDescent="0.25">
      <c r="A935">
        <v>394</v>
      </c>
      <c r="B935">
        <v>69</v>
      </c>
      <c r="C935" t="s">
        <v>18</v>
      </c>
      <c r="D935">
        <v>74331</v>
      </c>
      <c r="E935">
        <v>83</v>
      </c>
      <c r="F935">
        <v>9</v>
      </c>
      <c r="G935">
        <v>11</v>
      </c>
      <c r="H935" t="s">
        <v>17</v>
      </c>
      <c r="I935">
        <v>341.63</v>
      </c>
    </row>
    <row r="936" spans="1:9" x14ac:dyDescent="0.25">
      <c r="A936">
        <v>400</v>
      </c>
      <c r="B936">
        <v>41</v>
      </c>
      <c r="C936" t="s">
        <v>18</v>
      </c>
      <c r="D936">
        <v>147962</v>
      </c>
      <c r="E936">
        <v>90</v>
      </c>
      <c r="F936">
        <v>2</v>
      </c>
      <c r="G936">
        <v>9</v>
      </c>
      <c r="H936" t="s">
        <v>17</v>
      </c>
      <c r="I936">
        <v>688.61</v>
      </c>
    </row>
    <row r="937" spans="1:9" x14ac:dyDescent="0.25">
      <c r="A937">
        <v>411</v>
      </c>
      <c r="B937">
        <v>43</v>
      </c>
      <c r="C937" t="s">
        <v>18</v>
      </c>
      <c r="D937">
        <v>89856</v>
      </c>
      <c r="E937">
        <v>96</v>
      </c>
      <c r="F937">
        <v>3</v>
      </c>
      <c r="G937">
        <v>2</v>
      </c>
      <c r="H937" t="s">
        <v>17</v>
      </c>
      <c r="I937">
        <v>114.47</v>
      </c>
    </row>
    <row r="938" spans="1:9" x14ac:dyDescent="0.25">
      <c r="A938">
        <v>418</v>
      </c>
      <c r="B938">
        <v>51</v>
      </c>
      <c r="C938" t="s">
        <v>18</v>
      </c>
      <c r="D938">
        <v>97565</v>
      </c>
      <c r="E938">
        <v>48</v>
      </c>
      <c r="F938">
        <v>10</v>
      </c>
      <c r="G938">
        <v>31</v>
      </c>
      <c r="H938" t="s">
        <v>17</v>
      </c>
      <c r="I938">
        <v>656.9</v>
      </c>
    </row>
    <row r="939" spans="1:9" x14ac:dyDescent="0.25">
      <c r="A939">
        <v>421</v>
      </c>
      <c r="B939">
        <v>46</v>
      </c>
      <c r="C939" t="s">
        <v>18</v>
      </c>
      <c r="D939">
        <v>90871</v>
      </c>
      <c r="E939">
        <v>56</v>
      </c>
      <c r="F939">
        <v>4</v>
      </c>
      <c r="G939">
        <v>39</v>
      </c>
      <c r="H939" t="s">
        <v>17</v>
      </c>
      <c r="I939">
        <v>592.97</v>
      </c>
    </row>
    <row r="940" spans="1:9" x14ac:dyDescent="0.25">
      <c r="A940">
        <v>427</v>
      </c>
      <c r="B940">
        <v>47</v>
      </c>
      <c r="C940" t="s">
        <v>18</v>
      </c>
      <c r="D940">
        <v>49336</v>
      </c>
      <c r="E940">
        <v>11</v>
      </c>
      <c r="F940">
        <v>10</v>
      </c>
      <c r="G940">
        <v>11</v>
      </c>
      <c r="H940" t="s">
        <v>15</v>
      </c>
      <c r="I940">
        <v>877.17</v>
      </c>
    </row>
    <row r="941" spans="1:9" x14ac:dyDescent="0.25">
      <c r="A941">
        <v>432</v>
      </c>
      <c r="B941">
        <v>29</v>
      </c>
      <c r="C941" t="s">
        <v>18</v>
      </c>
      <c r="D941">
        <v>133291</v>
      </c>
      <c r="E941">
        <v>52</v>
      </c>
      <c r="F941">
        <v>4</v>
      </c>
      <c r="G941">
        <v>42</v>
      </c>
      <c r="H941" t="s">
        <v>17</v>
      </c>
      <c r="I941">
        <v>916.28</v>
      </c>
    </row>
    <row r="942" spans="1:9" x14ac:dyDescent="0.25">
      <c r="A942">
        <v>439</v>
      </c>
      <c r="B942">
        <v>63</v>
      </c>
      <c r="C942" t="s">
        <v>18</v>
      </c>
      <c r="D942">
        <v>118402</v>
      </c>
      <c r="E942">
        <v>74</v>
      </c>
      <c r="F942">
        <v>3</v>
      </c>
      <c r="G942">
        <v>12</v>
      </c>
      <c r="H942" t="s">
        <v>15</v>
      </c>
      <c r="I942">
        <v>828.04</v>
      </c>
    </row>
    <row r="943" spans="1:9" x14ac:dyDescent="0.25">
      <c r="A943">
        <v>440</v>
      </c>
      <c r="B943">
        <v>23</v>
      </c>
      <c r="C943" t="s">
        <v>18</v>
      </c>
      <c r="D943">
        <v>130546</v>
      </c>
      <c r="E943">
        <v>71</v>
      </c>
      <c r="F943">
        <v>9</v>
      </c>
      <c r="G943">
        <v>36</v>
      </c>
      <c r="H943" t="s">
        <v>15</v>
      </c>
      <c r="I943">
        <v>799.33</v>
      </c>
    </row>
    <row r="944" spans="1:9" x14ac:dyDescent="0.25">
      <c r="A944">
        <v>442</v>
      </c>
      <c r="B944">
        <v>26</v>
      </c>
      <c r="C944" t="s">
        <v>18</v>
      </c>
      <c r="D944">
        <v>84460</v>
      </c>
      <c r="E944">
        <v>45</v>
      </c>
      <c r="F944">
        <v>1</v>
      </c>
      <c r="G944">
        <v>33</v>
      </c>
      <c r="H944" t="s">
        <v>17</v>
      </c>
      <c r="I944">
        <v>219.67</v>
      </c>
    </row>
    <row r="945" spans="1:9" x14ac:dyDescent="0.25">
      <c r="A945">
        <v>448</v>
      </c>
      <c r="B945">
        <v>31</v>
      </c>
      <c r="C945" t="s">
        <v>18</v>
      </c>
      <c r="D945">
        <v>46106</v>
      </c>
      <c r="E945">
        <v>72</v>
      </c>
      <c r="F945">
        <v>7</v>
      </c>
      <c r="G945">
        <v>2</v>
      </c>
      <c r="H945" t="s">
        <v>15</v>
      </c>
      <c r="I945">
        <v>59.82</v>
      </c>
    </row>
    <row r="946" spans="1:9" x14ac:dyDescent="0.25">
      <c r="A946">
        <v>452</v>
      </c>
      <c r="B946">
        <v>45</v>
      </c>
      <c r="C946" t="s">
        <v>18</v>
      </c>
      <c r="D946">
        <v>93800</v>
      </c>
      <c r="E946">
        <v>33</v>
      </c>
      <c r="F946">
        <v>10</v>
      </c>
      <c r="G946">
        <v>32</v>
      </c>
      <c r="H946" t="s">
        <v>15</v>
      </c>
      <c r="I946">
        <v>391.45</v>
      </c>
    </row>
    <row r="947" spans="1:9" x14ac:dyDescent="0.25">
      <c r="A947">
        <v>460</v>
      </c>
      <c r="B947">
        <v>55</v>
      </c>
      <c r="C947" t="s">
        <v>18</v>
      </c>
      <c r="D947">
        <v>105647</v>
      </c>
      <c r="E947">
        <v>94</v>
      </c>
      <c r="F947">
        <v>1</v>
      </c>
      <c r="G947">
        <v>14</v>
      </c>
      <c r="H947" t="s">
        <v>15</v>
      </c>
      <c r="I947">
        <v>737.91</v>
      </c>
    </row>
    <row r="948" spans="1:9" x14ac:dyDescent="0.25">
      <c r="A948">
        <v>464</v>
      </c>
      <c r="B948">
        <v>65</v>
      </c>
      <c r="C948" t="s">
        <v>18</v>
      </c>
      <c r="D948">
        <v>138529</v>
      </c>
      <c r="E948">
        <v>87</v>
      </c>
      <c r="F948">
        <v>10</v>
      </c>
      <c r="G948">
        <v>14</v>
      </c>
      <c r="H948" t="s">
        <v>15</v>
      </c>
      <c r="I948">
        <v>461.61</v>
      </c>
    </row>
    <row r="949" spans="1:9" x14ac:dyDescent="0.25">
      <c r="A949">
        <v>465</v>
      </c>
      <c r="B949">
        <v>54</v>
      </c>
      <c r="C949" t="s">
        <v>18</v>
      </c>
      <c r="D949">
        <v>40858</v>
      </c>
      <c r="E949">
        <v>48</v>
      </c>
      <c r="F949">
        <v>6</v>
      </c>
      <c r="G949">
        <v>20</v>
      </c>
      <c r="H949" t="s">
        <v>17</v>
      </c>
      <c r="I949">
        <v>34.880000000000003</v>
      </c>
    </row>
    <row r="950" spans="1:9" x14ac:dyDescent="0.25">
      <c r="A950">
        <v>480</v>
      </c>
      <c r="B950">
        <v>19</v>
      </c>
      <c r="C950" t="s">
        <v>18</v>
      </c>
      <c r="D950">
        <v>35529</v>
      </c>
      <c r="E950">
        <v>62</v>
      </c>
      <c r="F950">
        <v>4</v>
      </c>
      <c r="G950">
        <v>24</v>
      </c>
      <c r="H950" t="s">
        <v>17</v>
      </c>
      <c r="I950">
        <v>177.69</v>
      </c>
    </row>
    <row r="951" spans="1:9" x14ac:dyDescent="0.25">
      <c r="A951">
        <v>490</v>
      </c>
      <c r="B951">
        <v>19</v>
      </c>
      <c r="C951" t="s">
        <v>18</v>
      </c>
      <c r="D951">
        <v>113254</v>
      </c>
      <c r="E951">
        <v>38</v>
      </c>
      <c r="F951">
        <v>5</v>
      </c>
      <c r="G951">
        <v>35</v>
      </c>
      <c r="H951" t="s">
        <v>17</v>
      </c>
      <c r="I951">
        <v>633.5</v>
      </c>
    </row>
    <row r="952" spans="1:9" x14ac:dyDescent="0.25">
      <c r="A952">
        <v>493</v>
      </c>
      <c r="B952">
        <v>51</v>
      </c>
      <c r="C952" t="s">
        <v>18</v>
      </c>
      <c r="D952">
        <v>120616</v>
      </c>
      <c r="E952">
        <v>71</v>
      </c>
      <c r="F952">
        <v>1</v>
      </c>
      <c r="G952">
        <v>16</v>
      </c>
      <c r="H952" t="s">
        <v>17</v>
      </c>
      <c r="I952">
        <v>542.03</v>
      </c>
    </row>
    <row r="953" spans="1:9" x14ac:dyDescent="0.25">
      <c r="A953">
        <v>496</v>
      </c>
      <c r="B953">
        <v>33</v>
      </c>
      <c r="C953" t="s">
        <v>18</v>
      </c>
      <c r="D953">
        <v>65486</v>
      </c>
      <c r="E953">
        <v>76</v>
      </c>
      <c r="F953">
        <v>2</v>
      </c>
      <c r="G953">
        <v>11</v>
      </c>
      <c r="H953" t="s">
        <v>15</v>
      </c>
      <c r="I953">
        <v>302.05</v>
      </c>
    </row>
    <row r="954" spans="1:9" x14ac:dyDescent="0.25">
      <c r="A954">
        <v>519</v>
      </c>
      <c r="B954">
        <v>45</v>
      </c>
      <c r="C954" t="s">
        <v>18</v>
      </c>
      <c r="D954">
        <v>67753</v>
      </c>
      <c r="E954">
        <v>64</v>
      </c>
      <c r="F954">
        <v>4</v>
      </c>
      <c r="G954">
        <v>48</v>
      </c>
      <c r="H954" t="s">
        <v>15</v>
      </c>
      <c r="I954">
        <v>926.69</v>
      </c>
    </row>
    <row r="955" spans="1:9" x14ac:dyDescent="0.25">
      <c r="A955">
        <v>525</v>
      </c>
      <c r="B955">
        <v>33</v>
      </c>
      <c r="C955" t="s">
        <v>18</v>
      </c>
      <c r="D955">
        <v>90232</v>
      </c>
      <c r="E955">
        <v>19</v>
      </c>
      <c r="F955">
        <v>2</v>
      </c>
      <c r="G955">
        <v>8</v>
      </c>
      <c r="H955" t="s">
        <v>17</v>
      </c>
      <c r="I955">
        <v>255.08</v>
      </c>
    </row>
    <row r="956" spans="1:9" x14ac:dyDescent="0.25">
      <c r="A956">
        <v>527</v>
      </c>
      <c r="B956">
        <v>62</v>
      </c>
      <c r="C956" t="s">
        <v>18</v>
      </c>
      <c r="D956">
        <v>117704</v>
      </c>
      <c r="E956">
        <v>37</v>
      </c>
      <c r="F956">
        <v>3</v>
      </c>
      <c r="G956">
        <v>48</v>
      </c>
      <c r="H956" t="s">
        <v>15</v>
      </c>
      <c r="I956">
        <v>112.11</v>
      </c>
    </row>
    <row r="957" spans="1:9" x14ac:dyDescent="0.25">
      <c r="A957">
        <v>528</v>
      </c>
      <c r="B957">
        <v>23</v>
      </c>
      <c r="C957" t="s">
        <v>18</v>
      </c>
      <c r="D957">
        <v>144577</v>
      </c>
      <c r="E957">
        <v>75</v>
      </c>
      <c r="F957">
        <v>1</v>
      </c>
      <c r="G957">
        <v>9</v>
      </c>
      <c r="H957" t="s">
        <v>17</v>
      </c>
      <c r="I957">
        <v>826.02</v>
      </c>
    </row>
    <row r="958" spans="1:9" x14ac:dyDescent="0.25">
      <c r="A958">
        <v>536</v>
      </c>
      <c r="B958">
        <v>62</v>
      </c>
      <c r="C958" t="s">
        <v>18</v>
      </c>
      <c r="D958">
        <v>74474</v>
      </c>
      <c r="E958">
        <v>49</v>
      </c>
      <c r="F958">
        <v>2</v>
      </c>
      <c r="G958">
        <v>18</v>
      </c>
      <c r="H958" t="s">
        <v>15</v>
      </c>
      <c r="I958">
        <v>933.65</v>
      </c>
    </row>
    <row r="959" spans="1:9" x14ac:dyDescent="0.25">
      <c r="A959">
        <v>544</v>
      </c>
      <c r="B959">
        <v>66</v>
      </c>
      <c r="C959" t="s">
        <v>18</v>
      </c>
      <c r="D959">
        <v>126893</v>
      </c>
      <c r="E959">
        <v>3</v>
      </c>
      <c r="F959">
        <v>1</v>
      </c>
      <c r="G959">
        <v>32</v>
      </c>
      <c r="H959" t="s">
        <v>17</v>
      </c>
      <c r="I959">
        <v>199.17</v>
      </c>
    </row>
    <row r="960" spans="1:9" x14ac:dyDescent="0.25">
      <c r="A960">
        <v>545</v>
      </c>
      <c r="B960">
        <v>23</v>
      </c>
      <c r="C960" t="s">
        <v>18</v>
      </c>
      <c r="D960">
        <v>123168</v>
      </c>
      <c r="E960">
        <v>80</v>
      </c>
      <c r="F960">
        <v>4</v>
      </c>
      <c r="G960">
        <v>19</v>
      </c>
      <c r="H960" t="s">
        <v>17</v>
      </c>
      <c r="I960">
        <v>860.95</v>
      </c>
    </row>
    <row r="961" spans="1:9" x14ac:dyDescent="0.25">
      <c r="A961">
        <v>585</v>
      </c>
      <c r="B961">
        <v>51</v>
      </c>
      <c r="C961" t="s">
        <v>18</v>
      </c>
      <c r="D961">
        <v>37310</v>
      </c>
      <c r="E961">
        <v>6</v>
      </c>
      <c r="F961">
        <v>5</v>
      </c>
      <c r="G961">
        <v>14</v>
      </c>
      <c r="H961" t="s">
        <v>15</v>
      </c>
      <c r="I961">
        <v>706.18</v>
      </c>
    </row>
    <row r="962" spans="1:9" x14ac:dyDescent="0.25">
      <c r="A962">
        <v>593</v>
      </c>
      <c r="B962">
        <v>62</v>
      </c>
      <c r="C962" t="s">
        <v>18</v>
      </c>
      <c r="D962">
        <v>148501</v>
      </c>
      <c r="E962">
        <v>41</v>
      </c>
      <c r="F962">
        <v>9</v>
      </c>
      <c r="G962">
        <v>32</v>
      </c>
      <c r="H962" t="s">
        <v>15</v>
      </c>
      <c r="I962">
        <v>980.47</v>
      </c>
    </row>
    <row r="963" spans="1:9" x14ac:dyDescent="0.25">
      <c r="A963">
        <v>603</v>
      </c>
      <c r="B963">
        <v>33</v>
      </c>
      <c r="C963" t="s">
        <v>18</v>
      </c>
      <c r="D963">
        <v>53219</v>
      </c>
      <c r="E963">
        <v>33</v>
      </c>
      <c r="F963">
        <v>4</v>
      </c>
      <c r="G963">
        <v>47</v>
      </c>
      <c r="H963" t="s">
        <v>17</v>
      </c>
      <c r="I963">
        <v>251.23</v>
      </c>
    </row>
    <row r="964" spans="1:9" x14ac:dyDescent="0.25">
      <c r="A964">
        <v>614</v>
      </c>
      <c r="B964">
        <v>64</v>
      </c>
      <c r="C964" t="s">
        <v>18</v>
      </c>
      <c r="D964">
        <v>116106</v>
      </c>
      <c r="E964">
        <v>5</v>
      </c>
      <c r="F964">
        <v>1</v>
      </c>
      <c r="G964">
        <v>5</v>
      </c>
      <c r="H964" t="s">
        <v>17</v>
      </c>
      <c r="I964">
        <v>25.86</v>
      </c>
    </row>
    <row r="965" spans="1:9" x14ac:dyDescent="0.25">
      <c r="A965">
        <v>623</v>
      </c>
      <c r="B965">
        <v>30</v>
      </c>
      <c r="C965" t="s">
        <v>18</v>
      </c>
      <c r="D965">
        <v>97829</v>
      </c>
      <c r="E965">
        <v>99</v>
      </c>
      <c r="F965">
        <v>4</v>
      </c>
      <c r="G965">
        <v>27</v>
      </c>
      <c r="H965" t="s">
        <v>17</v>
      </c>
      <c r="I965">
        <v>320.95</v>
      </c>
    </row>
    <row r="966" spans="1:9" x14ac:dyDescent="0.25">
      <c r="A966">
        <v>632</v>
      </c>
      <c r="B966">
        <v>29</v>
      </c>
      <c r="C966" t="s">
        <v>18</v>
      </c>
      <c r="D966">
        <v>72125</v>
      </c>
      <c r="E966">
        <v>41</v>
      </c>
      <c r="F966">
        <v>5</v>
      </c>
      <c r="G966">
        <v>31</v>
      </c>
      <c r="H966" t="s">
        <v>15</v>
      </c>
      <c r="I966">
        <v>507.62</v>
      </c>
    </row>
    <row r="967" spans="1:9" x14ac:dyDescent="0.25">
      <c r="A967">
        <v>636</v>
      </c>
      <c r="B967">
        <v>24</v>
      </c>
      <c r="C967" t="s">
        <v>18</v>
      </c>
      <c r="D967">
        <v>93266</v>
      </c>
      <c r="E967">
        <v>20</v>
      </c>
      <c r="F967">
        <v>1</v>
      </c>
      <c r="G967">
        <v>4</v>
      </c>
      <c r="H967" t="s">
        <v>17</v>
      </c>
      <c r="I967">
        <v>636.29</v>
      </c>
    </row>
    <row r="968" spans="1:9" x14ac:dyDescent="0.25">
      <c r="A968">
        <v>643</v>
      </c>
      <c r="B968">
        <v>64</v>
      </c>
      <c r="C968" t="s">
        <v>18</v>
      </c>
      <c r="D968">
        <v>92888</v>
      </c>
      <c r="E968">
        <v>2</v>
      </c>
      <c r="F968">
        <v>7</v>
      </c>
      <c r="G968">
        <v>50</v>
      </c>
      <c r="H968" t="s">
        <v>15</v>
      </c>
      <c r="I968">
        <v>84.98</v>
      </c>
    </row>
    <row r="969" spans="1:9" x14ac:dyDescent="0.25">
      <c r="A969">
        <v>660</v>
      </c>
      <c r="B969">
        <v>54</v>
      </c>
      <c r="C969" t="s">
        <v>18</v>
      </c>
      <c r="D969">
        <v>89035</v>
      </c>
      <c r="E969">
        <v>14</v>
      </c>
      <c r="F969">
        <v>4</v>
      </c>
      <c r="G969">
        <v>11</v>
      </c>
      <c r="H969" t="s">
        <v>15</v>
      </c>
      <c r="I969">
        <v>138.81</v>
      </c>
    </row>
    <row r="970" spans="1:9" x14ac:dyDescent="0.25">
      <c r="A970">
        <v>661</v>
      </c>
      <c r="B970">
        <v>69</v>
      </c>
      <c r="C970" t="s">
        <v>18</v>
      </c>
      <c r="D970">
        <v>34122</v>
      </c>
      <c r="E970">
        <v>50</v>
      </c>
      <c r="F970">
        <v>4</v>
      </c>
      <c r="G970">
        <v>27</v>
      </c>
      <c r="H970" t="s">
        <v>15</v>
      </c>
      <c r="I970">
        <v>758.44</v>
      </c>
    </row>
    <row r="971" spans="1:9" x14ac:dyDescent="0.25">
      <c r="A971">
        <v>667</v>
      </c>
      <c r="B971">
        <v>29</v>
      </c>
      <c r="C971" t="s">
        <v>18</v>
      </c>
      <c r="D971">
        <v>135394</v>
      </c>
      <c r="E971">
        <v>53</v>
      </c>
      <c r="F971">
        <v>9</v>
      </c>
      <c r="G971">
        <v>36</v>
      </c>
      <c r="H971" t="s">
        <v>17</v>
      </c>
      <c r="I971">
        <v>30.13</v>
      </c>
    </row>
    <row r="972" spans="1:9" x14ac:dyDescent="0.25">
      <c r="A972">
        <v>668</v>
      </c>
      <c r="B972">
        <v>27</v>
      </c>
      <c r="C972" t="s">
        <v>18</v>
      </c>
      <c r="D972">
        <v>48576</v>
      </c>
      <c r="E972">
        <v>29</v>
      </c>
      <c r="F972">
        <v>7</v>
      </c>
      <c r="G972">
        <v>29</v>
      </c>
      <c r="H972" t="s">
        <v>15</v>
      </c>
      <c r="I972">
        <v>976.83</v>
      </c>
    </row>
    <row r="973" spans="1:9" x14ac:dyDescent="0.25">
      <c r="A973">
        <v>673</v>
      </c>
      <c r="B973">
        <v>47</v>
      </c>
      <c r="C973" t="s">
        <v>18</v>
      </c>
      <c r="D973">
        <v>40790</v>
      </c>
      <c r="E973">
        <v>36</v>
      </c>
      <c r="F973">
        <v>1</v>
      </c>
      <c r="G973">
        <v>4</v>
      </c>
      <c r="H973" t="s">
        <v>17</v>
      </c>
      <c r="I973">
        <v>913.84</v>
      </c>
    </row>
    <row r="974" spans="1:9" x14ac:dyDescent="0.25">
      <c r="A974">
        <v>679</v>
      </c>
      <c r="B974">
        <v>46</v>
      </c>
      <c r="C974" t="s">
        <v>18</v>
      </c>
      <c r="D974">
        <v>112770</v>
      </c>
      <c r="E974">
        <v>6</v>
      </c>
      <c r="F974">
        <v>10</v>
      </c>
      <c r="G974">
        <v>27</v>
      </c>
      <c r="H974" t="s">
        <v>15</v>
      </c>
      <c r="I974">
        <v>559.73</v>
      </c>
    </row>
    <row r="975" spans="1:9" x14ac:dyDescent="0.25">
      <c r="A975">
        <v>690</v>
      </c>
      <c r="B975">
        <v>39</v>
      </c>
      <c r="C975" t="s">
        <v>18</v>
      </c>
      <c r="D975">
        <v>141586</v>
      </c>
      <c r="E975">
        <v>50</v>
      </c>
      <c r="F975">
        <v>4</v>
      </c>
      <c r="G975">
        <v>46</v>
      </c>
      <c r="H975" t="s">
        <v>17</v>
      </c>
      <c r="I975">
        <v>659.67</v>
      </c>
    </row>
    <row r="976" spans="1:9" x14ac:dyDescent="0.25">
      <c r="A976">
        <v>697</v>
      </c>
      <c r="B976">
        <v>36</v>
      </c>
      <c r="C976" t="s">
        <v>18</v>
      </c>
      <c r="D976">
        <v>114281</v>
      </c>
      <c r="E976">
        <v>99</v>
      </c>
      <c r="F976">
        <v>7</v>
      </c>
      <c r="G976">
        <v>6</v>
      </c>
      <c r="H976" t="s">
        <v>15</v>
      </c>
      <c r="I976">
        <v>217.78</v>
      </c>
    </row>
    <row r="977" spans="1:9" x14ac:dyDescent="0.25">
      <c r="A977">
        <v>704</v>
      </c>
      <c r="B977">
        <v>52</v>
      </c>
      <c r="C977" t="s">
        <v>18</v>
      </c>
      <c r="D977">
        <v>58805</v>
      </c>
      <c r="E977">
        <v>14</v>
      </c>
      <c r="F977">
        <v>2</v>
      </c>
      <c r="G977">
        <v>47</v>
      </c>
      <c r="H977" t="s">
        <v>15</v>
      </c>
      <c r="I977">
        <v>104.35</v>
      </c>
    </row>
    <row r="978" spans="1:9" x14ac:dyDescent="0.25">
      <c r="A978">
        <v>706</v>
      </c>
      <c r="B978">
        <v>29</v>
      </c>
      <c r="C978" t="s">
        <v>18</v>
      </c>
      <c r="D978">
        <v>102972</v>
      </c>
      <c r="E978">
        <v>68</v>
      </c>
      <c r="F978">
        <v>3</v>
      </c>
      <c r="G978">
        <v>39</v>
      </c>
      <c r="H978" t="s">
        <v>17</v>
      </c>
      <c r="I978">
        <v>258.08999999999997</v>
      </c>
    </row>
    <row r="979" spans="1:9" x14ac:dyDescent="0.25">
      <c r="A979">
        <v>707</v>
      </c>
      <c r="B979">
        <v>47</v>
      </c>
      <c r="C979" t="s">
        <v>18</v>
      </c>
      <c r="D979">
        <v>128439</v>
      </c>
      <c r="E979">
        <v>42</v>
      </c>
      <c r="F979">
        <v>5</v>
      </c>
      <c r="G979">
        <v>22</v>
      </c>
      <c r="H979" t="s">
        <v>15</v>
      </c>
      <c r="I979">
        <v>219.02</v>
      </c>
    </row>
    <row r="980" spans="1:9" x14ac:dyDescent="0.25">
      <c r="A980">
        <v>709</v>
      </c>
      <c r="B980">
        <v>44</v>
      </c>
      <c r="C980" t="s">
        <v>18</v>
      </c>
      <c r="D980">
        <v>118123</v>
      </c>
      <c r="E980">
        <v>40</v>
      </c>
      <c r="F980">
        <v>8</v>
      </c>
      <c r="G980">
        <v>31</v>
      </c>
      <c r="H980" t="s">
        <v>17</v>
      </c>
      <c r="I980">
        <v>140.52000000000001</v>
      </c>
    </row>
    <row r="981" spans="1:9" x14ac:dyDescent="0.25">
      <c r="A981">
        <v>716</v>
      </c>
      <c r="B981">
        <v>48</v>
      </c>
      <c r="C981" t="s">
        <v>18</v>
      </c>
      <c r="D981">
        <v>74273</v>
      </c>
      <c r="E981">
        <v>23</v>
      </c>
      <c r="F981">
        <v>10</v>
      </c>
      <c r="G981">
        <v>46</v>
      </c>
      <c r="H981" t="s">
        <v>15</v>
      </c>
      <c r="I981">
        <v>626.27</v>
      </c>
    </row>
    <row r="982" spans="1:9" x14ac:dyDescent="0.25">
      <c r="A982">
        <v>719</v>
      </c>
      <c r="B982">
        <v>21</v>
      </c>
      <c r="C982" t="s">
        <v>18</v>
      </c>
      <c r="D982">
        <v>119226</v>
      </c>
      <c r="E982">
        <v>21</v>
      </c>
      <c r="F982">
        <v>8</v>
      </c>
      <c r="G982">
        <v>50</v>
      </c>
      <c r="H982" t="s">
        <v>15</v>
      </c>
      <c r="I982">
        <v>772.63</v>
      </c>
    </row>
    <row r="983" spans="1:9" x14ac:dyDescent="0.25">
      <c r="A983">
        <v>725</v>
      </c>
      <c r="B983">
        <v>48</v>
      </c>
      <c r="C983" t="s">
        <v>18</v>
      </c>
      <c r="D983">
        <v>108563</v>
      </c>
      <c r="E983">
        <v>3</v>
      </c>
      <c r="F983">
        <v>8</v>
      </c>
      <c r="G983">
        <v>39</v>
      </c>
      <c r="H983" t="s">
        <v>17</v>
      </c>
      <c r="I983">
        <v>15.72</v>
      </c>
    </row>
    <row r="984" spans="1:9" x14ac:dyDescent="0.25">
      <c r="A984">
        <v>736</v>
      </c>
      <c r="B984">
        <v>52</v>
      </c>
      <c r="C984" t="s">
        <v>18</v>
      </c>
      <c r="D984">
        <v>130875</v>
      </c>
      <c r="E984">
        <v>76</v>
      </c>
      <c r="F984">
        <v>10</v>
      </c>
      <c r="G984">
        <v>14</v>
      </c>
      <c r="H984" t="s">
        <v>17</v>
      </c>
      <c r="I984">
        <v>979.39</v>
      </c>
    </row>
    <row r="985" spans="1:9" x14ac:dyDescent="0.25">
      <c r="A985">
        <v>764</v>
      </c>
      <c r="B985">
        <v>61</v>
      </c>
      <c r="C985" t="s">
        <v>18</v>
      </c>
      <c r="D985">
        <v>116123</v>
      </c>
      <c r="E985">
        <v>96</v>
      </c>
      <c r="F985">
        <v>2</v>
      </c>
      <c r="G985">
        <v>27</v>
      </c>
      <c r="H985" t="s">
        <v>15</v>
      </c>
      <c r="I985">
        <v>844.95</v>
      </c>
    </row>
    <row r="986" spans="1:9" x14ac:dyDescent="0.25">
      <c r="A986">
        <v>772</v>
      </c>
      <c r="B986">
        <v>26</v>
      </c>
      <c r="C986" t="s">
        <v>18</v>
      </c>
      <c r="D986">
        <v>79842</v>
      </c>
      <c r="E986">
        <v>78</v>
      </c>
      <c r="F986">
        <v>9</v>
      </c>
      <c r="G986">
        <v>5</v>
      </c>
      <c r="H986" t="s">
        <v>17</v>
      </c>
      <c r="I986">
        <v>557.41</v>
      </c>
    </row>
    <row r="987" spans="1:9" x14ac:dyDescent="0.25">
      <c r="A987">
        <v>778</v>
      </c>
      <c r="B987">
        <v>46</v>
      </c>
      <c r="C987" t="s">
        <v>18</v>
      </c>
      <c r="D987">
        <v>78023</v>
      </c>
      <c r="E987">
        <v>83</v>
      </c>
      <c r="F987">
        <v>7</v>
      </c>
      <c r="G987">
        <v>28</v>
      </c>
      <c r="H987" t="s">
        <v>15</v>
      </c>
      <c r="I987">
        <v>270.14999999999998</v>
      </c>
    </row>
    <row r="988" spans="1:9" x14ac:dyDescent="0.25">
      <c r="A988">
        <v>789</v>
      </c>
      <c r="B988">
        <v>25</v>
      </c>
      <c r="C988" t="s">
        <v>18</v>
      </c>
      <c r="D988">
        <v>52575</v>
      </c>
      <c r="E988">
        <v>77</v>
      </c>
      <c r="F988">
        <v>5</v>
      </c>
      <c r="G988">
        <v>13</v>
      </c>
      <c r="H988" t="s">
        <v>17</v>
      </c>
      <c r="I988">
        <v>112.22</v>
      </c>
    </row>
    <row r="989" spans="1:9" x14ac:dyDescent="0.25">
      <c r="A989">
        <v>805</v>
      </c>
      <c r="B989">
        <v>51</v>
      </c>
      <c r="C989" t="s">
        <v>18</v>
      </c>
      <c r="D989">
        <v>97660</v>
      </c>
      <c r="E989">
        <v>3</v>
      </c>
      <c r="F989">
        <v>7</v>
      </c>
      <c r="G989">
        <v>30</v>
      </c>
      <c r="H989" t="s">
        <v>15</v>
      </c>
      <c r="I989">
        <v>145.66</v>
      </c>
    </row>
    <row r="990" spans="1:9" x14ac:dyDescent="0.25">
      <c r="A990">
        <v>833</v>
      </c>
      <c r="B990">
        <v>43</v>
      </c>
      <c r="C990" t="s">
        <v>18</v>
      </c>
      <c r="D990">
        <v>85487</v>
      </c>
      <c r="E990">
        <v>71</v>
      </c>
      <c r="F990">
        <v>7</v>
      </c>
      <c r="G990">
        <v>49</v>
      </c>
      <c r="H990" t="s">
        <v>15</v>
      </c>
      <c r="I990">
        <v>625.26</v>
      </c>
    </row>
    <row r="991" spans="1:9" x14ac:dyDescent="0.25">
      <c r="A991">
        <v>842</v>
      </c>
      <c r="B991">
        <v>33</v>
      </c>
      <c r="C991" t="s">
        <v>18</v>
      </c>
      <c r="D991">
        <v>96916</v>
      </c>
      <c r="E991">
        <v>23</v>
      </c>
      <c r="F991">
        <v>6</v>
      </c>
      <c r="G991">
        <v>12</v>
      </c>
      <c r="H991" t="s">
        <v>15</v>
      </c>
      <c r="I991">
        <v>373.49</v>
      </c>
    </row>
    <row r="992" spans="1:9" x14ac:dyDescent="0.25">
      <c r="A992">
        <v>849</v>
      </c>
      <c r="B992">
        <v>56</v>
      </c>
      <c r="C992" t="s">
        <v>18</v>
      </c>
      <c r="D992">
        <v>86142</v>
      </c>
      <c r="E992">
        <v>87</v>
      </c>
      <c r="F992">
        <v>7</v>
      </c>
      <c r="G992">
        <v>8</v>
      </c>
      <c r="H992" t="s">
        <v>15</v>
      </c>
      <c r="I992">
        <v>291.95999999999998</v>
      </c>
    </row>
    <row r="993" spans="1:9" x14ac:dyDescent="0.25">
      <c r="A993">
        <v>850</v>
      </c>
      <c r="B993">
        <v>48</v>
      </c>
      <c r="C993" t="s">
        <v>18</v>
      </c>
      <c r="D993">
        <v>126398</v>
      </c>
      <c r="E993">
        <v>19</v>
      </c>
      <c r="F993">
        <v>1</v>
      </c>
      <c r="G993">
        <v>18</v>
      </c>
      <c r="H993" t="s">
        <v>17</v>
      </c>
      <c r="I993">
        <v>311.08</v>
      </c>
    </row>
    <row r="994" spans="1:9" x14ac:dyDescent="0.25">
      <c r="A994">
        <v>873</v>
      </c>
      <c r="B994">
        <v>42</v>
      </c>
      <c r="C994" t="s">
        <v>18</v>
      </c>
      <c r="D994">
        <v>127546</v>
      </c>
      <c r="E994">
        <v>54</v>
      </c>
      <c r="F994">
        <v>1</v>
      </c>
      <c r="G994">
        <v>31</v>
      </c>
      <c r="H994" t="s">
        <v>17</v>
      </c>
      <c r="I994">
        <v>484.72</v>
      </c>
    </row>
    <row r="995" spans="1:9" x14ac:dyDescent="0.25">
      <c r="A995">
        <v>884</v>
      </c>
      <c r="B995">
        <v>50</v>
      </c>
      <c r="C995" t="s">
        <v>18</v>
      </c>
      <c r="D995">
        <v>59695</v>
      </c>
      <c r="E995">
        <v>70</v>
      </c>
      <c r="F995">
        <v>5</v>
      </c>
      <c r="G995">
        <v>6</v>
      </c>
      <c r="H995" t="s">
        <v>17</v>
      </c>
      <c r="I995">
        <v>241.99</v>
      </c>
    </row>
    <row r="996" spans="1:9" x14ac:dyDescent="0.25">
      <c r="A996">
        <v>958</v>
      </c>
      <c r="B996">
        <v>26</v>
      </c>
      <c r="C996" t="s">
        <v>18</v>
      </c>
      <c r="D996">
        <v>41126</v>
      </c>
      <c r="E996">
        <v>37</v>
      </c>
      <c r="F996">
        <v>9</v>
      </c>
      <c r="G996">
        <v>44</v>
      </c>
      <c r="H996" t="s">
        <v>17</v>
      </c>
      <c r="I996">
        <v>100.64</v>
      </c>
    </row>
    <row r="997" spans="1:9" x14ac:dyDescent="0.25">
      <c r="A997">
        <v>960</v>
      </c>
      <c r="B997">
        <v>61</v>
      </c>
      <c r="C997" t="s">
        <v>18</v>
      </c>
      <c r="D997">
        <v>50349</v>
      </c>
      <c r="E997">
        <v>76</v>
      </c>
      <c r="F997">
        <v>9</v>
      </c>
      <c r="G997">
        <v>42</v>
      </c>
      <c r="H997" t="s">
        <v>17</v>
      </c>
      <c r="I997">
        <v>957.5</v>
      </c>
    </row>
    <row r="998" spans="1:9" x14ac:dyDescent="0.25">
      <c r="A998">
        <v>967</v>
      </c>
      <c r="B998">
        <v>46</v>
      </c>
      <c r="C998" t="s">
        <v>18</v>
      </c>
      <c r="D998">
        <v>67361</v>
      </c>
      <c r="E998">
        <v>80</v>
      </c>
      <c r="F998">
        <v>6</v>
      </c>
      <c r="G998">
        <v>25</v>
      </c>
      <c r="H998" t="s">
        <v>15</v>
      </c>
      <c r="I998">
        <v>350.08</v>
      </c>
    </row>
    <row r="999" spans="1:9" x14ac:dyDescent="0.25">
      <c r="A999">
        <v>978</v>
      </c>
      <c r="B999">
        <v>45</v>
      </c>
      <c r="C999" t="s">
        <v>18</v>
      </c>
      <c r="D999">
        <v>91381</v>
      </c>
      <c r="E999">
        <v>48</v>
      </c>
      <c r="F999">
        <v>8</v>
      </c>
      <c r="G999">
        <v>16</v>
      </c>
      <c r="H999" t="s">
        <v>15</v>
      </c>
      <c r="I999">
        <v>253.13</v>
      </c>
    </row>
    <row r="1000" spans="1:9" x14ac:dyDescent="0.25">
      <c r="A1000">
        <v>979</v>
      </c>
      <c r="B1000">
        <v>66</v>
      </c>
      <c r="C1000" t="s">
        <v>18</v>
      </c>
      <c r="D1000">
        <v>74055</v>
      </c>
      <c r="E1000">
        <v>100</v>
      </c>
      <c r="F1000">
        <v>6</v>
      </c>
      <c r="G1000">
        <v>17</v>
      </c>
      <c r="H1000" t="s">
        <v>15</v>
      </c>
      <c r="I1000">
        <v>318.7</v>
      </c>
    </row>
    <row r="1001" spans="1:9" x14ac:dyDescent="0.25">
      <c r="A1001">
        <v>980</v>
      </c>
      <c r="B1001">
        <v>45</v>
      </c>
      <c r="C1001" t="s">
        <v>18</v>
      </c>
      <c r="D1001">
        <v>135047</v>
      </c>
      <c r="E1001">
        <v>11</v>
      </c>
      <c r="F1001">
        <v>9</v>
      </c>
      <c r="G1001">
        <v>42</v>
      </c>
      <c r="H1001" t="s">
        <v>17</v>
      </c>
      <c r="I1001">
        <v>422.93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A8F6-E32D-4E17-A74A-4400E7B5386F}">
  <dimension ref="A1:P1001"/>
  <sheetViews>
    <sheetView topLeftCell="I1" zoomScaleNormal="100" workbookViewId="0">
      <selection activeCell="N16" sqref="N16"/>
    </sheetView>
  </sheetViews>
  <sheetFormatPr defaultRowHeight="15" x14ac:dyDescent="0.25"/>
  <cols>
    <col min="1" max="1" width="5" bestFit="1" customWidth="1"/>
    <col min="2" max="2" width="6.42578125" bestFit="1" customWidth="1"/>
    <col min="3" max="3" width="9.5703125" bestFit="1" customWidth="1"/>
    <col min="4" max="4" width="9.85546875" style="3" bestFit="1" customWidth="1"/>
    <col min="5" max="5" width="17.28515625" bestFit="1" customWidth="1"/>
    <col min="6" max="6" width="20.5703125" bestFit="1" customWidth="1"/>
    <col min="7" max="7" width="21.5703125" bestFit="1" customWidth="1"/>
    <col min="8" max="8" width="20.7109375" bestFit="1" customWidth="1"/>
    <col min="9" max="9" width="23.7109375" bestFit="1" customWidth="1"/>
    <col min="10" max="10" width="14.42578125" bestFit="1" customWidth="1"/>
    <col min="11" max="11" width="13.5703125" style="4" bestFit="1" customWidth="1"/>
    <col min="12" max="12" width="12.42578125" bestFit="1" customWidth="1"/>
    <col min="13" max="13" width="18" style="3" bestFit="1" customWidth="1"/>
    <col min="14" max="14" width="17" bestFit="1" customWidth="1"/>
    <col min="15" max="15" width="14.28515625" style="3" bestFit="1" customWidth="1"/>
    <col min="16" max="16" width="13.28515625" bestFit="1" customWidth="1"/>
  </cols>
  <sheetData>
    <row r="1" spans="1:1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6" x14ac:dyDescent="0.25">
      <c r="A2">
        <v>15</v>
      </c>
      <c r="B2">
        <v>33</v>
      </c>
      <c r="C2" t="s">
        <v>12</v>
      </c>
      <c r="D2" s="3">
        <v>112260</v>
      </c>
      <c r="E2">
        <v>17</v>
      </c>
      <c r="F2">
        <v>5</v>
      </c>
      <c r="G2">
        <v>8</v>
      </c>
      <c r="H2" t="s">
        <v>13</v>
      </c>
      <c r="I2">
        <v>915.89</v>
      </c>
      <c r="J2" t="str">
        <f t="shared" ref="J2:J65" si="0">IF(D2&lt;50000,"Low",IF(D2&lt;100000,"Medium","High"))</f>
        <v>High</v>
      </c>
      <c r="K2" s="4" t="e">
        <f t="shared" ref="K2:K65" si="1">IF($J2="Low",$D2,NA())</f>
        <v>#N/A</v>
      </c>
      <c r="L2" t="e">
        <f t="shared" ref="L2:L65" si="2">IF($J2="Low",$E2,NA())</f>
        <v>#N/A</v>
      </c>
      <c r="M2" s="3" t="e">
        <f t="shared" ref="M2:M65" si="3">IF($J2="Medium",$D2,NA())</f>
        <v>#N/A</v>
      </c>
      <c r="N2" t="e">
        <f t="shared" ref="N2:N65" si="4">IF($J2="Medium",$E2,NA())</f>
        <v>#N/A</v>
      </c>
      <c r="O2" s="3">
        <f t="shared" ref="O2:O65" si="5">IF($J2="High",$D2,NA())</f>
        <v>112260</v>
      </c>
      <c r="P2">
        <f t="shared" ref="P2:P65" si="6">IF($J2="High",$E2,NA())</f>
        <v>17</v>
      </c>
    </row>
    <row r="3" spans="1:16" x14ac:dyDescent="0.25">
      <c r="A3">
        <v>19</v>
      </c>
      <c r="B3">
        <v>37</v>
      </c>
      <c r="C3" t="s">
        <v>12</v>
      </c>
      <c r="D3" s="3">
        <v>95491</v>
      </c>
      <c r="E3">
        <v>90</v>
      </c>
      <c r="F3">
        <v>6</v>
      </c>
      <c r="G3">
        <v>21</v>
      </c>
      <c r="H3" t="s">
        <v>13</v>
      </c>
      <c r="I3">
        <v>454.83</v>
      </c>
      <c r="J3" t="str">
        <f t="shared" si="0"/>
        <v>Medium</v>
      </c>
      <c r="K3" s="4" t="e">
        <f t="shared" si="1"/>
        <v>#N/A</v>
      </c>
      <c r="L3" t="e">
        <f t="shared" si="2"/>
        <v>#N/A</v>
      </c>
      <c r="M3" s="3">
        <f t="shared" si="3"/>
        <v>95491</v>
      </c>
      <c r="N3">
        <f t="shared" si="4"/>
        <v>90</v>
      </c>
      <c r="O3" s="3" t="e">
        <f t="shared" si="5"/>
        <v>#N/A</v>
      </c>
      <c r="P3" t="e">
        <f t="shared" si="6"/>
        <v>#N/A</v>
      </c>
    </row>
    <row r="4" spans="1:16" x14ac:dyDescent="0.25">
      <c r="A4">
        <v>22</v>
      </c>
      <c r="B4">
        <v>22</v>
      </c>
      <c r="C4" t="s">
        <v>12</v>
      </c>
      <c r="D4" s="3">
        <v>49077</v>
      </c>
      <c r="E4">
        <v>74</v>
      </c>
      <c r="F4">
        <v>10</v>
      </c>
      <c r="G4">
        <v>47</v>
      </c>
      <c r="H4" t="s">
        <v>13</v>
      </c>
      <c r="I4">
        <v>799.31</v>
      </c>
      <c r="J4" t="str">
        <f t="shared" si="0"/>
        <v>Low</v>
      </c>
      <c r="K4" s="4">
        <f t="shared" si="1"/>
        <v>49077</v>
      </c>
      <c r="L4">
        <f t="shared" si="2"/>
        <v>74</v>
      </c>
      <c r="M4" s="3" t="e">
        <f t="shared" si="3"/>
        <v>#N/A</v>
      </c>
      <c r="N4" t="e">
        <f t="shared" si="4"/>
        <v>#N/A</v>
      </c>
      <c r="O4" s="3" t="e">
        <f t="shared" si="5"/>
        <v>#N/A</v>
      </c>
      <c r="P4" t="e">
        <f t="shared" si="6"/>
        <v>#N/A</v>
      </c>
    </row>
    <row r="5" spans="1:16" x14ac:dyDescent="0.25">
      <c r="A5">
        <v>40</v>
      </c>
      <c r="B5">
        <v>22</v>
      </c>
      <c r="C5" t="s">
        <v>12</v>
      </c>
      <c r="D5" s="3">
        <v>107057</v>
      </c>
      <c r="E5">
        <v>14</v>
      </c>
      <c r="F5">
        <v>5</v>
      </c>
      <c r="G5">
        <v>41</v>
      </c>
      <c r="H5" t="s">
        <v>13</v>
      </c>
      <c r="I5">
        <v>98.86</v>
      </c>
      <c r="J5" t="str">
        <f t="shared" si="0"/>
        <v>High</v>
      </c>
      <c r="K5" s="4" t="e">
        <f t="shared" si="1"/>
        <v>#N/A</v>
      </c>
      <c r="L5" t="e">
        <f t="shared" si="2"/>
        <v>#N/A</v>
      </c>
      <c r="M5" s="3" t="e">
        <f t="shared" si="3"/>
        <v>#N/A</v>
      </c>
      <c r="N5" t="e">
        <f t="shared" si="4"/>
        <v>#N/A</v>
      </c>
      <c r="O5" s="3">
        <f t="shared" si="5"/>
        <v>107057</v>
      </c>
      <c r="P5">
        <f t="shared" si="6"/>
        <v>14</v>
      </c>
    </row>
    <row r="6" spans="1:16" x14ac:dyDescent="0.25">
      <c r="A6">
        <v>41</v>
      </c>
      <c r="B6">
        <v>23</v>
      </c>
      <c r="C6" t="s">
        <v>12</v>
      </c>
      <c r="D6" s="3">
        <v>70723</v>
      </c>
      <c r="E6">
        <v>31</v>
      </c>
      <c r="F6">
        <v>1</v>
      </c>
      <c r="G6">
        <v>48</v>
      </c>
      <c r="H6" t="s">
        <v>13</v>
      </c>
      <c r="I6">
        <v>713.33</v>
      </c>
      <c r="J6" t="str">
        <f t="shared" si="0"/>
        <v>Medium</v>
      </c>
      <c r="K6" s="4" t="e">
        <f t="shared" si="1"/>
        <v>#N/A</v>
      </c>
      <c r="L6" t="e">
        <f t="shared" si="2"/>
        <v>#N/A</v>
      </c>
      <c r="M6" s="3">
        <f t="shared" si="3"/>
        <v>70723</v>
      </c>
      <c r="N6">
        <f t="shared" si="4"/>
        <v>31</v>
      </c>
      <c r="O6" s="3" t="e">
        <f t="shared" si="5"/>
        <v>#N/A</v>
      </c>
      <c r="P6" t="e">
        <f t="shared" si="6"/>
        <v>#N/A</v>
      </c>
    </row>
    <row r="7" spans="1:16" x14ac:dyDescent="0.25">
      <c r="A7">
        <v>43</v>
      </c>
      <c r="B7">
        <v>35</v>
      </c>
      <c r="C7" t="s">
        <v>12</v>
      </c>
      <c r="D7" s="3">
        <v>72179</v>
      </c>
      <c r="E7">
        <v>6</v>
      </c>
      <c r="F7">
        <v>6</v>
      </c>
      <c r="G7">
        <v>45</v>
      </c>
      <c r="H7" t="s">
        <v>13</v>
      </c>
      <c r="I7">
        <v>165.18</v>
      </c>
      <c r="J7" t="str">
        <f t="shared" si="0"/>
        <v>Medium</v>
      </c>
      <c r="K7" s="4" t="e">
        <f t="shared" si="1"/>
        <v>#N/A</v>
      </c>
      <c r="L7" t="e">
        <f t="shared" si="2"/>
        <v>#N/A</v>
      </c>
      <c r="M7" s="3">
        <f t="shared" si="3"/>
        <v>72179</v>
      </c>
      <c r="N7">
        <f t="shared" si="4"/>
        <v>6</v>
      </c>
      <c r="O7" s="3" t="e">
        <f t="shared" si="5"/>
        <v>#N/A</v>
      </c>
      <c r="P7" t="e">
        <f t="shared" si="6"/>
        <v>#N/A</v>
      </c>
    </row>
    <row r="8" spans="1:16" x14ac:dyDescent="0.25">
      <c r="A8">
        <v>45</v>
      </c>
      <c r="B8">
        <v>50</v>
      </c>
      <c r="C8" t="s">
        <v>12</v>
      </c>
      <c r="D8" s="3">
        <v>42404</v>
      </c>
      <c r="E8">
        <v>45</v>
      </c>
      <c r="F8">
        <v>4</v>
      </c>
      <c r="G8">
        <v>31</v>
      </c>
      <c r="H8" t="s">
        <v>13</v>
      </c>
      <c r="I8">
        <v>753.6</v>
      </c>
      <c r="J8" t="str">
        <f t="shared" si="0"/>
        <v>Low</v>
      </c>
      <c r="K8" s="4">
        <f t="shared" si="1"/>
        <v>42404</v>
      </c>
      <c r="L8">
        <f t="shared" si="2"/>
        <v>45</v>
      </c>
      <c r="M8" s="3" t="e">
        <f t="shared" si="3"/>
        <v>#N/A</v>
      </c>
      <c r="N8" t="e">
        <f t="shared" si="4"/>
        <v>#N/A</v>
      </c>
      <c r="O8" s="3" t="e">
        <f t="shared" si="5"/>
        <v>#N/A</v>
      </c>
      <c r="P8" t="e">
        <f t="shared" si="6"/>
        <v>#N/A</v>
      </c>
    </row>
    <row r="9" spans="1:16" x14ac:dyDescent="0.25">
      <c r="A9">
        <v>66</v>
      </c>
      <c r="B9">
        <v>32</v>
      </c>
      <c r="C9" t="s">
        <v>12</v>
      </c>
      <c r="D9" s="3">
        <v>100270</v>
      </c>
      <c r="E9">
        <v>69</v>
      </c>
      <c r="F9">
        <v>3</v>
      </c>
      <c r="G9">
        <v>29</v>
      </c>
      <c r="H9" t="s">
        <v>13</v>
      </c>
      <c r="I9">
        <v>686.05</v>
      </c>
      <c r="J9" t="str">
        <f t="shared" si="0"/>
        <v>High</v>
      </c>
      <c r="K9" s="4" t="e">
        <f t="shared" si="1"/>
        <v>#N/A</v>
      </c>
      <c r="L9" t="e">
        <f t="shared" si="2"/>
        <v>#N/A</v>
      </c>
      <c r="M9" s="3" t="e">
        <f t="shared" si="3"/>
        <v>#N/A</v>
      </c>
      <c r="N9" t="e">
        <f t="shared" si="4"/>
        <v>#N/A</v>
      </c>
      <c r="O9" s="3">
        <f t="shared" si="5"/>
        <v>100270</v>
      </c>
      <c r="P9">
        <f t="shared" si="6"/>
        <v>69</v>
      </c>
    </row>
    <row r="10" spans="1:16" x14ac:dyDescent="0.25">
      <c r="A10">
        <v>87</v>
      </c>
      <c r="B10">
        <v>59</v>
      </c>
      <c r="C10" t="s">
        <v>12</v>
      </c>
      <c r="D10" s="3">
        <v>47990</v>
      </c>
      <c r="E10">
        <v>3</v>
      </c>
      <c r="F10">
        <v>10</v>
      </c>
      <c r="G10">
        <v>48</v>
      </c>
      <c r="H10" t="s">
        <v>13</v>
      </c>
      <c r="I10">
        <v>755.92</v>
      </c>
      <c r="J10" t="str">
        <f t="shared" si="0"/>
        <v>Low</v>
      </c>
      <c r="K10" s="4">
        <f t="shared" si="1"/>
        <v>47990</v>
      </c>
      <c r="L10">
        <f t="shared" si="2"/>
        <v>3</v>
      </c>
      <c r="M10" s="3" t="e">
        <f t="shared" si="3"/>
        <v>#N/A</v>
      </c>
      <c r="N10" t="e">
        <f t="shared" si="4"/>
        <v>#N/A</v>
      </c>
      <c r="O10" s="3" t="e">
        <f t="shared" si="5"/>
        <v>#N/A</v>
      </c>
      <c r="P10" t="e">
        <f t="shared" si="6"/>
        <v>#N/A</v>
      </c>
    </row>
    <row r="11" spans="1:16" x14ac:dyDescent="0.25">
      <c r="A11">
        <v>108</v>
      </c>
      <c r="B11">
        <v>65</v>
      </c>
      <c r="C11" t="s">
        <v>12</v>
      </c>
      <c r="D11" s="3">
        <v>81753</v>
      </c>
      <c r="E11">
        <v>72</v>
      </c>
      <c r="F11">
        <v>9</v>
      </c>
      <c r="G11">
        <v>21</v>
      </c>
      <c r="H11" t="s">
        <v>13</v>
      </c>
      <c r="I11">
        <v>633.63</v>
      </c>
      <c r="J11" t="str">
        <f t="shared" si="0"/>
        <v>Medium</v>
      </c>
      <c r="K11" s="4" t="e">
        <f t="shared" si="1"/>
        <v>#N/A</v>
      </c>
      <c r="L11" t="e">
        <f t="shared" si="2"/>
        <v>#N/A</v>
      </c>
      <c r="M11" s="3">
        <f t="shared" si="3"/>
        <v>81753</v>
      </c>
      <c r="N11">
        <f t="shared" si="4"/>
        <v>72</v>
      </c>
      <c r="O11" s="3" t="e">
        <f t="shared" si="5"/>
        <v>#N/A</v>
      </c>
      <c r="P11" t="e">
        <f t="shared" si="6"/>
        <v>#N/A</v>
      </c>
    </row>
    <row r="12" spans="1:16" x14ac:dyDescent="0.25">
      <c r="A12">
        <v>116</v>
      </c>
      <c r="B12">
        <v>59</v>
      </c>
      <c r="C12" t="s">
        <v>12</v>
      </c>
      <c r="D12" s="3">
        <v>125014</v>
      </c>
      <c r="E12">
        <v>89</v>
      </c>
      <c r="F12">
        <v>7</v>
      </c>
      <c r="G12">
        <v>42</v>
      </c>
      <c r="H12" t="s">
        <v>13</v>
      </c>
      <c r="I12">
        <v>451.82</v>
      </c>
      <c r="J12" t="str">
        <f t="shared" si="0"/>
        <v>High</v>
      </c>
      <c r="K12" s="4" t="e">
        <f t="shared" si="1"/>
        <v>#N/A</v>
      </c>
      <c r="L12" t="e">
        <f t="shared" si="2"/>
        <v>#N/A</v>
      </c>
      <c r="M12" s="3" t="e">
        <f t="shared" si="3"/>
        <v>#N/A</v>
      </c>
      <c r="N12" t="e">
        <f t="shared" si="4"/>
        <v>#N/A</v>
      </c>
      <c r="O12" s="3">
        <f t="shared" si="5"/>
        <v>125014</v>
      </c>
      <c r="P12">
        <f t="shared" si="6"/>
        <v>89</v>
      </c>
    </row>
    <row r="13" spans="1:16" x14ac:dyDescent="0.25">
      <c r="A13">
        <v>118</v>
      </c>
      <c r="B13">
        <v>62</v>
      </c>
      <c r="C13" t="s">
        <v>12</v>
      </c>
      <c r="D13" s="3">
        <v>48693</v>
      </c>
      <c r="E13">
        <v>36</v>
      </c>
      <c r="F13">
        <v>9</v>
      </c>
      <c r="G13">
        <v>44</v>
      </c>
      <c r="H13" t="s">
        <v>13</v>
      </c>
      <c r="I13">
        <v>755.67</v>
      </c>
      <c r="J13" t="str">
        <f t="shared" si="0"/>
        <v>Low</v>
      </c>
      <c r="K13" s="4">
        <f t="shared" si="1"/>
        <v>48693</v>
      </c>
      <c r="L13">
        <f t="shared" si="2"/>
        <v>36</v>
      </c>
      <c r="M13" s="3" t="e">
        <f t="shared" si="3"/>
        <v>#N/A</v>
      </c>
      <c r="N13" t="e">
        <f t="shared" si="4"/>
        <v>#N/A</v>
      </c>
      <c r="O13" s="3" t="e">
        <f t="shared" si="5"/>
        <v>#N/A</v>
      </c>
      <c r="P13" t="e">
        <f t="shared" si="6"/>
        <v>#N/A</v>
      </c>
    </row>
    <row r="14" spans="1:16" x14ac:dyDescent="0.25">
      <c r="A14">
        <v>124</v>
      </c>
      <c r="B14">
        <v>30</v>
      </c>
      <c r="C14" t="s">
        <v>12</v>
      </c>
      <c r="D14" s="3">
        <v>51454</v>
      </c>
      <c r="E14">
        <v>94</v>
      </c>
      <c r="F14">
        <v>8</v>
      </c>
      <c r="G14">
        <v>17</v>
      </c>
      <c r="H14" t="s">
        <v>13</v>
      </c>
      <c r="I14">
        <v>553.35</v>
      </c>
      <c r="J14" t="str">
        <f t="shared" si="0"/>
        <v>Medium</v>
      </c>
      <c r="K14" s="4" t="e">
        <f t="shared" si="1"/>
        <v>#N/A</v>
      </c>
      <c r="L14" t="e">
        <f t="shared" si="2"/>
        <v>#N/A</v>
      </c>
      <c r="M14" s="3">
        <f t="shared" si="3"/>
        <v>51454</v>
      </c>
      <c r="N14">
        <f t="shared" si="4"/>
        <v>94</v>
      </c>
      <c r="O14" s="3" t="e">
        <f t="shared" si="5"/>
        <v>#N/A</v>
      </c>
      <c r="P14" t="e">
        <f t="shared" si="6"/>
        <v>#N/A</v>
      </c>
    </row>
    <row r="15" spans="1:16" x14ac:dyDescent="0.25">
      <c r="A15">
        <v>142</v>
      </c>
      <c r="B15">
        <v>37</v>
      </c>
      <c r="C15" t="s">
        <v>12</v>
      </c>
      <c r="D15" s="3">
        <v>61695</v>
      </c>
      <c r="E15">
        <v>13</v>
      </c>
      <c r="F15">
        <v>5</v>
      </c>
      <c r="G15">
        <v>45</v>
      </c>
      <c r="H15" t="s">
        <v>13</v>
      </c>
      <c r="I15">
        <v>18.489999999999998</v>
      </c>
      <c r="J15" t="str">
        <f t="shared" si="0"/>
        <v>Medium</v>
      </c>
      <c r="K15" s="4" t="e">
        <f t="shared" si="1"/>
        <v>#N/A</v>
      </c>
      <c r="L15" t="e">
        <f t="shared" si="2"/>
        <v>#N/A</v>
      </c>
      <c r="M15" s="3">
        <f t="shared" si="3"/>
        <v>61695</v>
      </c>
      <c r="N15">
        <f t="shared" si="4"/>
        <v>13</v>
      </c>
      <c r="O15" s="3" t="e">
        <f t="shared" si="5"/>
        <v>#N/A</v>
      </c>
      <c r="P15" t="e">
        <f t="shared" si="6"/>
        <v>#N/A</v>
      </c>
    </row>
    <row r="16" spans="1:16" x14ac:dyDescent="0.25">
      <c r="A16">
        <v>171</v>
      </c>
      <c r="B16">
        <v>21</v>
      </c>
      <c r="C16" t="s">
        <v>12</v>
      </c>
      <c r="D16" s="3">
        <v>140801</v>
      </c>
      <c r="E16">
        <v>13</v>
      </c>
      <c r="F16">
        <v>3</v>
      </c>
      <c r="G16">
        <v>43</v>
      </c>
      <c r="H16" t="s">
        <v>13</v>
      </c>
      <c r="I16">
        <v>82.88</v>
      </c>
      <c r="J16" t="str">
        <f t="shared" si="0"/>
        <v>High</v>
      </c>
      <c r="K16" s="4" t="e">
        <f t="shared" si="1"/>
        <v>#N/A</v>
      </c>
      <c r="L16" t="e">
        <f t="shared" si="2"/>
        <v>#N/A</v>
      </c>
      <c r="M16" s="3" t="e">
        <f t="shared" si="3"/>
        <v>#N/A</v>
      </c>
      <c r="N16" t="e">
        <f t="shared" si="4"/>
        <v>#N/A</v>
      </c>
      <c r="O16" s="3">
        <f t="shared" si="5"/>
        <v>140801</v>
      </c>
      <c r="P16">
        <f t="shared" si="6"/>
        <v>13</v>
      </c>
    </row>
    <row r="17" spans="1:16" x14ac:dyDescent="0.25">
      <c r="A17">
        <v>180</v>
      </c>
      <c r="B17">
        <v>48</v>
      </c>
      <c r="C17" t="s">
        <v>12</v>
      </c>
      <c r="D17" s="3">
        <v>121325</v>
      </c>
      <c r="E17">
        <v>30</v>
      </c>
      <c r="F17">
        <v>3</v>
      </c>
      <c r="G17">
        <v>35</v>
      </c>
      <c r="H17" t="s">
        <v>13</v>
      </c>
      <c r="I17">
        <v>624.36</v>
      </c>
      <c r="J17" t="str">
        <f t="shared" si="0"/>
        <v>High</v>
      </c>
      <c r="K17" s="4" t="e">
        <f t="shared" si="1"/>
        <v>#N/A</v>
      </c>
      <c r="L17" t="e">
        <f t="shared" si="2"/>
        <v>#N/A</v>
      </c>
      <c r="M17" s="3" t="e">
        <f t="shared" si="3"/>
        <v>#N/A</v>
      </c>
      <c r="N17" t="e">
        <f t="shared" si="4"/>
        <v>#N/A</v>
      </c>
      <c r="O17" s="3">
        <f t="shared" si="5"/>
        <v>121325</v>
      </c>
      <c r="P17">
        <f t="shared" si="6"/>
        <v>30</v>
      </c>
    </row>
    <row r="18" spans="1:16" x14ac:dyDescent="0.25">
      <c r="A18">
        <v>196</v>
      </c>
      <c r="B18">
        <v>48</v>
      </c>
      <c r="C18" t="s">
        <v>12</v>
      </c>
      <c r="D18" s="3">
        <v>108550</v>
      </c>
      <c r="E18">
        <v>5</v>
      </c>
      <c r="F18">
        <v>6</v>
      </c>
      <c r="G18">
        <v>35</v>
      </c>
      <c r="H18" t="s">
        <v>13</v>
      </c>
      <c r="I18">
        <v>410.05</v>
      </c>
      <c r="J18" t="str">
        <f t="shared" si="0"/>
        <v>High</v>
      </c>
      <c r="K18" s="4" t="e">
        <f t="shared" si="1"/>
        <v>#N/A</v>
      </c>
      <c r="L18" t="e">
        <f t="shared" si="2"/>
        <v>#N/A</v>
      </c>
      <c r="M18" s="3" t="e">
        <f t="shared" si="3"/>
        <v>#N/A</v>
      </c>
      <c r="N18" t="e">
        <f t="shared" si="4"/>
        <v>#N/A</v>
      </c>
      <c r="O18" s="3">
        <f t="shared" si="5"/>
        <v>108550</v>
      </c>
      <c r="P18">
        <f t="shared" si="6"/>
        <v>5</v>
      </c>
    </row>
    <row r="19" spans="1:16" x14ac:dyDescent="0.25">
      <c r="A19">
        <v>204</v>
      </c>
      <c r="B19">
        <v>49</v>
      </c>
      <c r="C19" t="s">
        <v>12</v>
      </c>
      <c r="D19" s="3">
        <v>100258</v>
      </c>
      <c r="E19">
        <v>53</v>
      </c>
      <c r="F19">
        <v>6</v>
      </c>
      <c r="G19">
        <v>27</v>
      </c>
      <c r="H19" t="s">
        <v>13</v>
      </c>
      <c r="I19">
        <v>436.43</v>
      </c>
      <c r="J19" t="str">
        <f t="shared" si="0"/>
        <v>High</v>
      </c>
      <c r="K19" s="4" t="e">
        <f t="shared" si="1"/>
        <v>#N/A</v>
      </c>
      <c r="L19" t="e">
        <f t="shared" si="2"/>
        <v>#N/A</v>
      </c>
      <c r="M19" s="3" t="e">
        <f t="shared" si="3"/>
        <v>#N/A</v>
      </c>
      <c r="N19" t="e">
        <f t="shared" si="4"/>
        <v>#N/A</v>
      </c>
      <c r="O19" s="3">
        <f t="shared" si="5"/>
        <v>100258</v>
      </c>
      <c r="P19">
        <f t="shared" si="6"/>
        <v>53</v>
      </c>
    </row>
    <row r="20" spans="1:16" x14ac:dyDescent="0.25">
      <c r="A20">
        <v>214</v>
      </c>
      <c r="B20">
        <v>33</v>
      </c>
      <c r="C20" t="s">
        <v>12</v>
      </c>
      <c r="D20" s="3">
        <v>84883</v>
      </c>
      <c r="E20">
        <v>43</v>
      </c>
      <c r="F20">
        <v>2</v>
      </c>
      <c r="G20">
        <v>49</v>
      </c>
      <c r="H20" t="s">
        <v>13</v>
      </c>
      <c r="I20">
        <v>956.03</v>
      </c>
      <c r="J20" t="str">
        <f t="shared" si="0"/>
        <v>Medium</v>
      </c>
      <c r="K20" s="4" t="e">
        <f t="shared" si="1"/>
        <v>#N/A</v>
      </c>
      <c r="L20" t="e">
        <f t="shared" si="2"/>
        <v>#N/A</v>
      </c>
      <c r="M20" s="3">
        <f t="shared" si="3"/>
        <v>84883</v>
      </c>
      <c r="N20">
        <f t="shared" si="4"/>
        <v>43</v>
      </c>
      <c r="O20" s="3" t="e">
        <f t="shared" si="5"/>
        <v>#N/A</v>
      </c>
      <c r="P20" t="e">
        <f t="shared" si="6"/>
        <v>#N/A</v>
      </c>
    </row>
    <row r="21" spans="1:16" x14ac:dyDescent="0.25">
      <c r="A21">
        <v>228</v>
      </c>
      <c r="B21">
        <v>53</v>
      </c>
      <c r="C21" t="s">
        <v>12</v>
      </c>
      <c r="D21" s="3">
        <v>57651</v>
      </c>
      <c r="E21">
        <v>27</v>
      </c>
      <c r="F21">
        <v>7</v>
      </c>
      <c r="G21">
        <v>16</v>
      </c>
      <c r="H21" t="s">
        <v>13</v>
      </c>
      <c r="I21">
        <v>345.62</v>
      </c>
      <c r="J21" t="str">
        <f t="shared" si="0"/>
        <v>Medium</v>
      </c>
      <c r="K21" s="4" t="e">
        <f t="shared" si="1"/>
        <v>#N/A</v>
      </c>
      <c r="L21" t="e">
        <f t="shared" si="2"/>
        <v>#N/A</v>
      </c>
      <c r="M21" s="3">
        <f t="shared" si="3"/>
        <v>57651</v>
      </c>
      <c r="N21">
        <f t="shared" si="4"/>
        <v>27</v>
      </c>
      <c r="O21" s="3" t="e">
        <f t="shared" si="5"/>
        <v>#N/A</v>
      </c>
      <c r="P21" t="e">
        <f t="shared" si="6"/>
        <v>#N/A</v>
      </c>
    </row>
    <row r="22" spans="1:16" x14ac:dyDescent="0.25">
      <c r="A22">
        <v>250</v>
      </c>
      <c r="B22">
        <v>47</v>
      </c>
      <c r="C22" t="s">
        <v>12</v>
      </c>
      <c r="D22" s="3">
        <v>91491</v>
      </c>
      <c r="E22">
        <v>52</v>
      </c>
      <c r="F22">
        <v>5</v>
      </c>
      <c r="G22">
        <v>10</v>
      </c>
      <c r="H22" t="s">
        <v>13</v>
      </c>
      <c r="I22">
        <v>21.43</v>
      </c>
      <c r="J22" t="str">
        <f t="shared" si="0"/>
        <v>Medium</v>
      </c>
      <c r="K22" s="4" t="e">
        <f t="shared" si="1"/>
        <v>#N/A</v>
      </c>
      <c r="L22" t="e">
        <f t="shared" si="2"/>
        <v>#N/A</v>
      </c>
      <c r="M22" s="3">
        <f t="shared" si="3"/>
        <v>91491</v>
      </c>
      <c r="N22">
        <f t="shared" si="4"/>
        <v>52</v>
      </c>
      <c r="O22" s="3" t="e">
        <f t="shared" si="5"/>
        <v>#N/A</v>
      </c>
      <c r="P22" t="e">
        <f t="shared" si="6"/>
        <v>#N/A</v>
      </c>
    </row>
    <row r="23" spans="1:16" x14ac:dyDescent="0.25">
      <c r="A23">
        <v>288</v>
      </c>
      <c r="B23">
        <v>56</v>
      </c>
      <c r="C23" t="s">
        <v>12</v>
      </c>
      <c r="D23" s="3">
        <v>117922</v>
      </c>
      <c r="E23">
        <v>69</v>
      </c>
      <c r="F23">
        <v>2</v>
      </c>
      <c r="G23">
        <v>41</v>
      </c>
      <c r="H23" t="s">
        <v>13</v>
      </c>
      <c r="I23">
        <v>98.83</v>
      </c>
      <c r="J23" t="str">
        <f t="shared" si="0"/>
        <v>High</v>
      </c>
      <c r="K23" s="4" t="e">
        <f t="shared" si="1"/>
        <v>#N/A</v>
      </c>
      <c r="L23" t="e">
        <f t="shared" si="2"/>
        <v>#N/A</v>
      </c>
      <c r="M23" s="3" t="e">
        <f t="shared" si="3"/>
        <v>#N/A</v>
      </c>
      <c r="N23" t="e">
        <f t="shared" si="4"/>
        <v>#N/A</v>
      </c>
      <c r="O23" s="3">
        <f t="shared" si="5"/>
        <v>117922</v>
      </c>
      <c r="P23">
        <f t="shared" si="6"/>
        <v>69</v>
      </c>
    </row>
    <row r="24" spans="1:16" x14ac:dyDescent="0.25">
      <c r="A24">
        <v>324</v>
      </c>
      <c r="B24">
        <v>30</v>
      </c>
      <c r="C24" t="s">
        <v>12</v>
      </c>
      <c r="D24" s="3">
        <v>119162</v>
      </c>
      <c r="E24">
        <v>15</v>
      </c>
      <c r="F24">
        <v>9</v>
      </c>
      <c r="G24">
        <v>38</v>
      </c>
      <c r="H24" t="s">
        <v>13</v>
      </c>
      <c r="I24">
        <v>937.85</v>
      </c>
      <c r="J24" t="str">
        <f t="shared" si="0"/>
        <v>High</v>
      </c>
      <c r="K24" s="4" t="e">
        <f t="shared" si="1"/>
        <v>#N/A</v>
      </c>
      <c r="L24" t="e">
        <f t="shared" si="2"/>
        <v>#N/A</v>
      </c>
      <c r="M24" s="3" t="e">
        <f t="shared" si="3"/>
        <v>#N/A</v>
      </c>
      <c r="N24" t="e">
        <f t="shared" si="4"/>
        <v>#N/A</v>
      </c>
      <c r="O24" s="3">
        <f t="shared" si="5"/>
        <v>119162</v>
      </c>
      <c r="P24">
        <f t="shared" si="6"/>
        <v>15</v>
      </c>
    </row>
    <row r="25" spans="1:16" x14ac:dyDescent="0.25">
      <c r="A25">
        <v>343</v>
      </c>
      <c r="B25">
        <v>32</v>
      </c>
      <c r="C25" t="s">
        <v>12</v>
      </c>
      <c r="D25" s="3">
        <v>48445</v>
      </c>
      <c r="E25">
        <v>91</v>
      </c>
      <c r="F25">
        <v>8</v>
      </c>
      <c r="G25">
        <v>27</v>
      </c>
      <c r="H25" t="s">
        <v>13</v>
      </c>
      <c r="I25">
        <v>265.17</v>
      </c>
      <c r="J25" t="str">
        <f t="shared" si="0"/>
        <v>Low</v>
      </c>
      <c r="K25" s="4">
        <f t="shared" si="1"/>
        <v>48445</v>
      </c>
      <c r="L25">
        <f t="shared" si="2"/>
        <v>91</v>
      </c>
      <c r="M25" s="3" t="e">
        <f t="shared" si="3"/>
        <v>#N/A</v>
      </c>
      <c r="N25" t="e">
        <f t="shared" si="4"/>
        <v>#N/A</v>
      </c>
      <c r="O25" s="3" t="e">
        <f t="shared" si="5"/>
        <v>#N/A</v>
      </c>
      <c r="P25" t="e">
        <f t="shared" si="6"/>
        <v>#N/A</v>
      </c>
    </row>
    <row r="26" spans="1:16" x14ac:dyDescent="0.25">
      <c r="A26">
        <v>344</v>
      </c>
      <c r="B26">
        <v>41</v>
      </c>
      <c r="C26" t="s">
        <v>12</v>
      </c>
      <c r="D26" s="3">
        <v>136928</v>
      </c>
      <c r="E26">
        <v>42</v>
      </c>
      <c r="F26">
        <v>5</v>
      </c>
      <c r="G26">
        <v>33</v>
      </c>
      <c r="H26" t="s">
        <v>13</v>
      </c>
      <c r="I26">
        <v>239.72</v>
      </c>
      <c r="J26" t="str">
        <f t="shared" si="0"/>
        <v>High</v>
      </c>
      <c r="K26" s="4" t="e">
        <f t="shared" si="1"/>
        <v>#N/A</v>
      </c>
      <c r="L26" t="e">
        <f t="shared" si="2"/>
        <v>#N/A</v>
      </c>
      <c r="M26" s="3" t="e">
        <f t="shared" si="3"/>
        <v>#N/A</v>
      </c>
      <c r="N26" t="e">
        <f t="shared" si="4"/>
        <v>#N/A</v>
      </c>
      <c r="O26" s="3">
        <f t="shared" si="5"/>
        <v>136928</v>
      </c>
      <c r="P26">
        <f t="shared" si="6"/>
        <v>42</v>
      </c>
    </row>
    <row r="27" spans="1:16" x14ac:dyDescent="0.25">
      <c r="A27">
        <v>362</v>
      </c>
      <c r="B27">
        <v>21</v>
      </c>
      <c r="C27" t="s">
        <v>12</v>
      </c>
      <c r="D27" s="3">
        <v>107934</v>
      </c>
      <c r="E27">
        <v>32</v>
      </c>
      <c r="F27">
        <v>5</v>
      </c>
      <c r="G27">
        <v>38</v>
      </c>
      <c r="H27" t="s">
        <v>13</v>
      </c>
      <c r="I27">
        <v>533.17999999999995</v>
      </c>
      <c r="J27" t="str">
        <f t="shared" si="0"/>
        <v>High</v>
      </c>
      <c r="K27" s="4" t="e">
        <f t="shared" si="1"/>
        <v>#N/A</v>
      </c>
      <c r="L27" t="e">
        <f t="shared" si="2"/>
        <v>#N/A</v>
      </c>
      <c r="M27" s="3" t="e">
        <f t="shared" si="3"/>
        <v>#N/A</v>
      </c>
      <c r="N27" t="e">
        <f t="shared" si="4"/>
        <v>#N/A</v>
      </c>
      <c r="O27" s="3">
        <f t="shared" si="5"/>
        <v>107934</v>
      </c>
      <c r="P27">
        <f t="shared" si="6"/>
        <v>32</v>
      </c>
    </row>
    <row r="28" spans="1:16" x14ac:dyDescent="0.25">
      <c r="A28">
        <v>377</v>
      </c>
      <c r="B28">
        <v>46</v>
      </c>
      <c r="C28" t="s">
        <v>12</v>
      </c>
      <c r="D28" s="3">
        <v>123037</v>
      </c>
      <c r="E28">
        <v>100</v>
      </c>
      <c r="F28">
        <v>1</v>
      </c>
      <c r="G28">
        <v>9</v>
      </c>
      <c r="H28" t="s">
        <v>13</v>
      </c>
      <c r="I28">
        <v>617.74</v>
      </c>
      <c r="J28" t="str">
        <f t="shared" si="0"/>
        <v>High</v>
      </c>
      <c r="K28" s="4" t="e">
        <f t="shared" si="1"/>
        <v>#N/A</v>
      </c>
      <c r="L28" t="e">
        <f t="shared" si="2"/>
        <v>#N/A</v>
      </c>
      <c r="M28" s="3" t="e">
        <f t="shared" si="3"/>
        <v>#N/A</v>
      </c>
      <c r="N28" t="e">
        <f t="shared" si="4"/>
        <v>#N/A</v>
      </c>
      <c r="O28" s="3">
        <f t="shared" si="5"/>
        <v>123037</v>
      </c>
      <c r="P28">
        <f t="shared" si="6"/>
        <v>100</v>
      </c>
    </row>
    <row r="29" spans="1:16" x14ac:dyDescent="0.25">
      <c r="A29">
        <v>384</v>
      </c>
      <c r="B29">
        <v>46</v>
      </c>
      <c r="C29" t="s">
        <v>12</v>
      </c>
      <c r="D29" s="3">
        <v>120914</v>
      </c>
      <c r="E29">
        <v>1</v>
      </c>
      <c r="F29">
        <v>1</v>
      </c>
      <c r="G29">
        <v>41</v>
      </c>
      <c r="H29" t="s">
        <v>13</v>
      </c>
      <c r="I29">
        <v>329.9</v>
      </c>
      <c r="J29" t="str">
        <f t="shared" si="0"/>
        <v>High</v>
      </c>
      <c r="K29" s="4" t="e">
        <f t="shared" si="1"/>
        <v>#N/A</v>
      </c>
      <c r="L29" t="e">
        <f t="shared" si="2"/>
        <v>#N/A</v>
      </c>
      <c r="M29" s="3" t="e">
        <f t="shared" si="3"/>
        <v>#N/A</v>
      </c>
      <c r="N29" t="e">
        <f t="shared" si="4"/>
        <v>#N/A</v>
      </c>
      <c r="O29" s="3">
        <f t="shared" si="5"/>
        <v>120914</v>
      </c>
      <c r="P29">
        <f t="shared" si="6"/>
        <v>1</v>
      </c>
    </row>
    <row r="30" spans="1:16" x14ac:dyDescent="0.25">
      <c r="A30">
        <v>392</v>
      </c>
      <c r="B30">
        <v>28</v>
      </c>
      <c r="C30" t="s">
        <v>12</v>
      </c>
      <c r="D30" s="3">
        <v>59278</v>
      </c>
      <c r="E30">
        <v>60</v>
      </c>
      <c r="F30">
        <v>2</v>
      </c>
      <c r="G30">
        <v>8</v>
      </c>
      <c r="H30" t="s">
        <v>13</v>
      </c>
      <c r="I30">
        <v>362.41</v>
      </c>
      <c r="J30" t="str">
        <f t="shared" si="0"/>
        <v>Medium</v>
      </c>
      <c r="K30" s="4" t="e">
        <f t="shared" si="1"/>
        <v>#N/A</v>
      </c>
      <c r="L30" t="e">
        <f t="shared" si="2"/>
        <v>#N/A</v>
      </c>
      <c r="M30" s="3">
        <f t="shared" si="3"/>
        <v>59278</v>
      </c>
      <c r="N30">
        <f t="shared" si="4"/>
        <v>60</v>
      </c>
      <c r="O30" s="3" t="e">
        <f t="shared" si="5"/>
        <v>#N/A</v>
      </c>
      <c r="P30" t="e">
        <f t="shared" si="6"/>
        <v>#N/A</v>
      </c>
    </row>
    <row r="31" spans="1:16" x14ac:dyDescent="0.25">
      <c r="A31">
        <v>405</v>
      </c>
      <c r="B31">
        <v>21</v>
      </c>
      <c r="C31" t="s">
        <v>12</v>
      </c>
      <c r="D31" s="3">
        <v>42889</v>
      </c>
      <c r="E31">
        <v>12</v>
      </c>
      <c r="F31">
        <v>2</v>
      </c>
      <c r="G31">
        <v>20</v>
      </c>
      <c r="H31" t="s">
        <v>13</v>
      </c>
      <c r="I31">
        <v>789.92</v>
      </c>
      <c r="J31" t="str">
        <f t="shared" si="0"/>
        <v>Low</v>
      </c>
      <c r="K31" s="4">
        <f t="shared" si="1"/>
        <v>42889</v>
      </c>
      <c r="L31">
        <f t="shared" si="2"/>
        <v>12</v>
      </c>
      <c r="M31" s="3" t="e">
        <f t="shared" si="3"/>
        <v>#N/A</v>
      </c>
      <c r="N31" t="e">
        <f t="shared" si="4"/>
        <v>#N/A</v>
      </c>
      <c r="O31" s="3" t="e">
        <f t="shared" si="5"/>
        <v>#N/A</v>
      </c>
      <c r="P31" t="e">
        <f t="shared" si="6"/>
        <v>#N/A</v>
      </c>
    </row>
    <row r="32" spans="1:16" x14ac:dyDescent="0.25">
      <c r="A32">
        <v>420</v>
      </c>
      <c r="B32">
        <v>46</v>
      </c>
      <c r="C32" t="s">
        <v>12</v>
      </c>
      <c r="D32" s="3">
        <v>60671</v>
      </c>
      <c r="E32">
        <v>57</v>
      </c>
      <c r="F32">
        <v>5</v>
      </c>
      <c r="G32">
        <v>48</v>
      </c>
      <c r="H32" t="s">
        <v>13</v>
      </c>
      <c r="I32">
        <v>817.69</v>
      </c>
      <c r="J32" t="str">
        <f t="shared" si="0"/>
        <v>Medium</v>
      </c>
      <c r="K32" s="4" t="e">
        <f t="shared" si="1"/>
        <v>#N/A</v>
      </c>
      <c r="L32" t="e">
        <f t="shared" si="2"/>
        <v>#N/A</v>
      </c>
      <c r="M32" s="3">
        <f t="shared" si="3"/>
        <v>60671</v>
      </c>
      <c r="N32">
        <f t="shared" si="4"/>
        <v>57</v>
      </c>
      <c r="O32" s="3" t="e">
        <f t="shared" si="5"/>
        <v>#N/A</v>
      </c>
      <c r="P32" t="e">
        <f t="shared" si="6"/>
        <v>#N/A</v>
      </c>
    </row>
    <row r="33" spans="1:16" x14ac:dyDescent="0.25">
      <c r="A33">
        <v>449</v>
      </c>
      <c r="B33">
        <v>50</v>
      </c>
      <c r="C33" t="s">
        <v>12</v>
      </c>
      <c r="D33" s="3">
        <v>46524</v>
      </c>
      <c r="E33">
        <v>1</v>
      </c>
      <c r="F33">
        <v>4</v>
      </c>
      <c r="G33">
        <v>7</v>
      </c>
      <c r="H33" t="s">
        <v>13</v>
      </c>
      <c r="I33">
        <v>371.62</v>
      </c>
      <c r="J33" t="str">
        <f t="shared" si="0"/>
        <v>Low</v>
      </c>
      <c r="K33" s="4">
        <f t="shared" si="1"/>
        <v>46524</v>
      </c>
      <c r="L33">
        <f t="shared" si="2"/>
        <v>1</v>
      </c>
      <c r="M33" s="3" t="e">
        <f t="shared" si="3"/>
        <v>#N/A</v>
      </c>
      <c r="N33" t="e">
        <f t="shared" si="4"/>
        <v>#N/A</v>
      </c>
      <c r="O33" s="3" t="e">
        <f t="shared" si="5"/>
        <v>#N/A</v>
      </c>
      <c r="P33" t="e">
        <f t="shared" si="6"/>
        <v>#N/A</v>
      </c>
    </row>
    <row r="34" spans="1:16" x14ac:dyDescent="0.25">
      <c r="A34">
        <v>454</v>
      </c>
      <c r="B34">
        <v>27</v>
      </c>
      <c r="C34" t="s">
        <v>12</v>
      </c>
      <c r="D34" s="3">
        <v>143992</v>
      </c>
      <c r="E34">
        <v>31</v>
      </c>
      <c r="F34">
        <v>2</v>
      </c>
      <c r="G34">
        <v>32</v>
      </c>
      <c r="H34" t="s">
        <v>13</v>
      </c>
      <c r="I34">
        <v>994.1</v>
      </c>
      <c r="J34" t="str">
        <f t="shared" si="0"/>
        <v>High</v>
      </c>
      <c r="K34" s="4" t="e">
        <f t="shared" si="1"/>
        <v>#N/A</v>
      </c>
      <c r="L34" t="e">
        <f t="shared" si="2"/>
        <v>#N/A</v>
      </c>
      <c r="M34" s="3" t="e">
        <f t="shared" si="3"/>
        <v>#N/A</v>
      </c>
      <c r="N34" t="e">
        <f t="shared" si="4"/>
        <v>#N/A</v>
      </c>
      <c r="O34" s="3">
        <f t="shared" si="5"/>
        <v>143992</v>
      </c>
      <c r="P34">
        <f t="shared" si="6"/>
        <v>31</v>
      </c>
    </row>
    <row r="35" spans="1:16" x14ac:dyDescent="0.25">
      <c r="A35">
        <v>461</v>
      </c>
      <c r="B35">
        <v>41</v>
      </c>
      <c r="C35" t="s">
        <v>12</v>
      </c>
      <c r="D35" s="3">
        <v>141605</v>
      </c>
      <c r="E35">
        <v>100</v>
      </c>
      <c r="F35">
        <v>4</v>
      </c>
      <c r="G35">
        <v>20</v>
      </c>
      <c r="H35" t="s">
        <v>13</v>
      </c>
      <c r="I35">
        <v>693.02</v>
      </c>
      <c r="J35" t="str">
        <f t="shared" si="0"/>
        <v>High</v>
      </c>
      <c r="K35" s="4" t="e">
        <f t="shared" si="1"/>
        <v>#N/A</v>
      </c>
      <c r="L35" t="e">
        <f t="shared" si="2"/>
        <v>#N/A</v>
      </c>
      <c r="M35" s="3" t="e">
        <f t="shared" si="3"/>
        <v>#N/A</v>
      </c>
      <c r="N35" t="e">
        <f t="shared" si="4"/>
        <v>#N/A</v>
      </c>
      <c r="O35" s="3">
        <f t="shared" si="5"/>
        <v>141605</v>
      </c>
      <c r="P35">
        <f t="shared" si="6"/>
        <v>100</v>
      </c>
    </row>
    <row r="36" spans="1:16" x14ac:dyDescent="0.25">
      <c r="A36">
        <v>485</v>
      </c>
      <c r="B36">
        <v>65</v>
      </c>
      <c r="C36" t="s">
        <v>12</v>
      </c>
      <c r="D36" s="3">
        <v>39113</v>
      </c>
      <c r="E36">
        <v>85</v>
      </c>
      <c r="F36">
        <v>9</v>
      </c>
      <c r="G36">
        <v>42</v>
      </c>
      <c r="H36" t="s">
        <v>13</v>
      </c>
      <c r="I36">
        <v>964.87</v>
      </c>
      <c r="J36" t="str">
        <f t="shared" si="0"/>
        <v>Low</v>
      </c>
      <c r="K36" s="4">
        <f t="shared" si="1"/>
        <v>39113</v>
      </c>
      <c r="L36">
        <f t="shared" si="2"/>
        <v>85</v>
      </c>
      <c r="M36" s="3" t="e">
        <f t="shared" si="3"/>
        <v>#N/A</v>
      </c>
      <c r="N36" t="e">
        <f t="shared" si="4"/>
        <v>#N/A</v>
      </c>
      <c r="O36" s="3" t="e">
        <f t="shared" si="5"/>
        <v>#N/A</v>
      </c>
      <c r="P36" t="e">
        <f t="shared" si="6"/>
        <v>#N/A</v>
      </c>
    </row>
    <row r="37" spans="1:16" x14ac:dyDescent="0.25">
      <c r="A37">
        <v>532</v>
      </c>
      <c r="B37">
        <v>19</v>
      </c>
      <c r="C37" t="s">
        <v>12</v>
      </c>
      <c r="D37" s="3">
        <v>146165</v>
      </c>
      <c r="E37">
        <v>38</v>
      </c>
      <c r="F37">
        <v>9</v>
      </c>
      <c r="G37">
        <v>45</v>
      </c>
      <c r="H37" t="s">
        <v>13</v>
      </c>
      <c r="I37">
        <v>819.92</v>
      </c>
      <c r="J37" t="str">
        <f t="shared" si="0"/>
        <v>High</v>
      </c>
      <c r="K37" s="4" t="e">
        <f t="shared" si="1"/>
        <v>#N/A</v>
      </c>
      <c r="L37" t="e">
        <f t="shared" si="2"/>
        <v>#N/A</v>
      </c>
      <c r="M37" s="3" t="e">
        <f t="shared" si="3"/>
        <v>#N/A</v>
      </c>
      <c r="N37" t="e">
        <f t="shared" si="4"/>
        <v>#N/A</v>
      </c>
      <c r="O37" s="3">
        <f t="shared" si="5"/>
        <v>146165</v>
      </c>
      <c r="P37">
        <f t="shared" si="6"/>
        <v>38</v>
      </c>
    </row>
    <row r="38" spans="1:16" x14ac:dyDescent="0.25">
      <c r="A38">
        <v>557</v>
      </c>
      <c r="B38">
        <v>45</v>
      </c>
      <c r="C38" t="s">
        <v>12</v>
      </c>
      <c r="D38" s="3">
        <v>95367</v>
      </c>
      <c r="E38">
        <v>83</v>
      </c>
      <c r="F38">
        <v>5</v>
      </c>
      <c r="G38">
        <v>30</v>
      </c>
      <c r="H38" t="s">
        <v>13</v>
      </c>
      <c r="I38">
        <v>845.33</v>
      </c>
      <c r="J38" t="str">
        <f t="shared" si="0"/>
        <v>Medium</v>
      </c>
      <c r="K38" s="4" t="e">
        <f t="shared" si="1"/>
        <v>#N/A</v>
      </c>
      <c r="L38" t="e">
        <f t="shared" si="2"/>
        <v>#N/A</v>
      </c>
      <c r="M38" s="3">
        <f t="shared" si="3"/>
        <v>95367</v>
      </c>
      <c r="N38">
        <f t="shared" si="4"/>
        <v>83</v>
      </c>
      <c r="O38" s="3" t="e">
        <f t="shared" si="5"/>
        <v>#N/A</v>
      </c>
      <c r="P38" t="e">
        <f t="shared" si="6"/>
        <v>#N/A</v>
      </c>
    </row>
    <row r="39" spans="1:16" x14ac:dyDescent="0.25">
      <c r="A39">
        <v>559</v>
      </c>
      <c r="B39">
        <v>33</v>
      </c>
      <c r="C39" t="s">
        <v>12</v>
      </c>
      <c r="D39" s="3">
        <v>121639</v>
      </c>
      <c r="E39">
        <v>17</v>
      </c>
      <c r="F39">
        <v>7</v>
      </c>
      <c r="G39">
        <v>28</v>
      </c>
      <c r="H39" t="s">
        <v>13</v>
      </c>
      <c r="I39">
        <v>422.14</v>
      </c>
      <c r="J39" t="str">
        <f t="shared" si="0"/>
        <v>High</v>
      </c>
      <c r="K39" s="4" t="e">
        <f t="shared" si="1"/>
        <v>#N/A</v>
      </c>
      <c r="L39" t="e">
        <f t="shared" si="2"/>
        <v>#N/A</v>
      </c>
      <c r="M39" s="3" t="e">
        <f t="shared" si="3"/>
        <v>#N/A</v>
      </c>
      <c r="N39" t="e">
        <f t="shared" si="4"/>
        <v>#N/A</v>
      </c>
      <c r="O39" s="3">
        <f t="shared" si="5"/>
        <v>121639</v>
      </c>
      <c r="P39">
        <f t="shared" si="6"/>
        <v>17</v>
      </c>
    </row>
    <row r="40" spans="1:16" x14ac:dyDescent="0.25">
      <c r="A40">
        <v>560</v>
      </c>
      <c r="B40">
        <v>63</v>
      </c>
      <c r="C40" t="s">
        <v>12</v>
      </c>
      <c r="D40" s="3">
        <v>82296</v>
      </c>
      <c r="E40">
        <v>61</v>
      </c>
      <c r="F40">
        <v>4</v>
      </c>
      <c r="G40">
        <v>43</v>
      </c>
      <c r="H40" t="s">
        <v>13</v>
      </c>
      <c r="I40">
        <v>390.89</v>
      </c>
      <c r="J40" t="str">
        <f t="shared" si="0"/>
        <v>Medium</v>
      </c>
      <c r="K40" s="4" t="e">
        <f t="shared" si="1"/>
        <v>#N/A</v>
      </c>
      <c r="L40" t="e">
        <f t="shared" si="2"/>
        <v>#N/A</v>
      </c>
      <c r="M40" s="3">
        <f t="shared" si="3"/>
        <v>82296</v>
      </c>
      <c r="N40">
        <f t="shared" si="4"/>
        <v>61</v>
      </c>
      <c r="O40" s="3" t="e">
        <f t="shared" si="5"/>
        <v>#N/A</v>
      </c>
      <c r="P40" t="e">
        <f t="shared" si="6"/>
        <v>#N/A</v>
      </c>
    </row>
    <row r="41" spans="1:16" x14ac:dyDescent="0.25">
      <c r="A41">
        <v>583</v>
      </c>
      <c r="B41">
        <v>33</v>
      </c>
      <c r="C41" t="s">
        <v>12</v>
      </c>
      <c r="D41" s="3">
        <v>38240</v>
      </c>
      <c r="E41">
        <v>92</v>
      </c>
      <c r="F41">
        <v>3</v>
      </c>
      <c r="G41">
        <v>37</v>
      </c>
      <c r="H41" t="s">
        <v>13</v>
      </c>
      <c r="I41">
        <v>626.82000000000005</v>
      </c>
      <c r="J41" t="str">
        <f t="shared" si="0"/>
        <v>Low</v>
      </c>
      <c r="K41" s="4">
        <f t="shared" si="1"/>
        <v>38240</v>
      </c>
      <c r="L41">
        <f t="shared" si="2"/>
        <v>92</v>
      </c>
      <c r="M41" s="3" t="e">
        <f t="shared" si="3"/>
        <v>#N/A</v>
      </c>
      <c r="N41" t="e">
        <f t="shared" si="4"/>
        <v>#N/A</v>
      </c>
      <c r="O41" s="3" t="e">
        <f t="shared" si="5"/>
        <v>#N/A</v>
      </c>
      <c r="P41" t="e">
        <f t="shared" si="6"/>
        <v>#N/A</v>
      </c>
    </row>
    <row r="42" spans="1:16" x14ac:dyDescent="0.25">
      <c r="A42">
        <v>596</v>
      </c>
      <c r="B42">
        <v>46</v>
      </c>
      <c r="C42" t="s">
        <v>12</v>
      </c>
      <c r="D42" s="3">
        <v>73370</v>
      </c>
      <c r="E42">
        <v>2</v>
      </c>
      <c r="F42">
        <v>4</v>
      </c>
      <c r="G42">
        <v>29</v>
      </c>
      <c r="H42" t="s">
        <v>13</v>
      </c>
      <c r="I42">
        <v>486.5</v>
      </c>
      <c r="J42" t="str">
        <f t="shared" si="0"/>
        <v>Medium</v>
      </c>
      <c r="K42" s="4" t="e">
        <f t="shared" si="1"/>
        <v>#N/A</v>
      </c>
      <c r="L42" t="e">
        <f t="shared" si="2"/>
        <v>#N/A</v>
      </c>
      <c r="M42" s="3">
        <f t="shared" si="3"/>
        <v>73370</v>
      </c>
      <c r="N42">
        <f t="shared" si="4"/>
        <v>2</v>
      </c>
      <c r="O42" s="3" t="e">
        <f t="shared" si="5"/>
        <v>#N/A</v>
      </c>
      <c r="P42" t="e">
        <f t="shared" si="6"/>
        <v>#N/A</v>
      </c>
    </row>
    <row r="43" spans="1:16" x14ac:dyDescent="0.25">
      <c r="A43">
        <v>597</v>
      </c>
      <c r="B43">
        <v>50</v>
      </c>
      <c r="C43" t="s">
        <v>12</v>
      </c>
      <c r="D43" s="3">
        <v>132598</v>
      </c>
      <c r="E43">
        <v>57</v>
      </c>
      <c r="F43">
        <v>7</v>
      </c>
      <c r="G43">
        <v>21</v>
      </c>
      <c r="H43" t="s">
        <v>13</v>
      </c>
      <c r="I43">
        <v>930.91</v>
      </c>
      <c r="J43" t="str">
        <f t="shared" si="0"/>
        <v>High</v>
      </c>
      <c r="K43" s="4" t="e">
        <f t="shared" si="1"/>
        <v>#N/A</v>
      </c>
      <c r="L43" t="e">
        <f t="shared" si="2"/>
        <v>#N/A</v>
      </c>
      <c r="M43" s="3" t="e">
        <f t="shared" si="3"/>
        <v>#N/A</v>
      </c>
      <c r="N43" t="e">
        <f t="shared" si="4"/>
        <v>#N/A</v>
      </c>
      <c r="O43" s="3">
        <f t="shared" si="5"/>
        <v>132598</v>
      </c>
      <c r="P43">
        <f t="shared" si="6"/>
        <v>57</v>
      </c>
    </row>
    <row r="44" spans="1:16" x14ac:dyDescent="0.25">
      <c r="A44">
        <v>604</v>
      </c>
      <c r="B44">
        <v>47</v>
      </c>
      <c r="C44" t="s">
        <v>12</v>
      </c>
      <c r="D44" s="3">
        <v>64592</v>
      </c>
      <c r="E44">
        <v>25</v>
      </c>
      <c r="F44">
        <v>4</v>
      </c>
      <c r="G44">
        <v>12</v>
      </c>
      <c r="H44" t="s">
        <v>13</v>
      </c>
      <c r="I44">
        <v>237.34</v>
      </c>
      <c r="J44" t="str">
        <f t="shared" si="0"/>
        <v>Medium</v>
      </c>
      <c r="K44" s="4" t="e">
        <f t="shared" si="1"/>
        <v>#N/A</v>
      </c>
      <c r="L44" t="e">
        <f t="shared" si="2"/>
        <v>#N/A</v>
      </c>
      <c r="M44" s="3">
        <f t="shared" si="3"/>
        <v>64592</v>
      </c>
      <c r="N44">
        <f t="shared" si="4"/>
        <v>25</v>
      </c>
      <c r="O44" s="3" t="e">
        <f t="shared" si="5"/>
        <v>#N/A</v>
      </c>
      <c r="P44" t="e">
        <f t="shared" si="6"/>
        <v>#N/A</v>
      </c>
    </row>
    <row r="45" spans="1:16" x14ac:dyDescent="0.25">
      <c r="A45">
        <v>606</v>
      </c>
      <c r="B45">
        <v>39</v>
      </c>
      <c r="C45" t="s">
        <v>12</v>
      </c>
      <c r="D45" s="3">
        <v>48641</v>
      </c>
      <c r="E45">
        <v>45</v>
      </c>
      <c r="F45">
        <v>3</v>
      </c>
      <c r="G45">
        <v>46</v>
      </c>
      <c r="H45" t="s">
        <v>13</v>
      </c>
      <c r="I45">
        <v>415.19</v>
      </c>
      <c r="J45" t="str">
        <f t="shared" si="0"/>
        <v>Low</v>
      </c>
      <c r="K45" s="4">
        <f t="shared" si="1"/>
        <v>48641</v>
      </c>
      <c r="L45">
        <f t="shared" si="2"/>
        <v>45</v>
      </c>
      <c r="M45" s="3" t="e">
        <f t="shared" si="3"/>
        <v>#N/A</v>
      </c>
      <c r="N45" t="e">
        <f t="shared" si="4"/>
        <v>#N/A</v>
      </c>
      <c r="O45" s="3" t="e">
        <f t="shared" si="5"/>
        <v>#N/A</v>
      </c>
      <c r="P45" t="e">
        <f t="shared" si="6"/>
        <v>#N/A</v>
      </c>
    </row>
    <row r="46" spans="1:16" x14ac:dyDescent="0.25">
      <c r="A46">
        <v>607</v>
      </c>
      <c r="B46">
        <v>30</v>
      </c>
      <c r="C46" t="s">
        <v>12</v>
      </c>
      <c r="D46" s="3">
        <v>102200</v>
      </c>
      <c r="E46">
        <v>88</v>
      </c>
      <c r="F46">
        <v>5</v>
      </c>
      <c r="G46">
        <v>47</v>
      </c>
      <c r="H46" t="s">
        <v>13</v>
      </c>
      <c r="I46">
        <v>131.84</v>
      </c>
      <c r="J46" t="str">
        <f t="shared" si="0"/>
        <v>High</v>
      </c>
      <c r="K46" s="4" t="e">
        <f t="shared" si="1"/>
        <v>#N/A</v>
      </c>
      <c r="L46" t="e">
        <f t="shared" si="2"/>
        <v>#N/A</v>
      </c>
      <c r="M46" s="3" t="e">
        <f t="shared" si="3"/>
        <v>#N/A</v>
      </c>
      <c r="N46" t="e">
        <f t="shared" si="4"/>
        <v>#N/A</v>
      </c>
      <c r="O46" s="3">
        <f t="shared" si="5"/>
        <v>102200</v>
      </c>
      <c r="P46">
        <f t="shared" si="6"/>
        <v>88</v>
      </c>
    </row>
    <row r="47" spans="1:16" x14ac:dyDescent="0.25">
      <c r="A47">
        <v>625</v>
      </c>
      <c r="B47">
        <v>41</v>
      </c>
      <c r="C47" t="s">
        <v>12</v>
      </c>
      <c r="D47" s="3">
        <v>36763</v>
      </c>
      <c r="E47">
        <v>50</v>
      </c>
      <c r="F47">
        <v>5</v>
      </c>
      <c r="G47">
        <v>36</v>
      </c>
      <c r="H47" t="s">
        <v>13</v>
      </c>
      <c r="I47">
        <v>490.62</v>
      </c>
      <c r="J47" t="str">
        <f t="shared" si="0"/>
        <v>Low</v>
      </c>
      <c r="K47" s="4">
        <f t="shared" si="1"/>
        <v>36763</v>
      </c>
      <c r="L47">
        <f t="shared" si="2"/>
        <v>50</v>
      </c>
      <c r="M47" s="3" t="e">
        <f t="shared" si="3"/>
        <v>#N/A</v>
      </c>
      <c r="N47" t="e">
        <f t="shared" si="4"/>
        <v>#N/A</v>
      </c>
      <c r="O47" s="3" t="e">
        <f t="shared" si="5"/>
        <v>#N/A</v>
      </c>
      <c r="P47" t="e">
        <f t="shared" si="6"/>
        <v>#N/A</v>
      </c>
    </row>
    <row r="48" spans="1:16" x14ac:dyDescent="0.25">
      <c r="A48">
        <v>640</v>
      </c>
      <c r="B48">
        <v>57</v>
      </c>
      <c r="C48" t="s">
        <v>12</v>
      </c>
      <c r="D48" s="3">
        <v>97035</v>
      </c>
      <c r="E48">
        <v>28</v>
      </c>
      <c r="F48">
        <v>6</v>
      </c>
      <c r="G48">
        <v>42</v>
      </c>
      <c r="H48" t="s">
        <v>13</v>
      </c>
      <c r="I48">
        <v>741.41</v>
      </c>
      <c r="J48" t="str">
        <f t="shared" si="0"/>
        <v>Medium</v>
      </c>
      <c r="K48" s="4" t="e">
        <f t="shared" si="1"/>
        <v>#N/A</v>
      </c>
      <c r="L48" t="e">
        <f t="shared" si="2"/>
        <v>#N/A</v>
      </c>
      <c r="M48" s="3">
        <f t="shared" si="3"/>
        <v>97035</v>
      </c>
      <c r="N48">
        <f t="shared" si="4"/>
        <v>28</v>
      </c>
      <c r="O48" s="3" t="e">
        <f t="shared" si="5"/>
        <v>#N/A</v>
      </c>
      <c r="P48" t="e">
        <f t="shared" si="6"/>
        <v>#N/A</v>
      </c>
    </row>
    <row r="49" spans="1:16" x14ac:dyDescent="0.25">
      <c r="A49">
        <v>653</v>
      </c>
      <c r="B49">
        <v>41</v>
      </c>
      <c r="C49" t="s">
        <v>12</v>
      </c>
      <c r="D49" s="3">
        <v>140959</v>
      </c>
      <c r="E49">
        <v>35</v>
      </c>
      <c r="F49">
        <v>7</v>
      </c>
      <c r="G49">
        <v>14</v>
      </c>
      <c r="H49" t="s">
        <v>13</v>
      </c>
      <c r="I49">
        <v>232.42</v>
      </c>
      <c r="J49" t="str">
        <f t="shared" si="0"/>
        <v>High</v>
      </c>
      <c r="K49" s="4" t="e">
        <f t="shared" si="1"/>
        <v>#N/A</v>
      </c>
      <c r="L49" t="e">
        <f t="shared" si="2"/>
        <v>#N/A</v>
      </c>
      <c r="M49" s="3" t="e">
        <f t="shared" si="3"/>
        <v>#N/A</v>
      </c>
      <c r="N49" t="e">
        <f t="shared" si="4"/>
        <v>#N/A</v>
      </c>
      <c r="O49" s="3">
        <f t="shared" si="5"/>
        <v>140959</v>
      </c>
      <c r="P49">
        <f t="shared" si="6"/>
        <v>35</v>
      </c>
    </row>
    <row r="50" spans="1:16" x14ac:dyDescent="0.25">
      <c r="A50">
        <v>665</v>
      </c>
      <c r="B50">
        <v>37</v>
      </c>
      <c r="C50" t="s">
        <v>12</v>
      </c>
      <c r="D50" s="3">
        <v>105623</v>
      </c>
      <c r="E50">
        <v>26</v>
      </c>
      <c r="F50">
        <v>5</v>
      </c>
      <c r="G50">
        <v>47</v>
      </c>
      <c r="H50" t="s">
        <v>13</v>
      </c>
      <c r="I50">
        <v>94.79</v>
      </c>
      <c r="J50" t="str">
        <f t="shared" si="0"/>
        <v>High</v>
      </c>
      <c r="K50" s="4" t="e">
        <f t="shared" si="1"/>
        <v>#N/A</v>
      </c>
      <c r="L50" t="e">
        <f t="shared" si="2"/>
        <v>#N/A</v>
      </c>
      <c r="M50" s="3" t="e">
        <f t="shared" si="3"/>
        <v>#N/A</v>
      </c>
      <c r="N50" t="e">
        <f t="shared" si="4"/>
        <v>#N/A</v>
      </c>
      <c r="O50" s="3">
        <f t="shared" si="5"/>
        <v>105623</v>
      </c>
      <c r="P50">
        <f t="shared" si="6"/>
        <v>26</v>
      </c>
    </row>
    <row r="51" spans="1:16" x14ac:dyDescent="0.25">
      <c r="A51">
        <v>671</v>
      </c>
      <c r="B51">
        <v>34</v>
      </c>
      <c r="C51" t="s">
        <v>12</v>
      </c>
      <c r="D51" s="3">
        <v>54274</v>
      </c>
      <c r="E51">
        <v>27</v>
      </c>
      <c r="F51">
        <v>2</v>
      </c>
      <c r="G51">
        <v>17</v>
      </c>
      <c r="H51" t="s">
        <v>13</v>
      </c>
      <c r="I51">
        <v>954.46</v>
      </c>
      <c r="J51" t="str">
        <f t="shared" si="0"/>
        <v>Medium</v>
      </c>
      <c r="K51" s="4" t="e">
        <f t="shared" si="1"/>
        <v>#N/A</v>
      </c>
      <c r="L51" t="e">
        <f t="shared" si="2"/>
        <v>#N/A</v>
      </c>
      <c r="M51" s="3">
        <f t="shared" si="3"/>
        <v>54274</v>
      </c>
      <c r="N51">
        <f t="shared" si="4"/>
        <v>27</v>
      </c>
      <c r="O51" s="3" t="e">
        <f t="shared" si="5"/>
        <v>#N/A</v>
      </c>
      <c r="P51" t="e">
        <f t="shared" si="6"/>
        <v>#N/A</v>
      </c>
    </row>
    <row r="52" spans="1:16" x14ac:dyDescent="0.25">
      <c r="A52">
        <v>672</v>
      </c>
      <c r="B52">
        <v>30</v>
      </c>
      <c r="C52" t="s">
        <v>12</v>
      </c>
      <c r="D52" s="3">
        <v>94803</v>
      </c>
      <c r="E52">
        <v>76</v>
      </c>
      <c r="F52">
        <v>6</v>
      </c>
      <c r="G52">
        <v>33</v>
      </c>
      <c r="H52" t="s">
        <v>13</v>
      </c>
      <c r="I52">
        <v>596.98</v>
      </c>
      <c r="J52" t="str">
        <f t="shared" si="0"/>
        <v>Medium</v>
      </c>
      <c r="K52" s="4" t="e">
        <f t="shared" si="1"/>
        <v>#N/A</v>
      </c>
      <c r="L52" t="e">
        <f t="shared" si="2"/>
        <v>#N/A</v>
      </c>
      <c r="M52" s="3">
        <f t="shared" si="3"/>
        <v>94803</v>
      </c>
      <c r="N52">
        <f t="shared" si="4"/>
        <v>76</v>
      </c>
      <c r="O52" s="3" t="e">
        <f t="shared" si="5"/>
        <v>#N/A</v>
      </c>
      <c r="P52" t="e">
        <f t="shared" si="6"/>
        <v>#N/A</v>
      </c>
    </row>
    <row r="53" spans="1:16" x14ac:dyDescent="0.25">
      <c r="A53">
        <v>685</v>
      </c>
      <c r="B53">
        <v>37</v>
      </c>
      <c r="C53" t="s">
        <v>12</v>
      </c>
      <c r="D53" s="3">
        <v>104041</v>
      </c>
      <c r="E53">
        <v>64</v>
      </c>
      <c r="F53">
        <v>9</v>
      </c>
      <c r="G53">
        <v>49</v>
      </c>
      <c r="H53" t="s">
        <v>13</v>
      </c>
      <c r="I53">
        <v>117.52</v>
      </c>
      <c r="J53" t="str">
        <f t="shared" si="0"/>
        <v>High</v>
      </c>
      <c r="K53" s="4" t="e">
        <f t="shared" si="1"/>
        <v>#N/A</v>
      </c>
      <c r="L53" t="e">
        <f t="shared" si="2"/>
        <v>#N/A</v>
      </c>
      <c r="M53" s="3" t="e">
        <f t="shared" si="3"/>
        <v>#N/A</v>
      </c>
      <c r="N53" t="e">
        <f t="shared" si="4"/>
        <v>#N/A</v>
      </c>
      <c r="O53" s="3">
        <f t="shared" si="5"/>
        <v>104041</v>
      </c>
      <c r="P53">
        <f t="shared" si="6"/>
        <v>64</v>
      </c>
    </row>
    <row r="54" spans="1:16" x14ac:dyDescent="0.25">
      <c r="A54">
        <v>687</v>
      </c>
      <c r="B54">
        <v>59</v>
      </c>
      <c r="C54" t="s">
        <v>12</v>
      </c>
      <c r="D54" s="3">
        <v>65196</v>
      </c>
      <c r="E54">
        <v>22</v>
      </c>
      <c r="F54">
        <v>2</v>
      </c>
      <c r="G54">
        <v>36</v>
      </c>
      <c r="H54" t="s">
        <v>13</v>
      </c>
      <c r="I54">
        <v>625.33000000000004</v>
      </c>
      <c r="J54" t="str">
        <f t="shared" si="0"/>
        <v>Medium</v>
      </c>
      <c r="K54" s="4" t="e">
        <f t="shared" si="1"/>
        <v>#N/A</v>
      </c>
      <c r="L54" t="e">
        <f t="shared" si="2"/>
        <v>#N/A</v>
      </c>
      <c r="M54" s="3">
        <f t="shared" si="3"/>
        <v>65196</v>
      </c>
      <c r="N54">
        <f t="shared" si="4"/>
        <v>22</v>
      </c>
      <c r="O54" s="3" t="e">
        <f t="shared" si="5"/>
        <v>#N/A</v>
      </c>
      <c r="P54" t="e">
        <f t="shared" si="6"/>
        <v>#N/A</v>
      </c>
    </row>
    <row r="55" spans="1:16" x14ac:dyDescent="0.25">
      <c r="A55">
        <v>712</v>
      </c>
      <c r="B55">
        <v>18</v>
      </c>
      <c r="C55" t="s">
        <v>12</v>
      </c>
      <c r="D55" s="3">
        <v>141318</v>
      </c>
      <c r="E55">
        <v>37</v>
      </c>
      <c r="F55">
        <v>6</v>
      </c>
      <c r="G55">
        <v>28</v>
      </c>
      <c r="H55" t="s">
        <v>13</v>
      </c>
      <c r="I55">
        <v>428.33</v>
      </c>
      <c r="J55" t="str">
        <f t="shared" si="0"/>
        <v>High</v>
      </c>
      <c r="K55" s="4" t="e">
        <f t="shared" si="1"/>
        <v>#N/A</v>
      </c>
      <c r="L55" t="e">
        <f t="shared" si="2"/>
        <v>#N/A</v>
      </c>
      <c r="M55" s="3" t="e">
        <f t="shared" si="3"/>
        <v>#N/A</v>
      </c>
      <c r="N55" t="e">
        <f t="shared" si="4"/>
        <v>#N/A</v>
      </c>
      <c r="O55" s="3">
        <f t="shared" si="5"/>
        <v>141318</v>
      </c>
      <c r="P55">
        <f t="shared" si="6"/>
        <v>37</v>
      </c>
    </row>
    <row r="56" spans="1:16" x14ac:dyDescent="0.25">
      <c r="A56">
        <v>722</v>
      </c>
      <c r="B56">
        <v>45</v>
      </c>
      <c r="C56" t="s">
        <v>12</v>
      </c>
      <c r="D56" s="3">
        <v>127989</v>
      </c>
      <c r="E56">
        <v>99</v>
      </c>
      <c r="F56">
        <v>1</v>
      </c>
      <c r="G56">
        <v>42</v>
      </c>
      <c r="H56" t="s">
        <v>13</v>
      </c>
      <c r="I56">
        <v>683.99</v>
      </c>
      <c r="J56" t="str">
        <f t="shared" si="0"/>
        <v>High</v>
      </c>
      <c r="K56" s="4" t="e">
        <f t="shared" si="1"/>
        <v>#N/A</v>
      </c>
      <c r="L56" t="e">
        <f t="shared" si="2"/>
        <v>#N/A</v>
      </c>
      <c r="M56" s="3" t="e">
        <f t="shared" si="3"/>
        <v>#N/A</v>
      </c>
      <c r="N56" t="e">
        <f t="shared" si="4"/>
        <v>#N/A</v>
      </c>
      <c r="O56" s="3">
        <f t="shared" si="5"/>
        <v>127989</v>
      </c>
      <c r="P56">
        <f t="shared" si="6"/>
        <v>99</v>
      </c>
    </row>
    <row r="57" spans="1:16" x14ac:dyDescent="0.25">
      <c r="A57">
        <v>730</v>
      </c>
      <c r="B57">
        <v>19</v>
      </c>
      <c r="C57" t="s">
        <v>12</v>
      </c>
      <c r="D57" s="3">
        <v>85349</v>
      </c>
      <c r="E57">
        <v>77</v>
      </c>
      <c r="F57">
        <v>8</v>
      </c>
      <c r="G57">
        <v>29</v>
      </c>
      <c r="H57" t="s">
        <v>13</v>
      </c>
      <c r="I57">
        <v>381.04</v>
      </c>
      <c r="J57" t="str">
        <f t="shared" si="0"/>
        <v>Medium</v>
      </c>
      <c r="K57" s="4" t="e">
        <f t="shared" si="1"/>
        <v>#N/A</v>
      </c>
      <c r="L57" t="e">
        <f t="shared" si="2"/>
        <v>#N/A</v>
      </c>
      <c r="M57" s="3">
        <f t="shared" si="3"/>
        <v>85349</v>
      </c>
      <c r="N57">
        <f t="shared" si="4"/>
        <v>77</v>
      </c>
      <c r="O57" s="3" t="e">
        <f t="shared" si="5"/>
        <v>#N/A</v>
      </c>
      <c r="P57" t="e">
        <f t="shared" si="6"/>
        <v>#N/A</v>
      </c>
    </row>
    <row r="58" spans="1:16" x14ac:dyDescent="0.25">
      <c r="A58">
        <v>749</v>
      </c>
      <c r="B58">
        <v>22</v>
      </c>
      <c r="C58" t="s">
        <v>12</v>
      </c>
      <c r="D58" s="3">
        <v>73023</v>
      </c>
      <c r="E58">
        <v>30</v>
      </c>
      <c r="F58">
        <v>1</v>
      </c>
      <c r="G58">
        <v>19</v>
      </c>
      <c r="H58" t="s">
        <v>13</v>
      </c>
      <c r="I58">
        <v>661.7</v>
      </c>
      <c r="J58" t="str">
        <f t="shared" si="0"/>
        <v>Medium</v>
      </c>
      <c r="K58" s="4" t="e">
        <f t="shared" si="1"/>
        <v>#N/A</v>
      </c>
      <c r="L58" t="e">
        <f t="shared" si="2"/>
        <v>#N/A</v>
      </c>
      <c r="M58" s="3">
        <f t="shared" si="3"/>
        <v>73023</v>
      </c>
      <c r="N58">
        <f t="shared" si="4"/>
        <v>30</v>
      </c>
      <c r="O58" s="3" t="e">
        <f t="shared" si="5"/>
        <v>#N/A</v>
      </c>
      <c r="P58" t="e">
        <f t="shared" si="6"/>
        <v>#N/A</v>
      </c>
    </row>
    <row r="59" spans="1:16" x14ac:dyDescent="0.25">
      <c r="A59">
        <v>752</v>
      </c>
      <c r="B59">
        <v>31</v>
      </c>
      <c r="C59" t="s">
        <v>12</v>
      </c>
      <c r="D59" s="3">
        <v>85928</v>
      </c>
      <c r="E59">
        <v>10</v>
      </c>
      <c r="F59">
        <v>2</v>
      </c>
      <c r="G59">
        <v>40</v>
      </c>
      <c r="H59" t="s">
        <v>13</v>
      </c>
      <c r="I59">
        <v>34.1</v>
      </c>
      <c r="J59" t="str">
        <f t="shared" si="0"/>
        <v>Medium</v>
      </c>
      <c r="K59" s="4" t="e">
        <f t="shared" si="1"/>
        <v>#N/A</v>
      </c>
      <c r="L59" t="e">
        <f t="shared" si="2"/>
        <v>#N/A</v>
      </c>
      <c r="M59" s="3">
        <f t="shared" si="3"/>
        <v>85928</v>
      </c>
      <c r="N59">
        <f t="shared" si="4"/>
        <v>10</v>
      </c>
      <c r="O59" s="3" t="e">
        <f t="shared" si="5"/>
        <v>#N/A</v>
      </c>
      <c r="P59" t="e">
        <f t="shared" si="6"/>
        <v>#N/A</v>
      </c>
    </row>
    <row r="60" spans="1:16" x14ac:dyDescent="0.25">
      <c r="A60">
        <v>758</v>
      </c>
      <c r="B60">
        <v>35</v>
      </c>
      <c r="C60" t="s">
        <v>12</v>
      </c>
      <c r="D60" s="3">
        <v>94896</v>
      </c>
      <c r="E60">
        <v>36</v>
      </c>
      <c r="F60">
        <v>6</v>
      </c>
      <c r="G60">
        <v>4</v>
      </c>
      <c r="H60" t="s">
        <v>13</v>
      </c>
      <c r="I60">
        <v>102.23</v>
      </c>
      <c r="J60" t="str">
        <f t="shared" si="0"/>
        <v>Medium</v>
      </c>
      <c r="K60" s="4" t="e">
        <f t="shared" si="1"/>
        <v>#N/A</v>
      </c>
      <c r="L60" t="e">
        <f t="shared" si="2"/>
        <v>#N/A</v>
      </c>
      <c r="M60" s="3">
        <f t="shared" si="3"/>
        <v>94896</v>
      </c>
      <c r="N60">
        <f t="shared" si="4"/>
        <v>36</v>
      </c>
      <c r="O60" s="3" t="e">
        <f t="shared" si="5"/>
        <v>#N/A</v>
      </c>
      <c r="P60" t="e">
        <f t="shared" si="6"/>
        <v>#N/A</v>
      </c>
    </row>
    <row r="61" spans="1:16" x14ac:dyDescent="0.25">
      <c r="A61">
        <v>761</v>
      </c>
      <c r="B61">
        <v>47</v>
      </c>
      <c r="C61" t="s">
        <v>12</v>
      </c>
      <c r="D61" s="3">
        <v>112510</v>
      </c>
      <c r="E61">
        <v>1</v>
      </c>
      <c r="F61">
        <v>2</v>
      </c>
      <c r="G61">
        <v>10</v>
      </c>
      <c r="H61" t="s">
        <v>13</v>
      </c>
      <c r="I61">
        <v>618.20000000000005</v>
      </c>
      <c r="J61" t="str">
        <f t="shared" si="0"/>
        <v>High</v>
      </c>
      <c r="K61" s="4" t="e">
        <f t="shared" si="1"/>
        <v>#N/A</v>
      </c>
      <c r="L61" t="e">
        <f t="shared" si="2"/>
        <v>#N/A</v>
      </c>
      <c r="M61" s="3" t="e">
        <f t="shared" si="3"/>
        <v>#N/A</v>
      </c>
      <c r="N61" t="e">
        <f t="shared" si="4"/>
        <v>#N/A</v>
      </c>
      <c r="O61" s="3">
        <f t="shared" si="5"/>
        <v>112510</v>
      </c>
      <c r="P61">
        <f t="shared" si="6"/>
        <v>1</v>
      </c>
    </row>
    <row r="62" spans="1:16" x14ac:dyDescent="0.25">
      <c r="A62">
        <v>763</v>
      </c>
      <c r="B62">
        <v>63</v>
      </c>
      <c r="C62" t="s">
        <v>12</v>
      </c>
      <c r="D62" s="3">
        <v>115204</v>
      </c>
      <c r="E62">
        <v>12</v>
      </c>
      <c r="F62">
        <v>2</v>
      </c>
      <c r="G62">
        <v>19</v>
      </c>
      <c r="H62" t="s">
        <v>13</v>
      </c>
      <c r="I62">
        <v>910.59</v>
      </c>
      <c r="J62" t="str">
        <f t="shared" si="0"/>
        <v>High</v>
      </c>
      <c r="K62" s="4" t="e">
        <f t="shared" si="1"/>
        <v>#N/A</v>
      </c>
      <c r="L62" t="e">
        <f t="shared" si="2"/>
        <v>#N/A</v>
      </c>
      <c r="M62" s="3" t="e">
        <f t="shared" si="3"/>
        <v>#N/A</v>
      </c>
      <c r="N62" t="e">
        <f t="shared" si="4"/>
        <v>#N/A</v>
      </c>
      <c r="O62" s="3">
        <f t="shared" si="5"/>
        <v>115204</v>
      </c>
      <c r="P62">
        <f t="shared" si="6"/>
        <v>12</v>
      </c>
    </row>
    <row r="63" spans="1:16" x14ac:dyDescent="0.25">
      <c r="A63">
        <v>774</v>
      </c>
      <c r="B63">
        <v>52</v>
      </c>
      <c r="C63" t="s">
        <v>12</v>
      </c>
      <c r="D63" s="3">
        <v>52167</v>
      </c>
      <c r="E63">
        <v>19</v>
      </c>
      <c r="F63">
        <v>5</v>
      </c>
      <c r="G63">
        <v>50</v>
      </c>
      <c r="H63" t="s">
        <v>13</v>
      </c>
      <c r="I63">
        <v>961.55</v>
      </c>
      <c r="J63" t="str">
        <f t="shared" si="0"/>
        <v>Medium</v>
      </c>
      <c r="K63" s="4" t="e">
        <f t="shared" si="1"/>
        <v>#N/A</v>
      </c>
      <c r="L63" t="e">
        <f t="shared" si="2"/>
        <v>#N/A</v>
      </c>
      <c r="M63" s="3">
        <f t="shared" si="3"/>
        <v>52167</v>
      </c>
      <c r="N63">
        <f t="shared" si="4"/>
        <v>19</v>
      </c>
      <c r="O63" s="3" t="e">
        <f t="shared" si="5"/>
        <v>#N/A</v>
      </c>
      <c r="P63" t="e">
        <f t="shared" si="6"/>
        <v>#N/A</v>
      </c>
    </row>
    <row r="64" spans="1:16" x14ac:dyDescent="0.25">
      <c r="A64">
        <v>781</v>
      </c>
      <c r="B64">
        <v>53</v>
      </c>
      <c r="C64" t="s">
        <v>12</v>
      </c>
      <c r="D64" s="3">
        <v>147355</v>
      </c>
      <c r="E64">
        <v>10</v>
      </c>
      <c r="F64">
        <v>2</v>
      </c>
      <c r="G64">
        <v>38</v>
      </c>
      <c r="H64" t="s">
        <v>13</v>
      </c>
      <c r="I64">
        <v>866.3</v>
      </c>
      <c r="J64" t="str">
        <f t="shared" si="0"/>
        <v>High</v>
      </c>
      <c r="K64" s="4" t="e">
        <f t="shared" si="1"/>
        <v>#N/A</v>
      </c>
      <c r="L64" t="e">
        <f t="shared" si="2"/>
        <v>#N/A</v>
      </c>
      <c r="M64" s="3" t="e">
        <f t="shared" si="3"/>
        <v>#N/A</v>
      </c>
      <c r="N64" t="e">
        <f t="shared" si="4"/>
        <v>#N/A</v>
      </c>
      <c r="O64" s="3">
        <f t="shared" si="5"/>
        <v>147355</v>
      </c>
      <c r="P64">
        <f t="shared" si="6"/>
        <v>10</v>
      </c>
    </row>
    <row r="65" spans="1:16" x14ac:dyDescent="0.25">
      <c r="A65">
        <v>788</v>
      </c>
      <c r="B65">
        <v>33</v>
      </c>
      <c r="C65" t="s">
        <v>12</v>
      </c>
      <c r="D65" s="3">
        <v>38558</v>
      </c>
      <c r="E65">
        <v>71</v>
      </c>
      <c r="F65">
        <v>8</v>
      </c>
      <c r="G65">
        <v>22</v>
      </c>
      <c r="H65" t="s">
        <v>13</v>
      </c>
      <c r="I65">
        <v>223.73</v>
      </c>
      <c r="J65" t="str">
        <f t="shared" si="0"/>
        <v>Low</v>
      </c>
      <c r="K65" s="4">
        <f t="shared" si="1"/>
        <v>38558</v>
      </c>
      <c r="L65">
        <f t="shared" si="2"/>
        <v>71</v>
      </c>
      <c r="M65" s="3" t="e">
        <f t="shared" si="3"/>
        <v>#N/A</v>
      </c>
      <c r="N65" t="e">
        <f t="shared" si="4"/>
        <v>#N/A</v>
      </c>
      <c r="O65" s="3" t="e">
        <f t="shared" si="5"/>
        <v>#N/A</v>
      </c>
      <c r="P65" t="e">
        <f t="shared" si="6"/>
        <v>#N/A</v>
      </c>
    </row>
    <row r="66" spans="1:16" x14ac:dyDescent="0.25">
      <c r="A66">
        <v>796</v>
      </c>
      <c r="B66">
        <v>47</v>
      </c>
      <c r="C66" t="s">
        <v>12</v>
      </c>
      <c r="D66" s="3">
        <v>92114</v>
      </c>
      <c r="E66">
        <v>17</v>
      </c>
      <c r="F66">
        <v>7</v>
      </c>
      <c r="G66">
        <v>8</v>
      </c>
      <c r="H66" t="s">
        <v>13</v>
      </c>
      <c r="I66">
        <v>997.15</v>
      </c>
      <c r="J66" t="str">
        <f t="shared" ref="J66:J129" si="7">IF(D66&lt;50000,"Low",IF(D66&lt;100000,"Medium","High"))</f>
        <v>Medium</v>
      </c>
      <c r="K66" s="4" t="e">
        <f t="shared" ref="K66:K129" si="8">IF($J66="Low",$D66,NA())</f>
        <v>#N/A</v>
      </c>
      <c r="L66" t="e">
        <f t="shared" ref="L66:L129" si="9">IF($J66="Low",$E66,NA())</f>
        <v>#N/A</v>
      </c>
      <c r="M66" s="3">
        <f t="shared" ref="M66:M129" si="10">IF($J66="Medium",$D66,NA())</f>
        <v>92114</v>
      </c>
      <c r="N66">
        <f t="shared" ref="N66:N129" si="11">IF($J66="Medium",$E66,NA())</f>
        <v>17</v>
      </c>
      <c r="O66" s="3" t="e">
        <f t="shared" ref="O66:O129" si="12">IF($J66="High",$D66,NA())</f>
        <v>#N/A</v>
      </c>
      <c r="P66" t="e">
        <f t="shared" ref="P66:P129" si="13">IF($J66="High",$E66,NA())</f>
        <v>#N/A</v>
      </c>
    </row>
    <row r="67" spans="1:16" x14ac:dyDescent="0.25">
      <c r="A67">
        <v>797</v>
      </c>
      <c r="B67">
        <v>47</v>
      </c>
      <c r="C67" t="s">
        <v>12</v>
      </c>
      <c r="D67" s="3">
        <v>86651</v>
      </c>
      <c r="E67">
        <v>54</v>
      </c>
      <c r="F67">
        <v>3</v>
      </c>
      <c r="G67">
        <v>49</v>
      </c>
      <c r="H67" t="s">
        <v>13</v>
      </c>
      <c r="I67">
        <v>678.41</v>
      </c>
      <c r="J67" t="str">
        <f t="shared" si="7"/>
        <v>Medium</v>
      </c>
      <c r="K67" s="4" t="e">
        <f t="shared" si="8"/>
        <v>#N/A</v>
      </c>
      <c r="L67" t="e">
        <f t="shared" si="9"/>
        <v>#N/A</v>
      </c>
      <c r="M67" s="3">
        <f t="shared" si="10"/>
        <v>86651</v>
      </c>
      <c r="N67">
        <f t="shared" si="11"/>
        <v>54</v>
      </c>
      <c r="O67" s="3" t="e">
        <f t="shared" si="12"/>
        <v>#N/A</v>
      </c>
      <c r="P67" t="e">
        <f t="shared" si="13"/>
        <v>#N/A</v>
      </c>
    </row>
    <row r="68" spans="1:16" x14ac:dyDescent="0.25">
      <c r="A68">
        <v>818</v>
      </c>
      <c r="B68">
        <v>69</v>
      </c>
      <c r="C68" t="s">
        <v>12</v>
      </c>
      <c r="D68" s="3">
        <v>129445</v>
      </c>
      <c r="E68">
        <v>32</v>
      </c>
      <c r="F68">
        <v>3</v>
      </c>
      <c r="G68">
        <v>6</v>
      </c>
      <c r="H68" t="s">
        <v>13</v>
      </c>
      <c r="I68">
        <v>42.19</v>
      </c>
      <c r="J68" t="str">
        <f t="shared" si="7"/>
        <v>High</v>
      </c>
      <c r="K68" s="4" t="e">
        <f t="shared" si="8"/>
        <v>#N/A</v>
      </c>
      <c r="L68" t="e">
        <f t="shared" si="9"/>
        <v>#N/A</v>
      </c>
      <c r="M68" s="3" t="e">
        <f t="shared" si="10"/>
        <v>#N/A</v>
      </c>
      <c r="N68" t="e">
        <f t="shared" si="11"/>
        <v>#N/A</v>
      </c>
      <c r="O68" s="3">
        <f t="shared" si="12"/>
        <v>129445</v>
      </c>
      <c r="P68">
        <f t="shared" si="13"/>
        <v>32</v>
      </c>
    </row>
    <row r="69" spans="1:16" x14ac:dyDescent="0.25">
      <c r="A69">
        <v>829</v>
      </c>
      <c r="B69">
        <v>37</v>
      </c>
      <c r="C69" t="s">
        <v>12</v>
      </c>
      <c r="D69" s="3">
        <v>112949</v>
      </c>
      <c r="E69">
        <v>33</v>
      </c>
      <c r="F69">
        <v>8</v>
      </c>
      <c r="G69">
        <v>40</v>
      </c>
      <c r="H69" t="s">
        <v>13</v>
      </c>
      <c r="I69">
        <v>424.07</v>
      </c>
      <c r="J69" t="str">
        <f t="shared" si="7"/>
        <v>High</v>
      </c>
      <c r="K69" s="4" t="e">
        <f t="shared" si="8"/>
        <v>#N/A</v>
      </c>
      <c r="L69" t="e">
        <f t="shared" si="9"/>
        <v>#N/A</v>
      </c>
      <c r="M69" s="3" t="e">
        <f t="shared" si="10"/>
        <v>#N/A</v>
      </c>
      <c r="N69" t="e">
        <f t="shared" si="11"/>
        <v>#N/A</v>
      </c>
      <c r="O69" s="3">
        <f t="shared" si="12"/>
        <v>112949</v>
      </c>
      <c r="P69">
        <f t="shared" si="13"/>
        <v>33</v>
      </c>
    </row>
    <row r="70" spans="1:16" x14ac:dyDescent="0.25">
      <c r="A70">
        <v>830</v>
      </c>
      <c r="B70">
        <v>28</v>
      </c>
      <c r="C70" t="s">
        <v>12</v>
      </c>
      <c r="D70" s="3">
        <v>136418</v>
      </c>
      <c r="E70">
        <v>17</v>
      </c>
      <c r="F70">
        <v>5</v>
      </c>
      <c r="G70">
        <v>17</v>
      </c>
      <c r="H70" t="s">
        <v>13</v>
      </c>
      <c r="I70">
        <v>765.53</v>
      </c>
      <c r="J70" t="str">
        <f t="shared" si="7"/>
        <v>High</v>
      </c>
      <c r="K70" s="4" t="e">
        <f t="shared" si="8"/>
        <v>#N/A</v>
      </c>
      <c r="L70" t="e">
        <f t="shared" si="9"/>
        <v>#N/A</v>
      </c>
      <c r="M70" s="3" t="e">
        <f t="shared" si="10"/>
        <v>#N/A</v>
      </c>
      <c r="N70" t="e">
        <f t="shared" si="11"/>
        <v>#N/A</v>
      </c>
      <c r="O70" s="3">
        <f t="shared" si="12"/>
        <v>136418</v>
      </c>
      <c r="P70">
        <f t="shared" si="13"/>
        <v>17</v>
      </c>
    </row>
    <row r="71" spans="1:16" x14ac:dyDescent="0.25">
      <c r="A71">
        <v>844</v>
      </c>
      <c r="B71">
        <v>43</v>
      </c>
      <c r="C71" t="s">
        <v>12</v>
      </c>
      <c r="D71" s="3">
        <v>140638</v>
      </c>
      <c r="E71">
        <v>62</v>
      </c>
      <c r="F71">
        <v>10</v>
      </c>
      <c r="G71">
        <v>18</v>
      </c>
      <c r="H71" t="s">
        <v>13</v>
      </c>
      <c r="I71">
        <v>78.52</v>
      </c>
      <c r="J71" t="str">
        <f t="shared" si="7"/>
        <v>High</v>
      </c>
      <c r="K71" s="4" t="e">
        <f t="shared" si="8"/>
        <v>#N/A</v>
      </c>
      <c r="L71" t="e">
        <f t="shared" si="9"/>
        <v>#N/A</v>
      </c>
      <c r="M71" s="3" t="e">
        <f t="shared" si="10"/>
        <v>#N/A</v>
      </c>
      <c r="N71" t="e">
        <f t="shared" si="11"/>
        <v>#N/A</v>
      </c>
      <c r="O71" s="3">
        <f t="shared" si="12"/>
        <v>140638</v>
      </c>
      <c r="P71">
        <f t="shared" si="13"/>
        <v>62</v>
      </c>
    </row>
    <row r="72" spans="1:16" x14ac:dyDescent="0.25">
      <c r="A72">
        <v>895</v>
      </c>
      <c r="B72">
        <v>27</v>
      </c>
      <c r="C72" t="s">
        <v>12</v>
      </c>
      <c r="D72" s="3">
        <v>128640</v>
      </c>
      <c r="E72">
        <v>3</v>
      </c>
      <c r="F72">
        <v>5</v>
      </c>
      <c r="G72">
        <v>2</v>
      </c>
      <c r="H72" t="s">
        <v>13</v>
      </c>
      <c r="I72">
        <v>140.52000000000001</v>
      </c>
      <c r="J72" t="str">
        <f t="shared" si="7"/>
        <v>High</v>
      </c>
      <c r="K72" s="4" t="e">
        <f t="shared" si="8"/>
        <v>#N/A</v>
      </c>
      <c r="L72" t="e">
        <f t="shared" si="9"/>
        <v>#N/A</v>
      </c>
      <c r="M72" s="3" t="e">
        <f t="shared" si="10"/>
        <v>#N/A</v>
      </c>
      <c r="N72" t="e">
        <f t="shared" si="11"/>
        <v>#N/A</v>
      </c>
      <c r="O72" s="3">
        <f t="shared" si="12"/>
        <v>128640</v>
      </c>
      <c r="P72">
        <f t="shared" si="13"/>
        <v>3</v>
      </c>
    </row>
    <row r="73" spans="1:16" x14ac:dyDescent="0.25">
      <c r="A73">
        <v>921</v>
      </c>
      <c r="B73">
        <v>66</v>
      </c>
      <c r="C73" t="s">
        <v>12</v>
      </c>
      <c r="D73" s="3">
        <v>122436</v>
      </c>
      <c r="E73">
        <v>73</v>
      </c>
      <c r="F73">
        <v>7</v>
      </c>
      <c r="G73">
        <v>47</v>
      </c>
      <c r="H73" t="s">
        <v>13</v>
      </c>
      <c r="I73">
        <v>666.62</v>
      </c>
      <c r="J73" t="str">
        <f t="shared" si="7"/>
        <v>High</v>
      </c>
      <c r="K73" s="4" t="e">
        <f t="shared" si="8"/>
        <v>#N/A</v>
      </c>
      <c r="L73" t="e">
        <f t="shared" si="9"/>
        <v>#N/A</v>
      </c>
      <c r="M73" s="3" t="e">
        <f t="shared" si="10"/>
        <v>#N/A</v>
      </c>
      <c r="N73" t="e">
        <f t="shared" si="11"/>
        <v>#N/A</v>
      </c>
      <c r="O73" s="3">
        <f t="shared" si="12"/>
        <v>122436</v>
      </c>
      <c r="P73">
        <f t="shared" si="13"/>
        <v>73</v>
      </c>
    </row>
    <row r="74" spans="1:16" x14ac:dyDescent="0.25">
      <c r="A74">
        <v>931</v>
      </c>
      <c r="B74">
        <v>59</v>
      </c>
      <c r="C74" t="s">
        <v>12</v>
      </c>
      <c r="D74" s="3">
        <v>48329</v>
      </c>
      <c r="E74">
        <v>6</v>
      </c>
      <c r="F74">
        <v>8</v>
      </c>
      <c r="G74">
        <v>26</v>
      </c>
      <c r="H74" t="s">
        <v>13</v>
      </c>
      <c r="I74">
        <v>36.76</v>
      </c>
      <c r="J74" t="str">
        <f t="shared" si="7"/>
        <v>Low</v>
      </c>
      <c r="K74" s="4">
        <f t="shared" si="8"/>
        <v>48329</v>
      </c>
      <c r="L74">
        <f t="shared" si="9"/>
        <v>6</v>
      </c>
      <c r="M74" s="3" t="e">
        <f t="shared" si="10"/>
        <v>#N/A</v>
      </c>
      <c r="N74" t="e">
        <f t="shared" si="11"/>
        <v>#N/A</v>
      </c>
      <c r="O74" s="3" t="e">
        <f t="shared" si="12"/>
        <v>#N/A</v>
      </c>
      <c r="P74" t="e">
        <f t="shared" si="13"/>
        <v>#N/A</v>
      </c>
    </row>
    <row r="75" spans="1:16" x14ac:dyDescent="0.25">
      <c r="A75">
        <v>936</v>
      </c>
      <c r="B75">
        <v>51</v>
      </c>
      <c r="C75" t="s">
        <v>12</v>
      </c>
      <c r="D75" s="3">
        <v>148784</v>
      </c>
      <c r="E75">
        <v>17</v>
      </c>
      <c r="F75">
        <v>1</v>
      </c>
      <c r="G75">
        <v>50</v>
      </c>
      <c r="H75" t="s">
        <v>13</v>
      </c>
      <c r="I75">
        <v>302.81</v>
      </c>
      <c r="J75" t="str">
        <f t="shared" si="7"/>
        <v>High</v>
      </c>
      <c r="K75" s="4" t="e">
        <f t="shared" si="8"/>
        <v>#N/A</v>
      </c>
      <c r="L75" t="e">
        <f t="shared" si="9"/>
        <v>#N/A</v>
      </c>
      <c r="M75" s="3" t="e">
        <f t="shared" si="10"/>
        <v>#N/A</v>
      </c>
      <c r="N75" t="e">
        <f t="shared" si="11"/>
        <v>#N/A</v>
      </c>
      <c r="O75" s="3">
        <f t="shared" si="12"/>
        <v>148784</v>
      </c>
      <c r="P75">
        <f t="shared" si="13"/>
        <v>17</v>
      </c>
    </row>
    <row r="76" spans="1:16" x14ac:dyDescent="0.25">
      <c r="A76">
        <v>939</v>
      </c>
      <c r="B76">
        <v>37</v>
      </c>
      <c r="C76" t="s">
        <v>12</v>
      </c>
      <c r="D76" s="3">
        <v>70213</v>
      </c>
      <c r="E76">
        <v>84</v>
      </c>
      <c r="F76">
        <v>3</v>
      </c>
      <c r="G76">
        <v>37</v>
      </c>
      <c r="H76" t="s">
        <v>13</v>
      </c>
      <c r="I76">
        <v>785.53</v>
      </c>
      <c r="J76" t="str">
        <f t="shared" si="7"/>
        <v>Medium</v>
      </c>
      <c r="K76" s="4" t="e">
        <f t="shared" si="8"/>
        <v>#N/A</v>
      </c>
      <c r="L76" t="e">
        <f t="shared" si="9"/>
        <v>#N/A</v>
      </c>
      <c r="M76" s="3">
        <f t="shared" si="10"/>
        <v>70213</v>
      </c>
      <c r="N76">
        <f t="shared" si="11"/>
        <v>84</v>
      </c>
      <c r="O76" s="3" t="e">
        <f t="shared" si="12"/>
        <v>#N/A</v>
      </c>
      <c r="P76" t="e">
        <f t="shared" si="13"/>
        <v>#N/A</v>
      </c>
    </row>
    <row r="77" spans="1:16" x14ac:dyDescent="0.25">
      <c r="A77">
        <v>981</v>
      </c>
      <c r="B77">
        <v>30</v>
      </c>
      <c r="C77" t="s">
        <v>12</v>
      </c>
      <c r="D77" s="3">
        <v>117373</v>
      </c>
      <c r="E77">
        <v>32</v>
      </c>
      <c r="F77">
        <v>1</v>
      </c>
      <c r="G77">
        <v>49</v>
      </c>
      <c r="H77" t="s">
        <v>13</v>
      </c>
      <c r="I77">
        <v>129.35</v>
      </c>
      <c r="J77" t="str">
        <f t="shared" si="7"/>
        <v>High</v>
      </c>
      <c r="K77" s="4" t="e">
        <f t="shared" si="8"/>
        <v>#N/A</v>
      </c>
      <c r="L77" t="e">
        <f t="shared" si="9"/>
        <v>#N/A</v>
      </c>
      <c r="M77" s="3" t="e">
        <f t="shared" si="10"/>
        <v>#N/A</v>
      </c>
      <c r="N77" t="e">
        <f t="shared" si="11"/>
        <v>#N/A</v>
      </c>
      <c r="O77" s="3">
        <f t="shared" si="12"/>
        <v>117373</v>
      </c>
      <c r="P77">
        <f t="shared" si="13"/>
        <v>32</v>
      </c>
    </row>
    <row r="78" spans="1:16" x14ac:dyDescent="0.25">
      <c r="A78">
        <v>989</v>
      </c>
      <c r="B78">
        <v>26</v>
      </c>
      <c r="C78" t="s">
        <v>12</v>
      </c>
      <c r="D78" s="3">
        <v>45147</v>
      </c>
      <c r="E78">
        <v>93</v>
      </c>
      <c r="F78">
        <v>1</v>
      </c>
      <c r="G78">
        <v>32</v>
      </c>
      <c r="H78" t="s">
        <v>13</v>
      </c>
      <c r="I78">
        <v>750.58</v>
      </c>
      <c r="J78" t="str">
        <f t="shared" si="7"/>
        <v>Low</v>
      </c>
      <c r="K78" s="4">
        <f t="shared" si="8"/>
        <v>45147</v>
      </c>
      <c r="L78">
        <f t="shared" si="9"/>
        <v>93</v>
      </c>
      <c r="M78" s="3" t="e">
        <f t="shared" si="10"/>
        <v>#N/A</v>
      </c>
      <c r="N78" t="e">
        <f t="shared" si="11"/>
        <v>#N/A</v>
      </c>
      <c r="O78" s="3" t="e">
        <f t="shared" si="12"/>
        <v>#N/A</v>
      </c>
      <c r="P78" t="e">
        <f t="shared" si="13"/>
        <v>#N/A</v>
      </c>
    </row>
    <row r="79" spans="1:16" x14ac:dyDescent="0.25">
      <c r="A79">
        <v>30</v>
      </c>
      <c r="B79">
        <v>23</v>
      </c>
      <c r="C79" t="s">
        <v>12</v>
      </c>
      <c r="D79" s="3">
        <v>104106</v>
      </c>
      <c r="E79">
        <v>30</v>
      </c>
      <c r="F79">
        <v>4</v>
      </c>
      <c r="G79">
        <v>20</v>
      </c>
      <c r="H79" t="s">
        <v>14</v>
      </c>
      <c r="I79">
        <v>950.56</v>
      </c>
      <c r="J79" t="str">
        <f t="shared" si="7"/>
        <v>High</v>
      </c>
      <c r="K79" s="4" t="e">
        <f t="shared" si="8"/>
        <v>#N/A</v>
      </c>
      <c r="L79" t="e">
        <f t="shared" si="9"/>
        <v>#N/A</v>
      </c>
      <c r="M79" s="3" t="e">
        <f t="shared" si="10"/>
        <v>#N/A</v>
      </c>
      <c r="N79" t="e">
        <f t="shared" si="11"/>
        <v>#N/A</v>
      </c>
      <c r="O79" s="3">
        <f t="shared" si="12"/>
        <v>104106</v>
      </c>
      <c r="P79">
        <f t="shared" si="13"/>
        <v>30</v>
      </c>
    </row>
    <row r="80" spans="1:16" x14ac:dyDescent="0.25">
      <c r="A80">
        <v>33</v>
      </c>
      <c r="B80">
        <v>29</v>
      </c>
      <c r="C80" t="s">
        <v>12</v>
      </c>
      <c r="D80" s="3">
        <v>71951</v>
      </c>
      <c r="E80">
        <v>2</v>
      </c>
      <c r="F80">
        <v>6</v>
      </c>
      <c r="G80">
        <v>47</v>
      </c>
      <c r="H80" t="s">
        <v>14</v>
      </c>
      <c r="I80">
        <v>91.94</v>
      </c>
      <c r="J80" t="str">
        <f t="shared" si="7"/>
        <v>Medium</v>
      </c>
      <c r="K80" s="4" t="e">
        <f t="shared" si="8"/>
        <v>#N/A</v>
      </c>
      <c r="L80" t="e">
        <f t="shared" si="9"/>
        <v>#N/A</v>
      </c>
      <c r="M80" s="3">
        <f t="shared" si="10"/>
        <v>71951</v>
      </c>
      <c r="N80">
        <f t="shared" si="11"/>
        <v>2</v>
      </c>
      <c r="O80" s="3" t="e">
        <f t="shared" si="12"/>
        <v>#N/A</v>
      </c>
      <c r="P80" t="e">
        <f t="shared" si="13"/>
        <v>#N/A</v>
      </c>
    </row>
    <row r="81" spans="1:16" x14ac:dyDescent="0.25">
      <c r="A81">
        <v>37</v>
      </c>
      <c r="B81">
        <v>47</v>
      </c>
      <c r="C81" t="s">
        <v>12</v>
      </c>
      <c r="D81" s="3">
        <v>108074</v>
      </c>
      <c r="E81">
        <v>78</v>
      </c>
      <c r="F81">
        <v>4</v>
      </c>
      <c r="G81">
        <v>38</v>
      </c>
      <c r="H81" t="s">
        <v>14</v>
      </c>
      <c r="I81">
        <v>128.19999999999999</v>
      </c>
      <c r="J81" t="str">
        <f t="shared" si="7"/>
        <v>High</v>
      </c>
      <c r="K81" s="4" t="e">
        <f t="shared" si="8"/>
        <v>#N/A</v>
      </c>
      <c r="L81" t="e">
        <f t="shared" si="9"/>
        <v>#N/A</v>
      </c>
      <c r="M81" s="3" t="e">
        <f t="shared" si="10"/>
        <v>#N/A</v>
      </c>
      <c r="N81" t="e">
        <f t="shared" si="11"/>
        <v>#N/A</v>
      </c>
      <c r="O81" s="3">
        <f t="shared" si="12"/>
        <v>108074</v>
      </c>
      <c r="P81">
        <f t="shared" si="13"/>
        <v>78</v>
      </c>
    </row>
    <row r="82" spans="1:16" x14ac:dyDescent="0.25">
      <c r="A82">
        <v>47</v>
      </c>
      <c r="B82">
        <v>56</v>
      </c>
      <c r="C82" t="s">
        <v>12</v>
      </c>
      <c r="D82" s="3">
        <v>129005</v>
      </c>
      <c r="E82">
        <v>40</v>
      </c>
      <c r="F82">
        <v>6</v>
      </c>
      <c r="G82">
        <v>8</v>
      </c>
      <c r="H82" t="s">
        <v>14</v>
      </c>
      <c r="I82">
        <v>355.34</v>
      </c>
      <c r="J82" t="str">
        <f t="shared" si="7"/>
        <v>High</v>
      </c>
      <c r="K82" s="4" t="e">
        <f t="shared" si="8"/>
        <v>#N/A</v>
      </c>
      <c r="L82" t="e">
        <f t="shared" si="9"/>
        <v>#N/A</v>
      </c>
      <c r="M82" s="3" t="e">
        <f t="shared" si="10"/>
        <v>#N/A</v>
      </c>
      <c r="N82" t="e">
        <f t="shared" si="11"/>
        <v>#N/A</v>
      </c>
      <c r="O82" s="3">
        <f t="shared" si="12"/>
        <v>129005</v>
      </c>
      <c r="P82">
        <f t="shared" si="13"/>
        <v>40</v>
      </c>
    </row>
    <row r="83" spans="1:16" x14ac:dyDescent="0.25">
      <c r="A83">
        <v>48</v>
      </c>
      <c r="B83">
        <v>48</v>
      </c>
      <c r="C83" t="s">
        <v>12</v>
      </c>
      <c r="D83" s="3">
        <v>76317</v>
      </c>
      <c r="E83">
        <v>94</v>
      </c>
      <c r="F83">
        <v>9</v>
      </c>
      <c r="G83">
        <v>3</v>
      </c>
      <c r="H83" t="s">
        <v>14</v>
      </c>
      <c r="I83">
        <v>189.28</v>
      </c>
      <c r="J83" t="str">
        <f t="shared" si="7"/>
        <v>Medium</v>
      </c>
      <c r="K83" s="4" t="e">
        <f t="shared" si="8"/>
        <v>#N/A</v>
      </c>
      <c r="L83" t="e">
        <f t="shared" si="9"/>
        <v>#N/A</v>
      </c>
      <c r="M83" s="3">
        <f t="shared" si="10"/>
        <v>76317</v>
      </c>
      <c r="N83">
        <f t="shared" si="11"/>
        <v>94</v>
      </c>
      <c r="O83" s="3" t="e">
        <f t="shared" si="12"/>
        <v>#N/A</v>
      </c>
      <c r="P83" t="e">
        <f t="shared" si="13"/>
        <v>#N/A</v>
      </c>
    </row>
    <row r="84" spans="1:16" x14ac:dyDescent="0.25">
      <c r="A84">
        <v>69</v>
      </c>
      <c r="B84">
        <v>32</v>
      </c>
      <c r="C84" t="s">
        <v>12</v>
      </c>
      <c r="D84" s="3">
        <v>135861</v>
      </c>
      <c r="E84">
        <v>88</v>
      </c>
      <c r="F84">
        <v>5</v>
      </c>
      <c r="G84">
        <v>16</v>
      </c>
      <c r="H84" t="s">
        <v>14</v>
      </c>
      <c r="I84">
        <v>103.33</v>
      </c>
      <c r="J84" t="str">
        <f t="shared" si="7"/>
        <v>High</v>
      </c>
      <c r="K84" s="4" t="e">
        <f t="shared" si="8"/>
        <v>#N/A</v>
      </c>
      <c r="L84" t="e">
        <f t="shared" si="9"/>
        <v>#N/A</v>
      </c>
      <c r="M84" s="3" t="e">
        <f t="shared" si="10"/>
        <v>#N/A</v>
      </c>
      <c r="N84" t="e">
        <f t="shared" si="11"/>
        <v>#N/A</v>
      </c>
      <c r="O84" s="3">
        <f t="shared" si="12"/>
        <v>135861</v>
      </c>
      <c r="P84">
        <f t="shared" si="13"/>
        <v>88</v>
      </c>
    </row>
    <row r="85" spans="1:16" x14ac:dyDescent="0.25">
      <c r="A85">
        <v>84</v>
      </c>
      <c r="B85">
        <v>56</v>
      </c>
      <c r="C85" t="s">
        <v>12</v>
      </c>
      <c r="D85" s="3">
        <v>58971</v>
      </c>
      <c r="E85">
        <v>77</v>
      </c>
      <c r="F85">
        <v>9</v>
      </c>
      <c r="G85">
        <v>35</v>
      </c>
      <c r="H85" t="s">
        <v>14</v>
      </c>
      <c r="I85">
        <v>13.16</v>
      </c>
      <c r="J85" t="str">
        <f t="shared" si="7"/>
        <v>Medium</v>
      </c>
      <c r="K85" s="4" t="e">
        <f t="shared" si="8"/>
        <v>#N/A</v>
      </c>
      <c r="L85" t="e">
        <f t="shared" si="9"/>
        <v>#N/A</v>
      </c>
      <c r="M85" s="3">
        <f t="shared" si="10"/>
        <v>58971</v>
      </c>
      <c r="N85">
        <f t="shared" si="11"/>
        <v>77</v>
      </c>
      <c r="O85" s="3" t="e">
        <f t="shared" si="12"/>
        <v>#N/A</v>
      </c>
      <c r="P85" t="e">
        <f t="shared" si="13"/>
        <v>#N/A</v>
      </c>
    </row>
    <row r="86" spans="1:16" x14ac:dyDescent="0.25">
      <c r="A86">
        <v>93</v>
      </c>
      <c r="B86">
        <v>65</v>
      </c>
      <c r="C86" t="s">
        <v>12</v>
      </c>
      <c r="D86" s="3">
        <v>62792</v>
      </c>
      <c r="E86">
        <v>83</v>
      </c>
      <c r="F86">
        <v>8</v>
      </c>
      <c r="G86">
        <v>11</v>
      </c>
      <c r="H86" t="s">
        <v>14</v>
      </c>
      <c r="I86">
        <v>230.58</v>
      </c>
      <c r="J86" t="str">
        <f t="shared" si="7"/>
        <v>Medium</v>
      </c>
      <c r="K86" s="4" t="e">
        <f t="shared" si="8"/>
        <v>#N/A</v>
      </c>
      <c r="L86" t="e">
        <f t="shared" si="9"/>
        <v>#N/A</v>
      </c>
      <c r="M86" s="3">
        <f t="shared" si="10"/>
        <v>62792</v>
      </c>
      <c r="N86">
        <f t="shared" si="11"/>
        <v>83</v>
      </c>
      <c r="O86" s="3" t="e">
        <f t="shared" si="12"/>
        <v>#N/A</v>
      </c>
      <c r="P86" t="e">
        <f t="shared" si="13"/>
        <v>#N/A</v>
      </c>
    </row>
    <row r="87" spans="1:16" x14ac:dyDescent="0.25">
      <c r="A87">
        <v>115</v>
      </c>
      <c r="B87">
        <v>64</v>
      </c>
      <c r="C87" t="s">
        <v>12</v>
      </c>
      <c r="D87" s="3">
        <v>87595</v>
      </c>
      <c r="E87">
        <v>11</v>
      </c>
      <c r="F87">
        <v>5</v>
      </c>
      <c r="G87">
        <v>21</v>
      </c>
      <c r="H87" t="s">
        <v>14</v>
      </c>
      <c r="I87">
        <v>69.78</v>
      </c>
      <c r="J87" t="str">
        <f t="shared" si="7"/>
        <v>Medium</v>
      </c>
      <c r="K87" s="4" t="e">
        <f t="shared" si="8"/>
        <v>#N/A</v>
      </c>
      <c r="L87" t="e">
        <f t="shared" si="9"/>
        <v>#N/A</v>
      </c>
      <c r="M87" s="3">
        <f t="shared" si="10"/>
        <v>87595</v>
      </c>
      <c r="N87">
        <f t="shared" si="11"/>
        <v>11</v>
      </c>
      <c r="O87" s="3" t="e">
        <f t="shared" si="12"/>
        <v>#N/A</v>
      </c>
      <c r="P87" t="e">
        <f t="shared" si="13"/>
        <v>#N/A</v>
      </c>
    </row>
    <row r="88" spans="1:16" x14ac:dyDescent="0.25">
      <c r="A88">
        <v>117</v>
      </c>
      <c r="B88">
        <v>62</v>
      </c>
      <c r="C88" t="s">
        <v>12</v>
      </c>
      <c r="D88" s="3">
        <v>128322</v>
      </c>
      <c r="E88">
        <v>44</v>
      </c>
      <c r="F88">
        <v>4</v>
      </c>
      <c r="G88">
        <v>31</v>
      </c>
      <c r="H88" t="s">
        <v>14</v>
      </c>
      <c r="I88">
        <v>668.91</v>
      </c>
      <c r="J88" t="str">
        <f t="shared" si="7"/>
        <v>High</v>
      </c>
      <c r="K88" s="4" t="e">
        <f t="shared" si="8"/>
        <v>#N/A</v>
      </c>
      <c r="L88" t="e">
        <f t="shared" si="9"/>
        <v>#N/A</v>
      </c>
      <c r="M88" s="3" t="e">
        <f t="shared" si="10"/>
        <v>#N/A</v>
      </c>
      <c r="N88" t="e">
        <f t="shared" si="11"/>
        <v>#N/A</v>
      </c>
      <c r="O88" s="3">
        <f t="shared" si="12"/>
        <v>128322</v>
      </c>
      <c r="P88">
        <f t="shared" si="13"/>
        <v>44</v>
      </c>
    </row>
    <row r="89" spans="1:16" x14ac:dyDescent="0.25">
      <c r="A89">
        <v>122</v>
      </c>
      <c r="B89">
        <v>43</v>
      </c>
      <c r="C89" t="s">
        <v>12</v>
      </c>
      <c r="D89" s="3">
        <v>42855</v>
      </c>
      <c r="E89">
        <v>66</v>
      </c>
      <c r="F89">
        <v>6</v>
      </c>
      <c r="G89">
        <v>23</v>
      </c>
      <c r="H89" t="s">
        <v>14</v>
      </c>
      <c r="I89">
        <v>138.51</v>
      </c>
      <c r="J89" t="str">
        <f t="shared" si="7"/>
        <v>Low</v>
      </c>
      <c r="K89" s="4">
        <f t="shared" si="8"/>
        <v>42855</v>
      </c>
      <c r="L89">
        <f t="shared" si="9"/>
        <v>66</v>
      </c>
      <c r="M89" s="3" t="e">
        <f t="shared" si="10"/>
        <v>#N/A</v>
      </c>
      <c r="N89" t="e">
        <f t="shared" si="11"/>
        <v>#N/A</v>
      </c>
      <c r="O89" s="3" t="e">
        <f t="shared" si="12"/>
        <v>#N/A</v>
      </c>
      <c r="P89" t="e">
        <f t="shared" si="13"/>
        <v>#N/A</v>
      </c>
    </row>
    <row r="90" spans="1:16" x14ac:dyDescent="0.25">
      <c r="A90">
        <v>147</v>
      </c>
      <c r="B90">
        <v>69</v>
      </c>
      <c r="C90" t="s">
        <v>12</v>
      </c>
      <c r="D90" s="3">
        <v>90929</v>
      </c>
      <c r="E90">
        <v>2</v>
      </c>
      <c r="F90">
        <v>10</v>
      </c>
      <c r="G90">
        <v>29</v>
      </c>
      <c r="H90" t="s">
        <v>14</v>
      </c>
      <c r="I90">
        <v>518.70000000000005</v>
      </c>
      <c r="J90" t="str">
        <f t="shared" si="7"/>
        <v>Medium</v>
      </c>
      <c r="K90" s="4" t="e">
        <f t="shared" si="8"/>
        <v>#N/A</v>
      </c>
      <c r="L90" t="e">
        <f t="shared" si="9"/>
        <v>#N/A</v>
      </c>
      <c r="M90" s="3">
        <f t="shared" si="10"/>
        <v>90929</v>
      </c>
      <c r="N90">
        <f t="shared" si="11"/>
        <v>2</v>
      </c>
      <c r="O90" s="3" t="e">
        <f t="shared" si="12"/>
        <v>#N/A</v>
      </c>
      <c r="P90" t="e">
        <f t="shared" si="13"/>
        <v>#N/A</v>
      </c>
    </row>
    <row r="91" spans="1:16" x14ac:dyDescent="0.25">
      <c r="A91">
        <v>182</v>
      </c>
      <c r="B91">
        <v>40</v>
      </c>
      <c r="C91" t="s">
        <v>12</v>
      </c>
      <c r="D91" s="3">
        <v>136323</v>
      </c>
      <c r="E91">
        <v>36</v>
      </c>
      <c r="F91">
        <v>6</v>
      </c>
      <c r="G91">
        <v>25</v>
      </c>
      <c r="H91" t="s">
        <v>14</v>
      </c>
      <c r="I91">
        <v>625.28</v>
      </c>
      <c r="J91" t="str">
        <f t="shared" si="7"/>
        <v>High</v>
      </c>
      <c r="K91" s="4" t="e">
        <f t="shared" si="8"/>
        <v>#N/A</v>
      </c>
      <c r="L91" t="e">
        <f t="shared" si="9"/>
        <v>#N/A</v>
      </c>
      <c r="M91" s="3" t="e">
        <f t="shared" si="10"/>
        <v>#N/A</v>
      </c>
      <c r="N91" t="e">
        <f t="shared" si="11"/>
        <v>#N/A</v>
      </c>
      <c r="O91" s="3">
        <f t="shared" si="12"/>
        <v>136323</v>
      </c>
      <c r="P91">
        <f t="shared" si="13"/>
        <v>36</v>
      </c>
    </row>
    <row r="92" spans="1:16" x14ac:dyDescent="0.25">
      <c r="A92">
        <v>187</v>
      </c>
      <c r="B92">
        <v>35</v>
      </c>
      <c r="C92" t="s">
        <v>12</v>
      </c>
      <c r="D92" s="3">
        <v>137307</v>
      </c>
      <c r="E92">
        <v>32</v>
      </c>
      <c r="F92">
        <v>6</v>
      </c>
      <c r="G92">
        <v>24</v>
      </c>
      <c r="H92" t="s">
        <v>14</v>
      </c>
      <c r="I92">
        <v>111.27</v>
      </c>
      <c r="J92" t="str">
        <f t="shared" si="7"/>
        <v>High</v>
      </c>
      <c r="K92" s="4" t="e">
        <f t="shared" si="8"/>
        <v>#N/A</v>
      </c>
      <c r="L92" t="e">
        <f t="shared" si="9"/>
        <v>#N/A</v>
      </c>
      <c r="M92" s="3" t="e">
        <f t="shared" si="10"/>
        <v>#N/A</v>
      </c>
      <c r="N92" t="e">
        <f t="shared" si="11"/>
        <v>#N/A</v>
      </c>
      <c r="O92" s="3">
        <f t="shared" si="12"/>
        <v>137307</v>
      </c>
      <c r="P92">
        <f t="shared" si="13"/>
        <v>32</v>
      </c>
    </row>
    <row r="93" spans="1:16" x14ac:dyDescent="0.25">
      <c r="A93">
        <v>189</v>
      </c>
      <c r="B93">
        <v>45</v>
      </c>
      <c r="C93" t="s">
        <v>12</v>
      </c>
      <c r="D93" s="3">
        <v>108335</v>
      </c>
      <c r="E93">
        <v>62</v>
      </c>
      <c r="F93">
        <v>1</v>
      </c>
      <c r="G93">
        <v>35</v>
      </c>
      <c r="H93" t="s">
        <v>14</v>
      </c>
      <c r="I93">
        <v>940.93</v>
      </c>
      <c r="J93" t="str">
        <f t="shared" si="7"/>
        <v>High</v>
      </c>
      <c r="K93" s="4" t="e">
        <f t="shared" si="8"/>
        <v>#N/A</v>
      </c>
      <c r="L93" t="e">
        <f t="shared" si="9"/>
        <v>#N/A</v>
      </c>
      <c r="M93" s="3" t="e">
        <f t="shared" si="10"/>
        <v>#N/A</v>
      </c>
      <c r="N93" t="e">
        <f t="shared" si="11"/>
        <v>#N/A</v>
      </c>
      <c r="O93" s="3">
        <f t="shared" si="12"/>
        <v>108335</v>
      </c>
      <c r="P93">
        <f t="shared" si="13"/>
        <v>62</v>
      </c>
    </row>
    <row r="94" spans="1:16" x14ac:dyDescent="0.25">
      <c r="A94">
        <v>191</v>
      </c>
      <c r="B94">
        <v>35</v>
      </c>
      <c r="C94" t="s">
        <v>12</v>
      </c>
      <c r="D94" s="3">
        <v>100208</v>
      </c>
      <c r="E94">
        <v>80</v>
      </c>
      <c r="F94">
        <v>2</v>
      </c>
      <c r="G94">
        <v>27</v>
      </c>
      <c r="H94" t="s">
        <v>14</v>
      </c>
      <c r="I94">
        <v>23.73</v>
      </c>
      <c r="J94" t="str">
        <f t="shared" si="7"/>
        <v>High</v>
      </c>
      <c r="K94" s="4" t="e">
        <f t="shared" si="8"/>
        <v>#N/A</v>
      </c>
      <c r="L94" t="e">
        <f t="shared" si="9"/>
        <v>#N/A</v>
      </c>
      <c r="M94" s="3" t="e">
        <f t="shared" si="10"/>
        <v>#N/A</v>
      </c>
      <c r="N94" t="e">
        <f t="shared" si="11"/>
        <v>#N/A</v>
      </c>
      <c r="O94" s="3">
        <f t="shared" si="12"/>
        <v>100208</v>
      </c>
      <c r="P94">
        <f t="shared" si="13"/>
        <v>80</v>
      </c>
    </row>
    <row r="95" spans="1:16" x14ac:dyDescent="0.25">
      <c r="A95">
        <v>205</v>
      </c>
      <c r="B95">
        <v>27</v>
      </c>
      <c r="C95" t="s">
        <v>12</v>
      </c>
      <c r="D95" s="3">
        <v>132541</v>
      </c>
      <c r="E95">
        <v>78</v>
      </c>
      <c r="F95">
        <v>8</v>
      </c>
      <c r="G95">
        <v>42</v>
      </c>
      <c r="H95" t="s">
        <v>14</v>
      </c>
      <c r="I95">
        <v>825.01</v>
      </c>
      <c r="J95" t="str">
        <f t="shared" si="7"/>
        <v>High</v>
      </c>
      <c r="K95" s="4" t="e">
        <f t="shared" si="8"/>
        <v>#N/A</v>
      </c>
      <c r="L95" t="e">
        <f t="shared" si="9"/>
        <v>#N/A</v>
      </c>
      <c r="M95" s="3" t="e">
        <f t="shared" si="10"/>
        <v>#N/A</v>
      </c>
      <c r="N95" t="e">
        <f t="shared" si="11"/>
        <v>#N/A</v>
      </c>
      <c r="O95" s="3">
        <f t="shared" si="12"/>
        <v>132541</v>
      </c>
      <c r="P95">
        <f t="shared" si="13"/>
        <v>78</v>
      </c>
    </row>
    <row r="96" spans="1:16" x14ac:dyDescent="0.25">
      <c r="A96">
        <v>206</v>
      </c>
      <c r="B96">
        <v>34</v>
      </c>
      <c r="C96" t="s">
        <v>12</v>
      </c>
      <c r="D96" s="3">
        <v>97962</v>
      </c>
      <c r="E96">
        <v>18</v>
      </c>
      <c r="F96">
        <v>3</v>
      </c>
      <c r="G96">
        <v>19</v>
      </c>
      <c r="H96" t="s">
        <v>14</v>
      </c>
      <c r="I96">
        <v>947.73</v>
      </c>
      <c r="J96" t="str">
        <f t="shared" si="7"/>
        <v>Medium</v>
      </c>
      <c r="K96" s="4" t="e">
        <f t="shared" si="8"/>
        <v>#N/A</v>
      </c>
      <c r="L96" t="e">
        <f t="shared" si="9"/>
        <v>#N/A</v>
      </c>
      <c r="M96" s="3">
        <f t="shared" si="10"/>
        <v>97962</v>
      </c>
      <c r="N96">
        <f t="shared" si="11"/>
        <v>18</v>
      </c>
      <c r="O96" s="3" t="e">
        <f t="shared" si="12"/>
        <v>#N/A</v>
      </c>
      <c r="P96" t="e">
        <f t="shared" si="13"/>
        <v>#N/A</v>
      </c>
    </row>
    <row r="97" spans="1:16" x14ac:dyDescent="0.25">
      <c r="A97">
        <v>220</v>
      </c>
      <c r="B97">
        <v>69</v>
      </c>
      <c r="C97" t="s">
        <v>12</v>
      </c>
      <c r="D97" s="3">
        <v>142216</v>
      </c>
      <c r="E97">
        <v>90</v>
      </c>
      <c r="F97">
        <v>7</v>
      </c>
      <c r="G97">
        <v>29</v>
      </c>
      <c r="H97" t="s">
        <v>14</v>
      </c>
      <c r="I97">
        <v>559.73</v>
      </c>
      <c r="J97" t="str">
        <f t="shared" si="7"/>
        <v>High</v>
      </c>
      <c r="K97" s="4" t="e">
        <f t="shared" si="8"/>
        <v>#N/A</v>
      </c>
      <c r="L97" t="e">
        <f t="shared" si="9"/>
        <v>#N/A</v>
      </c>
      <c r="M97" s="3" t="e">
        <f t="shared" si="10"/>
        <v>#N/A</v>
      </c>
      <c r="N97" t="e">
        <f t="shared" si="11"/>
        <v>#N/A</v>
      </c>
      <c r="O97" s="3">
        <f t="shared" si="12"/>
        <v>142216</v>
      </c>
      <c r="P97">
        <f t="shared" si="13"/>
        <v>90</v>
      </c>
    </row>
    <row r="98" spans="1:16" x14ac:dyDescent="0.25">
      <c r="A98">
        <v>227</v>
      </c>
      <c r="B98">
        <v>65</v>
      </c>
      <c r="C98" t="s">
        <v>12</v>
      </c>
      <c r="D98" s="3">
        <v>89274</v>
      </c>
      <c r="E98">
        <v>71</v>
      </c>
      <c r="F98">
        <v>10</v>
      </c>
      <c r="G98">
        <v>34</v>
      </c>
      <c r="H98" t="s">
        <v>14</v>
      </c>
      <c r="I98">
        <v>840.45</v>
      </c>
      <c r="J98" t="str">
        <f t="shared" si="7"/>
        <v>Medium</v>
      </c>
      <c r="K98" s="4" t="e">
        <f t="shared" si="8"/>
        <v>#N/A</v>
      </c>
      <c r="L98" t="e">
        <f t="shared" si="9"/>
        <v>#N/A</v>
      </c>
      <c r="M98" s="3">
        <f t="shared" si="10"/>
        <v>89274</v>
      </c>
      <c r="N98">
        <f t="shared" si="11"/>
        <v>71</v>
      </c>
      <c r="O98" s="3" t="e">
        <f t="shared" si="12"/>
        <v>#N/A</v>
      </c>
      <c r="P98" t="e">
        <f t="shared" si="13"/>
        <v>#N/A</v>
      </c>
    </row>
    <row r="99" spans="1:16" x14ac:dyDescent="0.25">
      <c r="A99">
        <v>230</v>
      </c>
      <c r="B99">
        <v>56</v>
      </c>
      <c r="C99" t="s">
        <v>12</v>
      </c>
      <c r="D99" s="3">
        <v>31154</v>
      </c>
      <c r="E99">
        <v>40</v>
      </c>
      <c r="F99">
        <v>4</v>
      </c>
      <c r="G99">
        <v>25</v>
      </c>
      <c r="H99" t="s">
        <v>14</v>
      </c>
      <c r="I99">
        <v>197.54</v>
      </c>
      <c r="J99" t="str">
        <f t="shared" si="7"/>
        <v>Low</v>
      </c>
      <c r="K99" s="4">
        <f t="shared" si="8"/>
        <v>31154</v>
      </c>
      <c r="L99">
        <f t="shared" si="9"/>
        <v>40</v>
      </c>
      <c r="M99" s="3" t="e">
        <f t="shared" si="10"/>
        <v>#N/A</v>
      </c>
      <c r="N99" t="e">
        <f t="shared" si="11"/>
        <v>#N/A</v>
      </c>
      <c r="O99" s="3" t="e">
        <f t="shared" si="12"/>
        <v>#N/A</v>
      </c>
      <c r="P99" t="e">
        <f t="shared" si="13"/>
        <v>#N/A</v>
      </c>
    </row>
    <row r="100" spans="1:16" x14ac:dyDescent="0.25">
      <c r="A100">
        <v>246</v>
      </c>
      <c r="B100">
        <v>44</v>
      </c>
      <c r="C100" t="s">
        <v>12</v>
      </c>
      <c r="D100" s="3">
        <v>83880</v>
      </c>
      <c r="E100">
        <v>31</v>
      </c>
      <c r="F100">
        <v>6</v>
      </c>
      <c r="G100">
        <v>32</v>
      </c>
      <c r="H100" t="s">
        <v>14</v>
      </c>
      <c r="I100">
        <v>464.42</v>
      </c>
      <c r="J100" t="str">
        <f t="shared" si="7"/>
        <v>Medium</v>
      </c>
      <c r="K100" s="4" t="e">
        <f t="shared" si="8"/>
        <v>#N/A</v>
      </c>
      <c r="L100" t="e">
        <f t="shared" si="9"/>
        <v>#N/A</v>
      </c>
      <c r="M100" s="3">
        <f t="shared" si="10"/>
        <v>83880</v>
      </c>
      <c r="N100">
        <f t="shared" si="11"/>
        <v>31</v>
      </c>
      <c r="O100" s="3" t="e">
        <f t="shared" si="12"/>
        <v>#N/A</v>
      </c>
      <c r="P100" t="e">
        <f t="shared" si="13"/>
        <v>#N/A</v>
      </c>
    </row>
    <row r="101" spans="1:16" x14ac:dyDescent="0.25">
      <c r="A101">
        <v>251</v>
      </c>
      <c r="B101">
        <v>43</v>
      </c>
      <c r="C101" t="s">
        <v>12</v>
      </c>
      <c r="D101" s="3">
        <v>89688</v>
      </c>
      <c r="E101">
        <v>27</v>
      </c>
      <c r="F101">
        <v>10</v>
      </c>
      <c r="G101">
        <v>30</v>
      </c>
      <c r="H101" t="s">
        <v>14</v>
      </c>
      <c r="I101">
        <v>223.64</v>
      </c>
      <c r="J101" t="str">
        <f t="shared" si="7"/>
        <v>Medium</v>
      </c>
      <c r="K101" s="4" t="e">
        <f t="shared" si="8"/>
        <v>#N/A</v>
      </c>
      <c r="L101" t="e">
        <f t="shared" si="9"/>
        <v>#N/A</v>
      </c>
      <c r="M101" s="3">
        <f t="shared" si="10"/>
        <v>89688</v>
      </c>
      <c r="N101">
        <f t="shared" si="11"/>
        <v>27</v>
      </c>
      <c r="O101" s="3" t="e">
        <f t="shared" si="12"/>
        <v>#N/A</v>
      </c>
      <c r="P101" t="e">
        <f t="shared" si="13"/>
        <v>#N/A</v>
      </c>
    </row>
    <row r="102" spans="1:16" x14ac:dyDescent="0.25">
      <c r="A102">
        <v>283</v>
      </c>
      <c r="B102">
        <v>33</v>
      </c>
      <c r="C102" t="s">
        <v>12</v>
      </c>
      <c r="D102" s="3">
        <v>113187</v>
      </c>
      <c r="E102">
        <v>27</v>
      </c>
      <c r="F102">
        <v>9</v>
      </c>
      <c r="G102">
        <v>46</v>
      </c>
      <c r="H102" t="s">
        <v>14</v>
      </c>
      <c r="I102">
        <v>886.3</v>
      </c>
      <c r="J102" t="str">
        <f t="shared" si="7"/>
        <v>High</v>
      </c>
      <c r="K102" s="4" t="e">
        <f t="shared" si="8"/>
        <v>#N/A</v>
      </c>
      <c r="L102" t="e">
        <f t="shared" si="9"/>
        <v>#N/A</v>
      </c>
      <c r="M102" s="3" t="e">
        <f t="shared" si="10"/>
        <v>#N/A</v>
      </c>
      <c r="N102" t="e">
        <f t="shared" si="11"/>
        <v>#N/A</v>
      </c>
      <c r="O102" s="3">
        <f t="shared" si="12"/>
        <v>113187</v>
      </c>
      <c r="P102">
        <f t="shared" si="13"/>
        <v>27</v>
      </c>
    </row>
    <row r="103" spans="1:16" x14ac:dyDescent="0.25">
      <c r="A103">
        <v>284</v>
      </c>
      <c r="B103">
        <v>43</v>
      </c>
      <c r="C103" t="s">
        <v>12</v>
      </c>
      <c r="D103" s="3">
        <v>77006</v>
      </c>
      <c r="E103">
        <v>27</v>
      </c>
      <c r="F103">
        <v>3</v>
      </c>
      <c r="G103">
        <v>36</v>
      </c>
      <c r="H103" t="s">
        <v>14</v>
      </c>
      <c r="I103">
        <v>223.98</v>
      </c>
      <c r="J103" t="str">
        <f t="shared" si="7"/>
        <v>Medium</v>
      </c>
      <c r="K103" s="4" t="e">
        <f t="shared" si="8"/>
        <v>#N/A</v>
      </c>
      <c r="L103" t="e">
        <f t="shared" si="9"/>
        <v>#N/A</v>
      </c>
      <c r="M103" s="3">
        <f t="shared" si="10"/>
        <v>77006</v>
      </c>
      <c r="N103">
        <f t="shared" si="11"/>
        <v>27</v>
      </c>
      <c r="O103" s="3" t="e">
        <f t="shared" si="12"/>
        <v>#N/A</v>
      </c>
      <c r="P103" t="e">
        <f t="shared" si="13"/>
        <v>#N/A</v>
      </c>
    </row>
    <row r="104" spans="1:16" x14ac:dyDescent="0.25">
      <c r="A104">
        <v>290</v>
      </c>
      <c r="B104">
        <v>43</v>
      </c>
      <c r="C104" t="s">
        <v>12</v>
      </c>
      <c r="D104" s="3">
        <v>64136</v>
      </c>
      <c r="E104">
        <v>61</v>
      </c>
      <c r="F104">
        <v>1</v>
      </c>
      <c r="G104">
        <v>19</v>
      </c>
      <c r="H104" t="s">
        <v>14</v>
      </c>
      <c r="I104">
        <v>680.92</v>
      </c>
      <c r="J104" t="str">
        <f t="shared" si="7"/>
        <v>Medium</v>
      </c>
      <c r="K104" s="4" t="e">
        <f t="shared" si="8"/>
        <v>#N/A</v>
      </c>
      <c r="L104" t="e">
        <f t="shared" si="9"/>
        <v>#N/A</v>
      </c>
      <c r="M104" s="3">
        <f t="shared" si="10"/>
        <v>64136</v>
      </c>
      <c r="N104">
        <f t="shared" si="11"/>
        <v>61</v>
      </c>
      <c r="O104" s="3" t="e">
        <f t="shared" si="12"/>
        <v>#N/A</v>
      </c>
      <c r="P104" t="e">
        <f t="shared" si="13"/>
        <v>#N/A</v>
      </c>
    </row>
    <row r="105" spans="1:16" x14ac:dyDescent="0.25">
      <c r="A105">
        <v>311</v>
      </c>
      <c r="B105">
        <v>53</v>
      </c>
      <c r="C105" t="s">
        <v>12</v>
      </c>
      <c r="D105" s="3">
        <v>138922</v>
      </c>
      <c r="E105">
        <v>45</v>
      </c>
      <c r="F105">
        <v>5</v>
      </c>
      <c r="G105">
        <v>22</v>
      </c>
      <c r="H105" t="s">
        <v>14</v>
      </c>
      <c r="I105">
        <v>154.06</v>
      </c>
      <c r="J105" t="str">
        <f t="shared" si="7"/>
        <v>High</v>
      </c>
      <c r="K105" s="4" t="e">
        <f t="shared" si="8"/>
        <v>#N/A</v>
      </c>
      <c r="L105" t="e">
        <f t="shared" si="9"/>
        <v>#N/A</v>
      </c>
      <c r="M105" s="3" t="e">
        <f t="shared" si="10"/>
        <v>#N/A</v>
      </c>
      <c r="N105" t="e">
        <f t="shared" si="11"/>
        <v>#N/A</v>
      </c>
      <c r="O105" s="3">
        <f t="shared" si="12"/>
        <v>138922</v>
      </c>
      <c r="P105">
        <f t="shared" si="13"/>
        <v>45</v>
      </c>
    </row>
    <row r="106" spans="1:16" x14ac:dyDescent="0.25">
      <c r="A106">
        <v>358</v>
      </c>
      <c r="B106">
        <v>57</v>
      </c>
      <c r="C106" t="s">
        <v>12</v>
      </c>
      <c r="D106" s="3">
        <v>137205</v>
      </c>
      <c r="E106">
        <v>18</v>
      </c>
      <c r="F106">
        <v>1</v>
      </c>
      <c r="G106">
        <v>21</v>
      </c>
      <c r="H106" t="s">
        <v>14</v>
      </c>
      <c r="I106">
        <v>862.12</v>
      </c>
      <c r="J106" t="str">
        <f t="shared" si="7"/>
        <v>High</v>
      </c>
      <c r="K106" s="4" t="e">
        <f t="shared" si="8"/>
        <v>#N/A</v>
      </c>
      <c r="L106" t="e">
        <f t="shared" si="9"/>
        <v>#N/A</v>
      </c>
      <c r="M106" s="3" t="e">
        <f t="shared" si="10"/>
        <v>#N/A</v>
      </c>
      <c r="N106" t="e">
        <f t="shared" si="11"/>
        <v>#N/A</v>
      </c>
      <c r="O106" s="3">
        <f t="shared" si="12"/>
        <v>137205</v>
      </c>
      <c r="P106">
        <f t="shared" si="13"/>
        <v>18</v>
      </c>
    </row>
    <row r="107" spans="1:16" x14ac:dyDescent="0.25">
      <c r="A107">
        <v>360</v>
      </c>
      <c r="B107">
        <v>38</v>
      </c>
      <c r="C107" t="s">
        <v>12</v>
      </c>
      <c r="D107" s="3">
        <v>40590</v>
      </c>
      <c r="E107">
        <v>91</v>
      </c>
      <c r="F107">
        <v>7</v>
      </c>
      <c r="G107">
        <v>27</v>
      </c>
      <c r="H107" t="s">
        <v>14</v>
      </c>
      <c r="I107">
        <v>617.64</v>
      </c>
      <c r="J107" t="str">
        <f t="shared" si="7"/>
        <v>Low</v>
      </c>
      <c r="K107" s="4">
        <f t="shared" si="8"/>
        <v>40590</v>
      </c>
      <c r="L107">
        <f t="shared" si="9"/>
        <v>91</v>
      </c>
      <c r="M107" s="3" t="e">
        <f t="shared" si="10"/>
        <v>#N/A</v>
      </c>
      <c r="N107" t="e">
        <f t="shared" si="11"/>
        <v>#N/A</v>
      </c>
      <c r="O107" s="3" t="e">
        <f t="shared" si="12"/>
        <v>#N/A</v>
      </c>
      <c r="P107" t="e">
        <f t="shared" si="13"/>
        <v>#N/A</v>
      </c>
    </row>
    <row r="108" spans="1:16" x14ac:dyDescent="0.25">
      <c r="A108">
        <v>390</v>
      </c>
      <c r="B108">
        <v>37</v>
      </c>
      <c r="C108" t="s">
        <v>12</v>
      </c>
      <c r="D108" s="3">
        <v>65343</v>
      </c>
      <c r="E108">
        <v>89</v>
      </c>
      <c r="F108">
        <v>3</v>
      </c>
      <c r="G108">
        <v>2</v>
      </c>
      <c r="H108" t="s">
        <v>14</v>
      </c>
      <c r="I108">
        <v>668.23</v>
      </c>
      <c r="J108" t="str">
        <f t="shared" si="7"/>
        <v>Medium</v>
      </c>
      <c r="K108" s="4" t="e">
        <f t="shared" si="8"/>
        <v>#N/A</v>
      </c>
      <c r="L108" t="e">
        <f t="shared" si="9"/>
        <v>#N/A</v>
      </c>
      <c r="M108" s="3">
        <f t="shared" si="10"/>
        <v>65343</v>
      </c>
      <c r="N108">
        <f t="shared" si="11"/>
        <v>89</v>
      </c>
      <c r="O108" s="3" t="e">
        <f t="shared" si="12"/>
        <v>#N/A</v>
      </c>
      <c r="P108" t="e">
        <f t="shared" si="13"/>
        <v>#N/A</v>
      </c>
    </row>
    <row r="109" spans="1:16" x14ac:dyDescent="0.25">
      <c r="A109">
        <v>425</v>
      </c>
      <c r="B109">
        <v>41</v>
      </c>
      <c r="C109" t="s">
        <v>12</v>
      </c>
      <c r="D109" s="3">
        <v>67039</v>
      </c>
      <c r="E109">
        <v>100</v>
      </c>
      <c r="F109">
        <v>1</v>
      </c>
      <c r="G109">
        <v>36</v>
      </c>
      <c r="H109" t="s">
        <v>14</v>
      </c>
      <c r="I109">
        <v>178.68</v>
      </c>
      <c r="J109" t="str">
        <f t="shared" si="7"/>
        <v>Medium</v>
      </c>
      <c r="K109" s="4" t="e">
        <f t="shared" si="8"/>
        <v>#N/A</v>
      </c>
      <c r="L109" t="e">
        <f t="shared" si="9"/>
        <v>#N/A</v>
      </c>
      <c r="M109" s="3">
        <f t="shared" si="10"/>
        <v>67039</v>
      </c>
      <c r="N109">
        <f t="shared" si="11"/>
        <v>100</v>
      </c>
      <c r="O109" s="3" t="e">
        <f t="shared" si="12"/>
        <v>#N/A</v>
      </c>
      <c r="P109" t="e">
        <f t="shared" si="13"/>
        <v>#N/A</v>
      </c>
    </row>
    <row r="110" spans="1:16" x14ac:dyDescent="0.25">
      <c r="A110">
        <v>429</v>
      </c>
      <c r="B110">
        <v>20</v>
      </c>
      <c r="C110" t="s">
        <v>12</v>
      </c>
      <c r="D110" s="3">
        <v>49308</v>
      </c>
      <c r="E110">
        <v>29</v>
      </c>
      <c r="F110">
        <v>6</v>
      </c>
      <c r="G110">
        <v>19</v>
      </c>
      <c r="H110" t="s">
        <v>14</v>
      </c>
      <c r="I110">
        <v>351.64</v>
      </c>
      <c r="J110" t="str">
        <f t="shared" si="7"/>
        <v>Low</v>
      </c>
      <c r="K110" s="4">
        <f t="shared" si="8"/>
        <v>49308</v>
      </c>
      <c r="L110">
        <f t="shared" si="9"/>
        <v>29</v>
      </c>
      <c r="M110" s="3" t="e">
        <f t="shared" si="10"/>
        <v>#N/A</v>
      </c>
      <c r="N110" t="e">
        <f t="shared" si="11"/>
        <v>#N/A</v>
      </c>
      <c r="O110" s="3" t="e">
        <f t="shared" si="12"/>
        <v>#N/A</v>
      </c>
      <c r="P110" t="e">
        <f t="shared" si="13"/>
        <v>#N/A</v>
      </c>
    </row>
    <row r="111" spans="1:16" x14ac:dyDescent="0.25">
      <c r="A111">
        <v>434</v>
      </c>
      <c r="B111">
        <v>57</v>
      </c>
      <c r="C111" t="s">
        <v>12</v>
      </c>
      <c r="D111" s="3">
        <v>60668</v>
      </c>
      <c r="E111">
        <v>66</v>
      </c>
      <c r="F111">
        <v>6</v>
      </c>
      <c r="G111">
        <v>28</v>
      </c>
      <c r="H111" t="s">
        <v>14</v>
      </c>
      <c r="I111">
        <v>984.6</v>
      </c>
      <c r="J111" t="str">
        <f t="shared" si="7"/>
        <v>Medium</v>
      </c>
      <c r="K111" s="4" t="e">
        <f t="shared" si="8"/>
        <v>#N/A</v>
      </c>
      <c r="L111" t="e">
        <f t="shared" si="9"/>
        <v>#N/A</v>
      </c>
      <c r="M111" s="3">
        <f t="shared" si="10"/>
        <v>60668</v>
      </c>
      <c r="N111">
        <f t="shared" si="11"/>
        <v>66</v>
      </c>
      <c r="O111" s="3" t="e">
        <f t="shared" si="12"/>
        <v>#N/A</v>
      </c>
      <c r="P111" t="e">
        <f t="shared" si="13"/>
        <v>#N/A</v>
      </c>
    </row>
    <row r="112" spans="1:16" x14ac:dyDescent="0.25">
      <c r="A112">
        <v>446</v>
      </c>
      <c r="B112">
        <v>53</v>
      </c>
      <c r="C112" t="s">
        <v>12</v>
      </c>
      <c r="D112" s="3">
        <v>56570</v>
      </c>
      <c r="E112">
        <v>29</v>
      </c>
      <c r="F112">
        <v>7</v>
      </c>
      <c r="G112">
        <v>37</v>
      </c>
      <c r="H112" t="s">
        <v>14</v>
      </c>
      <c r="I112">
        <v>432.65</v>
      </c>
      <c r="J112" t="str">
        <f t="shared" si="7"/>
        <v>Medium</v>
      </c>
      <c r="K112" s="4" t="e">
        <f t="shared" si="8"/>
        <v>#N/A</v>
      </c>
      <c r="L112" t="e">
        <f t="shared" si="9"/>
        <v>#N/A</v>
      </c>
      <c r="M112" s="3">
        <f t="shared" si="10"/>
        <v>56570</v>
      </c>
      <c r="N112">
        <f t="shared" si="11"/>
        <v>29</v>
      </c>
      <c r="O112" s="3" t="e">
        <f t="shared" si="12"/>
        <v>#N/A</v>
      </c>
      <c r="P112" t="e">
        <f t="shared" si="13"/>
        <v>#N/A</v>
      </c>
    </row>
    <row r="113" spans="1:16" x14ac:dyDescent="0.25">
      <c r="A113">
        <v>450</v>
      </c>
      <c r="B113">
        <v>48</v>
      </c>
      <c r="C113" t="s">
        <v>12</v>
      </c>
      <c r="D113" s="3">
        <v>60382</v>
      </c>
      <c r="E113">
        <v>13</v>
      </c>
      <c r="F113">
        <v>3</v>
      </c>
      <c r="G113">
        <v>27</v>
      </c>
      <c r="H113" t="s">
        <v>14</v>
      </c>
      <c r="I113">
        <v>694.59</v>
      </c>
      <c r="J113" t="str">
        <f t="shared" si="7"/>
        <v>Medium</v>
      </c>
      <c r="K113" s="4" t="e">
        <f t="shared" si="8"/>
        <v>#N/A</v>
      </c>
      <c r="L113" t="e">
        <f t="shared" si="9"/>
        <v>#N/A</v>
      </c>
      <c r="M113" s="3">
        <f t="shared" si="10"/>
        <v>60382</v>
      </c>
      <c r="N113">
        <f t="shared" si="11"/>
        <v>13</v>
      </c>
      <c r="O113" s="3" t="e">
        <f t="shared" si="12"/>
        <v>#N/A</v>
      </c>
      <c r="P113" t="e">
        <f t="shared" si="13"/>
        <v>#N/A</v>
      </c>
    </row>
    <row r="114" spans="1:16" x14ac:dyDescent="0.25">
      <c r="A114">
        <v>453</v>
      </c>
      <c r="B114">
        <v>30</v>
      </c>
      <c r="C114" t="s">
        <v>12</v>
      </c>
      <c r="D114" s="3">
        <v>35565</v>
      </c>
      <c r="E114">
        <v>83</v>
      </c>
      <c r="F114">
        <v>8</v>
      </c>
      <c r="G114">
        <v>17</v>
      </c>
      <c r="H114" t="s">
        <v>14</v>
      </c>
      <c r="I114">
        <v>238.79</v>
      </c>
      <c r="J114" t="str">
        <f t="shared" si="7"/>
        <v>Low</v>
      </c>
      <c r="K114" s="4">
        <f t="shared" si="8"/>
        <v>35565</v>
      </c>
      <c r="L114">
        <f t="shared" si="9"/>
        <v>83</v>
      </c>
      <c r="M114" s="3" t="e">
        <f t="shared" si="10"/>
        <v>#N/A</v>
      </c>
      <c r="N114" t="e">
        <f t="shared" si="11"/>
        <v>#N/A</v>
      </c>
      <c r="O114" s="3" t="e">
        <f t="shared" si="12"/>
        <v>#N/A</v>
      </c>
      <c r="P114" t="e">
        <f t="shared" si="13"/>
        <v>#N/A</v>
      </c>
    </row>
    <row r="115" spans="1:16" x14ac:dyDescent="0.25">
      <c r="A115">
        <v>503</v>
      </c>
      <c r="B115">
        <v>22</v>
      </c>
      <c r="C115" t="s">
        <v>12</v>
      </c>
      <c r="D115" s="3">
        <v>75626</v>
      </c>
      <c r="E115">
        <v>52</v>
      </c>
      <c r="F115">
        <v>7</v>
      </c>
      <c r="G115">
        <v>34</v>
      </c>
      <c r="H115" t="s">
        <v>14</v>
      </c>
      <c r="I115">
        <v>154.66999999999999</v>
      </c>
      <c r="J115" t="str">
        <f t="shared" si="7"/>
        <v>Medium</v>
      </c>
      <c r="K115" s="4" t="e">
        <f t="shared" si="8"/>
        <v>#N/A</v>
      </c>
      <c r="L115" t="e">
        <f t="shared" si="9"/>
        <v>#N/A</v>
      </c>
      <c r="M115" s="3">
        <f t="shared" si="10"/>
        <v>75626</v>
      </c>
      <c r="N115">
        <f t="shared" si="11"/>
        <v>52</v>
      </c>
      <c r="O115" s="3" t="e">
        <f t="shared" si="12"/>
        <v>#N/A</v>
      </c>
      <c r="P115" t="e">
        <f t="shared" si="13"/>
        <v>#N/A</v>
      </c>
    </row>
    <row r="116" spans="1:16" x14ac:dyDescent="0.25">
      <c r="A116">
        <v>505</v>
      </c>
      <c r="B116">
        <v>22</v>
      </c>
      <c r="C116" t="s">
        <v>12</v>
      </c>
      <c r="D116" s="3">
        <v>53863</v>
      </c>
      <c r="E116">
        <v>96</v>
      </c>
      <c r="F116">
        <v>10</v>
      </c>
      <c r="G116">
        <v>41</v>
      </c>
      <c r="H116" t="s">
        <v>14</v>
      </c>
      <c r="I116">
        <v>491.64</v>
      </c>
      <c r="J116" t="str">
        <f t="shared" si="7"/>
        <v>Medium</v>
      </c>
      <c r="K116" s="4" t="e">
        <f t="shared" si="8"/>
        <v>#N/A</v>
      </c>
      <c r="L116" t="e">
        <f t="shared" si="9"/>
        <v>#N/A</v>
      </c>
      <c r="M116" s="3">
        <f t="shared" si="10"/>
        <v>53863</v>
      </c>
      <c r="N116">
        <f t="shared" si="11"/>
        <v>96</v>
      </c>
      <c r="O116" s="3" t="e">
        <f t="shared" si="12"/>
        <v>#N/A</v>
      </c>
      <c r="P116" t="e">
        <f t="shared" si="13"/>
        <v>#N/A</v>
      </c>
    </row>
    <row r="117" spans="1:16" x14ac:dyDescent="0.25">
      <c r="A117">
        <v>520</v>
      </c>
      <c r="B117">
        <v>38</v>
      </c>
      <c r="C117" t="s">
        <v>12</v>
      </c>
      <c r="D117" s="3">
        <v>54918</v>
      </c>
      <c r="E117">
        <v>1</v>
      </c>
      <c r="F117">
        <v>6</v>
      </c>
      <c r="G117">
        <v>6</v>
      </c>
      <c r="H117" t="s">
        <v>14</v>
      </c>
      <c r="I117">
        <v>979.26</v>
      </c>
      <c r="J117" t="str">
        <f t="shared" si="7"/>
        <v>Medium</v>
      </c>
      <c r="K117" s="4" t="e">
        <f t="shared" si="8"/>
        <v>#N/A</v>
      </c>
      <c r="L117" t="e">
        <f t="shared" si="9"/>
        <v>#N/A</v>
      </c>
      <c r="M117" s="3">
        <f t="shared" si="10"/>
        <v>54918</v>
      </c>
      <c r="N117">
        <f t="shared" si="11"/>
        <v>1</v>
      </c>
      <c r="O117" s="3" t="e">
        <f t="shared" si="12"/>
        <v>#N/A</v>
      </c>
      <c r="P117" t="e">
        <f t="shared" si="13"/>
        <v>#N/A</v>
      </c>
    </row>
    <row r="118" spans="1:16" x14ac:dyDescent="0.25">
      <c r="A118">
        <v>539</v>
      </c>
      <c r="B118">
        <v>27</v>
      </c>
      <c r="C118" t="s">
        <v>12</v>
      </c>
      <c r="D118" s="3">
        <v>73823</v>
      </c>
      <c r="E118">
        <v>11</v>
      </c>
      <c r="F118">
        <v>8</v>
      </c>
      <c r="G118">
        <v>23</v>
      </c>
      <c r="H118" t="s">
        <v>14</v>
      </c>
      <c r="I118">
        <v>27.4</v>
      </c>
      <c r="J118" t="str">
        <f t="shared" si="7"/>
        <v>Medium</v>
      </c>
      <c r="K118" s="4" t="e">
        <f t="shared" si="8"/>
        <v>#N/A</v>
      </c>
      <c r="L118" t="e">
        <f t="shared" si="9"/>
        <v>#N/A</v>
      </c>
      <c r="M118" s="3">
        <f t="shared" si="10"/>
        <v>73823</v>
      </c>
      <c r="N118">
        <f t="shared" si="11"/>
        <v>11</v>
      </c>
      <c r="O118" s="3" t="e">
        <f t="shared" si="12"/>
        <v>#N/A</v>
      </c>
      <c r="P118" t="e">
        <f t="shared" si="13"/>
        <v>#N/A</v>
      </c>
    </row>
    <row r="119" spans="1:16" x14ac:dyDescent="0.25">
      <c r="A119">
        <v>551</v>
      </c>
      <c r="B119">
        <v>50</v>
      </c>
      <c r="C119" t="s">
        <v>12</v>
      </c>
      <c r="D119" s="3">
        <v>43965</v>
      </c>
      <c r="E119">
        <v>83</v>
      </c>
      <c r="F119">
        <v>3</v>
      </c>
      <c r="G119">
        <v>17</v>
      </c>
      <c r="H119" t="s">
        <v>14</v>
      </c>
      <c r="I119">
        <v>83.38</v>
      </c>
      <c r="J119" t="str">
        <f t="shared" si="7"/>
        <v>Low</v>
      </c>
      <c r="K119" s="4">
        <f t="shared" si="8"/>
        <v>43965</v>
      </c>
      <c r="L119">
        <f t="shared" si="9"/>
        <v>83</v>
      </c>
      <c r="M119" s="3" t="e">
        <f t="shared" si="10"/>
        <v>#N/A</v>
      </c>
      <c r="N119" t="e">
        <f t="shared" si="11"/>
        <v>#N/A</v>
      </c>
      <c r="O119" s="3" t="e">
        <f t="shared" si="12"/>
        <v>#N/A</v>
      </c>
      <c r="P119" t="e">
        <f t="shared" si="13"/>
        <v>#N/A</v>
      </c>
    </row>
    <row r="120" spans="1:16" x14ac:dyDescent="0.25">
      <c r="A120">
        <v>572</v>
      </c>
      <c r="B120">
        <v>19</v>
      </c>
      <c r="C120" t="s">
        <v>12</v>
      </c>
      <c r="D120" s="3">
        <v>134193</v>
      </c>
      <c r="E120">
        <v>95</v>
      </c>
      <c r="F120">
        <v>7</v>
      </c>
      <c r="G120">
        <v>44</v>
      </c>
      <c r="H120" t="s">
        <v>14</v>
      </c>
      <c r="I120">
        <v>97.65</v>
      </c>
      <c r="J120" t="str">
        <f t="shared" si="7"/>
        <v>High</v>
      </c>
      <c r="K120" s="4" t="e">
        <f t="shared" si="8"/>
        <v>#N/A</v>
      </c>
      <c r="L120" t="e">
        <f t="shared" si="9"/>
        <v>#N/A</v>
      </c>
      <c r="M120" s="3" t="e">
        <f t="shared" si="10"/>
        <v>#N/A</v>
      </c>
      <c r="N120" t="e">
        <f t="shared" si="11"/>
        <v>#N/A</v>
      </c>
      <c r="O120" s="3">
        <f t="shared" si="12"/>
        <v>134193</v>
      </c>
      <c r="P120">
        <f t="shared" si="13"/>
        <v>95</v>
      </c>
    </row>
    <row r="121" spans="1:16" x14ac:dyDescent="0.25">
      <c r="A121">
        <v>578</v>
      </c>
      <c r="B121">
        <v>64</v>
      </c>
      <c r="C121" t="s">
        <v>12</v>
      </c>
      <c r="D121" s="3">
        <v>43175</v>
      </c>
      <c r="E121">
        <v>59</v>
      </c>
      <c r="F121">
        <v>10</v>
      </c>
      <c r="G121">
        <v>35</v>
      </c>
      <c r="H121" t="s">
        <v>14</v>
      </c>
      <c r="I121">
        <v>363.86</v>
      </c>
      <c r="J121" t="str">
        <f t="shared" si="7"/>
        <v>Low</v>
      </c>
      <c r="K121" s="4">
        <f t="shared" si="8"/>
        <v>43175</v>
      </c>
      <c r="L121">
        <f t="shared" si="9"/>
        <v>59</v>
      </c>
      <c r="M121" s="3" t="e">
        <f t="shared" si="10"/>
        <v>#N/A</v>
      </c>
      <c r="N121" t="e">
        <f t="shared" si="11"/>
        <v>#N/A</v>
      </c>
      <c r="O121" s="3" t="e">
        <f t="shared" si="12"/>
        <v>#N/A</v>
      </c>
      <c r="P121" t="e">
        <f t="shared" si="13"/>
        <v>#N/A</v>
      </c>
    </row>
    <row r="122" spans="1:16" x14ac:dyDescent="0.25">
      <c r="A122">
        <v>582</v>
      </c>
      <c r="B122">
        <v>19</v>
      </c>
      <c r="C122" t="s">
        <v>12</v>
      </c>
      <c r="D122" s="3">
        <v>135968</v>
      </c>
      <c r="E122">
        <v>50</v>
      </c>
      <c r="F122">
        <v>4</v>
      </c>
      <c r="G122">
        <v>49</v>
      </c>
      <c r="H122" t="s">
        <v>14</v>
      </c>
      <c r="I122">
        <v>174.43</v>
      </c>
      <c r="J122" t="str">
        <f t="shared" si="7"/>
        <v>High</v>
      </c>
      <c r="K122" s="4" t="e">
        <f t="shared" si="8"/>
        <v>#N/A</v>
      </c>
      <c r="L122" t="e">
        <f t="shared" si="9"/>
        <v>#N/A</v>
      </c>
      <c r="M122" s="3" t="e">
        <f t="shared" si="10"/>
        <v>#N/A</v>
      </c>
      <c r="N122" t="e">
        <f t="shared" si="11"/>
        <v>#N/A</v>
      </c>
      <c r="O122" s="3">
        <f t="shared" si="12"/>
        <v>135968</v>
      </c>
      <c r="P122">
        <f t="shared" si="13"/>
        <v>50</v>
      </c>
    </row>
    <row r="123" spans="1:16" x14ac:dyDescent="0.25">
      <c r="A123">
        <v>591</v>
      </c>
      <c r="B123">
        <v>53</v>
      </c>
      <c r="C123" t="s">
        <v>12</v>
      </c>
      <c r="D123" s="3">
        <v>108263</v>
      </c>
      <c r="E123">
        <v>21</v>
      </c>
      <c r="F123">
        <v>1</v>
      </c>
      <c r="G123">
        <v>47</v>
      </c>
      <c r="H123" t="s">
        <v>14</v>
      </c>
      <c r="I123">
        <v>734.48</v>
      </c>
      <c r="J123" t="str">
        <f t="shared" si="7"/>
        <v>High</v>
      </c>
      <c r="K123" s="4" t="e">
        <f t="shared" si="8"/>
        <v>#N/A</v>
      </c>
      <c r="L123" t="e">
        <f t="shared" si="9"/>
        <v>#N/A</v>
      </c>
      <c r="M123" s="3" t="e">
        <f t="shared" si="10"/>
        <v>#N/A</v>
      </c>
      <c r="N123" t="e">
        <f t="shared" si="11"/>
        <v>#N/A</v>
      </c>
      <c r="O123" s="3">
        <f t="shared" si="12"/>
        <v>108263</v>
      </c>
      <c r="P123">
        <f t="shared" si="13"/>
        <v>21</v>
      </c>
    </row>
    <row r="124" spans="1:16" x14ac:dyDescent="0.25">
      <c r="A124">
        <v>602</v>
      </c>
      <c r="B124">
        <v>20</v>
      </c>
      <c r="C124" t="s">
        <v>12</v>
      </c>
      <c r="D124" s="3">
        <v>145924</v>
      </c>
      <c r="E124">
        <v>64</v>
      </c>
      <c r="F124">
        <v>5</v>
      </c>
      <c r="G124">
        <v>18</v>
      </c>
      <c r="H124" t="s">
        <v>14</v>
      </c>
      <c r="I124">
        <v>495.49</v>
      </c>
      <c r="J124" t="str">
        <f t="shared" si="7"/>
        <v>High</v>
      </c>
      <c r="K124" s="4" t="e">
        <f t="shared" si="8"/>
        <v>#N/A</v>
      </c>
      <c r="L124" t="e">
        <f t="shared" si="9"/>
        <v>#N/A</v>
      </c>
      <c r="M124" s="3" t="e">
        <f t="shared" si="10"/>
        <v>#N/A</v>
      </c>
      <c r="N124" t="e">
        <f t="shared" si="11"/>
        <v>#N/A</v>
      </c>
      <c r="O124" s="3">
        <f t="shared" si="12"/>
        <v>145924</v>
      </c>
      <c r="P124">
        <f t="shared" si="13"/>
        <v>64</v>
      </c>
    </row>
    <row r="125" spans="1:16" x14ac:dyDescent="0.25">
      <c r="A125">
        <v>615</v>
      </c>
      <c r="B125">
        <v>69</v>
      </c>
      <c r="C125" t="s">
        <v>12</v>
      </c>
      <c r="D125" s="3">
        <v>141965</v>
      </c>
      <c r="E125">
        <v>98</v>
      </c>
      <c r="F125">
        <v>5</v>
      </c>
      <c r="G125">
        <v>35</v>
      </c>
      <c r="H125" t="s">
        <v>14</v>
      </c>
      <c r="I125">
        <v>616.66</v>
      </c>
      <c r="J125" t="str">
        <f t="shared" si="7"/>
        <v>High</v>
      </c>
      <c r="K125" s="4" t="e">
        <f t="shared" si="8"/>
        <v>#N/A</v>
      </c>
      <c r="L125" t="e">
        <f t="shared" si="9"/>
        <v>#N/A</v>
      </c>
      <c r="M125" s="3" t="e">
        <f t="shared" si="10"/>
        <v>#N/A</v>
      </c>
      <c r="N125" t="e">
        <f t="shared" si="11"/>
        <v>#N/A</v>
      </c>
      <c r="O125" s="3">
        <f t="shared" si="12"/>
        <v>141965</v>
      </c>
      <c r="P125">
        <f t="shared" si="13"/>
        <v>98</v>
      </c>
    </row>
    <row r="126" spans="1:16" x14ac:dyDescent="0.25">
      <c r="A126">
        <v>621</v>
      </c>
      <c r="B126">
        <v>20</v>
      </c>
      <c r="C126" t="s">
        <v>12</v>
      </c>
      <c r="D126" s="3">
        <v>122028</v>
      </c>
      <c r="E126">
        <v>40</v>
      </c>
      <c r="F126">
        <v>3</v>
      </c>
      <c r="G126">
        <v>6</v>
      </c>
      <c r="H126" t="s">
        <v>14</v>
      </c>
      <c r="I126">
        <v>777.44</v>
      </c>
      <c r="J126" t="str">
        <f t="shared" si="7"/>
        <v>High</v>
      </c>
      <c r="K126" s="4" t="e">
        <f t="shared" si="8"/>
        <v>#N/A</v>
      </c>
      <c r="L126" t="e">
        <f t="shared" si="9"/>
        <v>#N/A</v>
      </c>
      <c r="M126" s="3" t="e">
        <f t="shared" si="10"/>
        <v>#N/A</v>
      </c>
      <c r="N126" t="e">
        <f t="shared" si="11"/>
        <v>#N/A</v>
      </c>
      <c r="O126" s="3">
        <f t="shared" si="12"/>
        <v>122028</v>
      </c>
      <c r="P126">
        <f t="shared" si="13"/>
        <v>40</v>
      </c>
    </row>
    <row r="127" spans="1:16" x14ac:dyDescent="0.25">
      <c r="A127">
        <v>646</v>
      </c>
      <c r="B127">
        <v>62</v>
      </c>
      <c r="C127" t="s">
        <v>12</v>
      </c>
      <c r="D127" s="3">
        <v>113856</v>
      </c>
      <c r="E127">
        <v>78</v>
      </c>
      <c r="F127">
        <v>6</v>
      </c>
      <c r="G127">
        <v>50</v>
      </c>
      <c r="H127" t="s">
        <v>14</v>
      </c>
      <c r="I127">
        <v>720.47</v>
      </c>
      <c r="J127" t="str">
        <f t="shared" si="7"/>
        <v>High</v>
      </c>
      <c r="K127" s="4" t="e">
        <f t="shared" si="8"/>
        <v>#N/A</v>
      </c>
      <c r="L127" t="e">
        <f t="shared" si="9"/>
        <v>#N/A</v>
      </c>
      <c r="M127" s="3" t="e">
        <f t="shared" si="10"/>
        <v>#N/A</v>
      </c>
      <c r="N127" t="e">
        <f t="shared" si="11"/>
        <v>#N/A</v>
      </c>
      <c r="O127" s="3">
        <f t="shared" si="12"/>
        <v>113856</v>
      </c>
      <c r="P127">
        <f t="shared" si="13"/>
        <v>78</v>
      </c>
    </row>
    <row r="128" spans="1:16" x14ac:dyDescent="0.25">
      <c r="A128">
        <v>657</v>
      </c>
      <c r="B128">
        <v>27</v>
      </c>
      <c r="C128" t="s">
        <v>12</v>
      </c>
      <c r="D128" s="3">
        <v>81110</v>
      </c>
      <c r="E128">
        <v>44</v>
      </c>
      <c r="F128">
        <v>6</v>
      </c>
      <c r="G128">
        <v>8</v>
      </c>
      <c r="H128" t="s">
        <v>14</v>
      </c>
      <c r="I128">
        <v>654.04999999999995</v>
      </c>
      <c r="J128" t="str">
        <f t="shared" si="7"/>
        <v>Medium</v>
      </c>
      <c r="K128" s="4" t="e">
        <f t="shared" si="8"/>
        <v>#N/A</v>
      </c>
      <c r="L128" t="e">
        <f t="shared" si="9"/>
        <v>#N/A</v>
      </c>
      <c r="M128" s="3">
        <f t="shared" si="10"/>
        <v>81110</v>
      </c>
      <c r="N128">
        <f t="shared" si="11"/>
        <v>44</v>
      </c>
      <c r="O128" s="3" t="e">
        <f t="shared" si="12"/>
        <v>#N/A</v>
      </c>
      <c r="P128" t="e">
        <f t="shared" si="13"/>
        <v>#N/A</v>
      </c>
    </row>
    <row r="129" spans="1:16" x14ac:dyDescent="0.25">
      <c r="A129">
        <v>682</v>
      </c>
      <c r="B129">
        <v>61</v>
      </c>
      <c r="C129" t="s">
        <v>12</v>
      </c>
      <c r="D129" s="3">
        <v>136973</v>
      </c>
      <c r="E129">
        <v>27</v>
      </c>
      <c r="F129">
        <v>7</v>
      </c>
      <c r="G129">
        <v>2</v>
      </c>
      <c r="H129" t="s">
        <v>14</v>
      </c>
      <c r="I129">
        <v>269.2</v>
      </c>
      <c r="J129" t="str">
        <f t="shared" si="7"/>
        <v>High</v>
      </c>
      <c r="K129" s="4" t="e">
        <f t="shared" si="8"/>
        <v>#N/A</v>
      </c>
      <c r="L129" t="e">
        <f t="shared" si="9"/>
        <v>#N/A</v>
      </c>
      <c r="M129" s="3" t="e">
        <f t="shared" si="10"/>
        <v>#N/A</v>
      </c>
      <c r="N129" t="e">
        <f t="shared" si="11"/>
        <v>#N/A</v>
      </c>
      <c r="O129" s="3">
        <f t="shared" si="12"/>
        <v>136973</v>
      </c>
      <c r="P129">
        <f t="shared" si="13"/>
        <v>27</v>
      </c>
    </row>
    <row r="130" spans="1:16" x14ac:dyDescent="0.25">
      <c r="A130">
        <v>692</v>
      </c>
      <c r="B130">
        <v>23</v>
      </c>
      <c r="C130" t="s">
        <v>12</v>
      </c>
      <c r="D130" s="3">
        <v>57558</v>
      </c>
      <c r="E130">
        <v>28</v>
      </c>
      <c r="F130">
        <v>6</v>
      </c>
      <c r="G130">
        <v>23</v>
      </c>
      <c r="H130" t="s">
        <v>14</v>
      </c>
      <c r="I130">
        <v>800.78</v>
      </c>
      <c r="J130" t="str">
        <f t="shared" ref="J130:J193" si="14">IF(D130&lt;50000,"Low",IF(D130&lt;100000,"Medium","High"))</f>
        <v>Medium</v>
      </c>
      <c r="K130" s="4" t="e">
        <f t="shared" ref="K130:K193" si="15">IF($J130="Low",$D130,NA())</f>
        <v>#N/A</v>
      </c>
      <c r="L130" t="e">
        <f t="shared" ref="L130:L193" si="16">IF($J130="Low",$E130,NA())</f>
        <v>#N/A</v>
      </c>
      <c r="M130" s="3">
        <f t="shared" ref="M130:M193" si="17">IF($J130="Medium",$D130,NA())</f>
        <v>57558</v>
      </c>
      <c r="N130">
        <f t="shared" ref="N130:N193" si="18">IF($J130="Medium",$E130,NA())</f>
        <v>28</v>
      </c>
      <c r="O130" s="3" t="e">
        <f t="shared" ref="O130:O193" si="19">IF($J130="High",$D130,NA())</f>
        <v>#N/A</v>
      </c>
      <c r="P130" t="e">
        <f t="shared" ref="P130:P193" si="20">IF($J130="High",$E130,NA())</f>
        <v>#N/A</v>
      </c>
    </row>
    <row r="131" spans="1:16" x14ac:dyDescent="0.25">
      <c r="A131">
        <v>695</v>
      </c>
      <c r="B131">
        <v>45</v>
      </c>
      <c r="C131" t="s">
        <v>12</v>
      </c>
      <c r="D131" s="3">
        <v>53474</v>
      </c>
      <c r="E131">
        <v>79</v>
      </c>
      <c r="F131">
        <v>8</v>
      </c>
      <c r="G131">
        <v>21</v>
      </c>
      <c r="H131" t="s">
        <v>14</v>
      </c>
      <c r="I131">
        <v>40.32</v>
      </c>
      <c r="J131" t="str">
        <f t="shared" si="14"/>
        <v>Medium</v>
      </c>
      <c r="K131" s="4" t="e">
        <f t="shared" si="15"/>
        <v>#N/A</v>
      </c>
      <c r="L131" t="e">
        <f t="shared" si="16"/>
        <v>#N/A</v>
      </c>
      <c r="M131" s="3">
        <f t="shared" si="17"/>
        <v>53474</v>
      </c>
      <c r="N131">
        <f t="shared" si="18"/>
        <v>79</v>
      </c>
      <c r="O131" s="3" t="e">
        <f t="shared" si="19"/>
        <v>#N/A</v>
      </c>
      <c r="P131" t="e">
        <f t="shared" si="20"/>
        <v>#N/A</v>
      </c>
    </row>
    <row r="132" spans="1:16" x14ac:dyDescent="0.25">
      <c r="A132">
        <v>700</v>
      </c>
      <c r="B132">
        <v>31</v>
      </c>
      <c r="C132" t="s">
        <v>12</v>
      </c>
      <c r="D132" s="3">
        <v>33604</v>
      </c>
      <c r="E132">
        <v>8</v>
      </c>
      <c r="F132">
        <v>5</v>
      </c>
      <c r="G132">
        <v>2</v>
      </c>
      <c r="H132" t="s">
        <v>14</v>
      </c>
      <c r="I132">
        <v>984.15</v>
      </c>
      <c r="J132" t="str">
        <f t="shared" si="14"/>
        <v>Low</v>
      </c>
      <c r="K132" s="4">
        <f t="shared" si="15"/>
        <v>33604</v>
      </c>
      <c r="L132">
        <f t="shared" si="16"/>
        <v>8</v>
      </c>
      <c r="M132" s="3" t="e">
        <f t="shared" si="17"/>
        <v>#N/A</v>
      </c>
      <c r="N132" t="e">
        <f t="shared" si="18"/>
        <v>#N/A</v>
      </c>
      <c r="O132" s="3" t="e">
        <f t="shared" si="19"/>
        <v>#N/A</v>
      </c>
      <c r="P132" t="e">
        <f t="shared" si="20"/>
        <v>#N/A</v>
      </c>
    </row>
    <row r="133" spans="1:16" x14ac:dyDescent="0.25">
      <c r="A133">
        <v>733</v>
      </c>
      <c r="B133">
        <v>49</v>
      </c>
      <c r="C133" t="s">
        <v>12</v>
      </c>
      <c r="D133" s="3">
        <v>56707</v>
      </c>
      <c r="E133">
        <v>6</v>
      </c>
      <c r="F133">
        <v>8</v>
      </c>
      <c r="G133">
        <v>29</v>
      </c>
      <c r="H133" t="s">
        <v>14</v>
      </c>
      <c r="I133">
        <v>604.53</v>
      </c>
      <c r="J133" t="str">
        <f t="shared" si="14"/>
        <v>Medium</v>
      </c>
      <c r="K133" s="4" t="e">
        <f t="shared" si="15"/>
        <v>#N/A</v>
      </c>
      <c r="L133" t="e">
        <f t="shared" si="16"/>
        <v>#N/A</v>
      </c>
      <c r="M133" s="3">
        <f t="shared" si="17"/>
        <v>56707</v>
      </c>
      <c r="N133">
        <f t="shared" si="18"/>
        <v>6</v>
      </c>
      <c r="O133" s="3" t="e">
        <f t="shared" si="19"/>
        <v>#N/A</v>
      </c>
      <c r="P133" t="e">
        <f t="shared" si="20"/>
        <v>#N/A</v>
      </c>
    </row>
    <row r="134" spans="1:16" x14ac:dyDescent="0.25">
      <c r="A134">
        <v>739</v>
      </c>
      <c r="B134">
        <v>61</v>
      </c>
      <c r="C134" t="s">
        <v>12</v>
      </c>
      <c r="D134" s="3">
        <v>113380</v>
      </c>
      <c r="E134">
        <v>27</v>
      </c>
      <c r="F134">
        <v>2</v>
      </c>
      <c r="G134">
        <v>17</v>
      </c>
      <c r="H134" t="s">
        <v>14</v>
      </c>
      <c r="I134">
        <v>177.5</v>
      </c>
      <c r="J134" t="str">
        <f t="shared" si="14"/>
        <v>High</v>
      </c>
      <c r="K134" s="4" t="e">
        <f t="shared" si="15"/>
        <v>#N/A</v>
      </c>
      <c r="L134" t="e">
        <f t="shared" si="16"/>
        <v>#N/A</v>
      </c>
      <c r="M134" s="3" t="e">
        <f t="shared" si="17"/>
        <v>#N/A</v>
      </c>
      <c r="N134" t="e">
        <f t="shared" si="18"/>
        <v>#N/A</v>
      </c>
      <c r="O134" s="3">
        <f t="shared" si="19"/>
        <v>113380</v>
      </c>
      <c r="P134">
        <f t="shared" si="20"/>
        <v>27</v>
      </c>
    </row>
    <row r="135" spans="1:16" x14ac:dyDescent="0.25">
      <c r="A135">
        <v>744</v>
      </c>
      <c r="B135">
        <v>56</v>
      </c>
      <c r="C135" t="s">
        <v>12</v>
      </c>
      <c r="D135" s="3">
        <v>90816</v>
      </c>
      <c r="E135">
        <v>20</v>
      </c>
      <c r="F135">
        <v>10</v>
      </c>
      <c r="G135">
        <v>35</v>
      </c>
      <c r="H135" t="s">
        <v>14</v>
      </c>
      <c r="I135">
        <v>808.16</v>
      </c>
      <c r="J135" t="str">
        <f t="shared" si="14"/>
        <v>Medium</v>
      </c>
      <c r="K135" s="4" t="e">
        <f t="shared" si="15"/>
        <v>#N/A</v>
      </c>
      <c r="L135" t="e">
        <f t="shared" si="16"/>
        <v>#N/A</v>
      </c>
      <c r="M135" s="3">
        <f t="shared" si="17"/>
        <v>90816</v>
      </c>
      <c r="N135">
        <f t="shared" si="18"/>
        <v>20</v>
      </c>
      <c r="O135" s="3" t="e">
        <f t="shared" si="19"/>
        <v>#N/A</v>
      </c>
      <c r="P135" t="e">
        <f t="shared" si="20"/>
        <v>#N/A</v>
      </c>
    </row>
    <row r="136" spans="1:16" x14ac:dyDescent="0.25">
      <c r="A136">
        <v>746</v>
      </c>
      <c r="B136">
        <v>60</v>
      </c>
      <c r="C136" t="s">
        <v>12</v>
      </c>
      <c r="D136" s="3">
        <v>34657</v>
      </c>
      <c r="E136">
        <v>99</v>
      </c>
      <c r="F136">
        <v>10</v>
      </c>
      <c r="G136">
        <v>3</v>
      </c>
      <c r="H136" t="s">
        <v>14</v>
      </c>
      <c r="I136">
        <v>983.3</v>
      </c>
      <c r="J136" t="str">
        <f t="shared" si="14"/>
        <v>Low</v>
      </c>
      <c r="K136" s="4">
        <f t="shared" si="15"/>
        <v>34657</v>
      </c>
      <c r="L136">
        <f t="shared" si="16"/>
        <v>99</v>
      </c>
      <c r="M136" s="3" t="e">
        <f t="shared" si="17"/>
        <v>#N/A</v>
      </c>
      <c r="N136" t="e">
        <f t="shared" si="18"/>
        <v>#N/A</v>
      </c>
      <c r="O136" s="3" t="e">
        <f t="shared" si="19"/>
        <v>#N/A</v>
      </c>
      <c r="P136" t="e">
        <f t="shared" si="20"/>
        <v>#N/A</v>
      </c>
    </row>
    <row r="137" spans="1:16" x14ac:dyDescent="0.25">
      <c r="A137">
        <v>782</v>
      </c>
      <c r="B137">
        <v>22</v>
      </c>
      <c r="C137" t="s">
        <v>12</v>
      </c>
      <c r="D137" s="3">
        <v>118840</v>
      </c>
      <c r="E137">
        <v>32</v>
      </c>
      <c r="F137">
        <v>9</v>
      </c>
      <c r="G137">
        <v>9</v>
      </c>
      <c r="H137" t="s">
        <v>14</v>
      </c>
      <c r="I137">
        <v>819.14</v>
      </c>
      <c r="J137" t="str">
        <f t="shared" si="14"/>
        <v>High</v>
      </c>
      <c r="K137" s="4" t="e">
        <f t="shared" si="15"/>
        <v>#N/A</v>
      </c>
      <c r="L137" t="e">
        <f t="shared" si="16"/>
        <v>#N/A</v>
      </c>
      <c r="M137" s="3" t="e">
        <f t="shared" si="17"/>
        <v>#N/A</v>
      </c>
      <c r="N137" t="e">
        <f t="shared" si="18"/>
        <v>#N/A</v>
      </c>
      <c r="O137" s="3">
        <f t="shared" si="19"/>
        <v>118840</v>
      </c>
      <c r="P137">
        <f t="shared" si="20"/>
        <v>32</v>
      </c>
    </row>
    <row r="138" spans="1:16" x14ac:dyDescent="0.25">
      <c r="A138">
        <v>794</v>
      </c>
      <c r="B138">
        <v>50</v>
      </c>
      <c r="C138" t="s">
        <v>12</v>
      </c>
      <c r="D138" s="3">
        <v>103921</v>
      </c>
      <c r="E138">
        <v>58</v>
      </c>
      <c r="F138">
        <v>2</v>
      </c>
      <c r="G138">
        <v>3</v>
      </c>
      <c r="H138" t="s">
        <v>14</v>
      </c>
      <c r="I138">
        <v>687.32</v>
      </c>
      <c r="J138" t="str">
        <f t="shared" si="14"/>
        <v>High</v>
      </c>
      <c r="K138" s="4" t="e">
        <f t="shared" si="15"/>
        <v>#N/A</v>
      </c>
      <c r="L138" t="e">
        <f t="shared" si="16"/>
        <v>#N/A</v>
      </c>
      <c r="M138" s="3" t="e">
        <f t="shared" si="17"/>
        <v>#N/A</v>
      </c>
      <c r="N138" t="e">
        <f t="shared" si="18"/>
        <v>#N/A</v>
      </c>
      <c r="O138" s="3">
        <f t="shared" si="19"/>
        <v>103921</v>
      </c>
      <c r="P138">
        <f t="shared" si="20"/>
        <v>58</v>
      </c>
    </row>
    <row r="139" spans="1:16" x14ac:dyDescent="0.25">
      <c r="A139">
        <v>810</v>
      </c>
      <c r="B139">
        <v>35</v>
      </c>
      <c r="C139" t="s">
        <v>12</v>
      </c>
      <c r="D139" s="3">
        <v>83547</v>
      </c>
      <c r="E139">
        <v>27</v>
      </c>
      <c r="F139">
        <v>7</v>
      </c>
      <c r="G139">
        <v>40</v>
      </c>
      <c r="H139" t="s">
        <v>14</v>
      </c>
      <c r="I139">
        <v>570.08000000000004</v>
      </c>
      <c r="J139" t="str">
        <f t="shared" si="14"/>
        <v>Medium</v>
      </c>
      <c r="K139" s="4" t="e">
        <f t="shared" si="15"/>
        <v>#N/A</v>
      </c>
      <c r="L139" t="e">
        <f t="shared" si="16"/>
        <v>#N/A</v>
      </c>
      <c r="M139" s="3">
        <f t="shared" si="17"/>
        <v>83547</v>
      </c>
      <c r="N139">
        <f t="shared" si="18"/>
        <v>27</v>
      </c>
      <c r="O139" s="3" t="e">
        <f t="shared" si="19"/>
        <v>#N/A</v>
      </c>
      <c r="P139" t="e">
        <f t="shared" si="20"/>
        <v>#N/A</v>
      </c>
    </row>
    <row r="140" spans="1:16" x14ac:dyDescent="0.25">
      <c r="A140">
        <v>828</v>
      </c>
      <c r="B140">
        <v>34</v>
      </c>
      <c r="C140" t="s">
        <v>12</v>
      </c>
      <c r="D140" s="3">
        <v>43316</v>
      </c>
      <c r="E140">
        <v>72</v>
      </c>
      <c r="F140">
        <v>7</v>
      </c>
      <c r="G140">
        <v>13</v>
      </c>
      <c r="H140" t="s">
        <v>14</v>
      </c>
      <c r="I140">
        <v>274.88</v>
      </c>
      <c r="J140" t="str">
        <f t="shared" si="14"/>
        <v>Low</v>
      </c>
      <c r="K140" s="4">
        <f t="shared" si="15"/>
        <v>43316</v>
      </c>
      <c r="L140">
        <f t="shared" si="16"/>
        <v>72</v>
      </c>
      <c r="M140" s="3" t="e">
        <f t="shared" si="17"/>
        <v>#N/A</v>
      </c>
      <c r="N140" t="e">
        <f t="shared" si="18"/>
        <v>#N/A</v>
      </c>
      <c r="O140" s="3" t="e">
        <f t="shared" si="19"/>
        <v>#N/A</v>
      </c>
      <c r="P140" t="e">
        <f t="shared" si="20"/>
        <v>#N/A</v>
      </c>
    </row>
    <row r="141" spans="1:16" x14ac:dyDescent="0.25">
      <c r="A141">
        <v>838</v>
      </c>
      <c r="B141">
        <v>57</v>
      </c>
      <c r="C141" t="s">
        <v>12</v>
      </c>
      <c r="D141" s="3">
        <v>98928</v>
      </c>
      <c r="E141">
        <v>80</v>
      </c>
      <c r="F141">
        <v>3</v>
      </c>
      <c r="G141">
        <v>33</v>
      </c>
      <c r="H141" t="s">
        <v>14</v>
      </c>
      <c r="I141">
        <v>934.98</v>
      </c>
      <c r="J141" t="str">
        <f t="shared" si="14"/>
        <v>Medium</v>
      </c>
      <c r="K141" s="4" t="e">
        <f t="shared" si="15"/>
        <v>#N/A</v>
      </c>
      <c r="L141" t="e">
        <f t="shared" si="16"/>
        <v>#N/A</v>
      </c>
      <c r="M141" s="3">
        <f t="shared" si="17"/>
        <v>98928</v>
      </c>
      <c r="N141">
        <f t="shared" si="18"/>
        <v>80</v>
      </c>
      <c r="O141" s="3" t="e">
        <f t="shared" si="19"/>
        <v>#N/A</v>
      </c>
      <c r="P141" t="e">
        <f t="shared" si="20"/>
        <v>#N/A</v>
      </c>
    </row>
    <row r="142" spans="1:16" x14ac:dyDescent="0.25">
      <c r="A142">
        <v>859</v>
      </c>
      <c r="B142">
        <v>22</v>
      </c>
      <c r="C142" t="s">
        <v>12</v>
      </c>
      <c r="D142" s="3">
        <v>62752</v>
      </c>
      <c r="E142">
        <v>2</v>
      </c>
      <c r="F142">
        <v>10</v>
      </c>
      <c r="G142">
        <v>22</v>
      </c>
      <c r="H142" t="s">
        <v>14</v>
      </c>
      <c r="I142">
        <v>469.36</v>
      </c>
      <c r="J142" t="str">
        <f t="shared" si="14"/>
        <v>Medium</v>
      </c>
      <c r="K142" s="4" t="e">
        <f t="shared" si="15"/>
        <v>#N/A</v>
      </c>
      <c r="L142" t="e">
        <f t="shared" si="16"/>
        <v>#N/A</v>
      </c>
      <c r="M142" s="3">
        <f t="shared" si="17"/>
        <v>62752</v>
      </c>
      <c r="N142">
        <f t="shared" si="18"/>
        <v>2</v>
      </c>
      <c r="O142" s="3" t="e">
        <f t="shared" si="19"/>
        <v>#N/A</v>
      </c>
      <c r="P142" t="e">
        <f t="shared" si="20"/>
        <v>#N/A</v>
      </c>
    </row>
    <row r="143" spans="1:16" x14ac:dyDescent="0.25">
      <c r="A143">
        <v>860</v>
      </c>
      <c r="B143">
        <v>22</v>
      </c>
      <c r="C143" t="s">
        <v>12</v>
      </c>
      <c r="D143" s="3">
        <v>46866</v>
      </c>
      <c r="E143">
        <v>3</v>
      </c>
      <c r="F143">
        <v>7</v>
      </c>
      <c r="G143">
        <v>46</v>
      </c>
      <c r="H143" t="s">
        <v>14</v>
      </c>
      <c r="I143">
        <v>737.44</v>
      </c>
      <c r="J143" t="str">
        <f t="shared" si="14"/>
        <v>Low</v>
      </c>
      <c r="K143" s="4">
        <f t="shared" si="15"/>
        <v>46866</v>
      </c>
      <c r="L143">
        <f t="shared" si="16"/>
        <v>3</v>
      </c>
      <c r="M143" s="3" t="e">
        <f t="shared" si="17"/>
        <v>#N/A</v>
      </c>
      <c r="N143" t="e">
        <f t="shared" si="18"/>
        <v>#N/A</v>
      </c>
      <c r="O143" s="3" t="e">
        <f t="shared" si="19"/>
        <v>#N/A</v>
      </c>
      <c r="P143" t="e">
        <f t="shared" si="20"/>
        <v>#N/A</v>
      </c>
    </row>
    <row r="144" spans="1:16" x14ac:dyDescent="0.25">
      <c r="A144">
        <v>864</v>
      </c>
      <c r="B144">
        <v>41</v>
      </c>
      <c r="C144" t="s">
        <v>12</v>
      </c>
      <c r="D144" s="3">
        <v>92371</v>
      </c>
      <c r="E144">
        <v>28</v>
      </c>
      <c r="F144">
        <v>10</v>
      </c>
      <c r="G144">
        <v>48</v>
      </c>
      <c r="H144" t="s">
        <v>14</v>
      </c>
      <c r="I144">
        <v>594.96</v>
      </c>
      <c r="J144" t="str">
        <f t="shared" si="14"/>
        <v>Medium</v>
      </c>
      <c r="K144" s="4" t="e">
        <f t="shared" si="15"/>
        <v>#N/A</v>
      </c>
      <c r="L144" t="e">
        <f t="shared" si="16"/>
        <v>#N/A</v>
      </c>
      <c r="M144" s="3">
        <f t="shared" si="17"/>
        <v>92371</v>
      </c>
      <c r="N144">
        <f t="shared" si="18"/>
        <v>28</v>
      </c>
      <c r="O144" s="3" t="e">
        <f t="shared" si="19"/>
        <v>#N/A</v>
      </c>
      <c r="P144" t="e">
        <f t="shared" si="20"/>
        <v>#N/A</v>
      </c>
    </row>
    <row r="145" spans="1:16" x14ac:dyDescent="0.25">
      <c r="A145">
        <v>866</v>
      </c>
      <c r="B145">
        <v>22</v>
      </c>
      <c r="C145" t="s">
        <v>12</v>
      </c>
      <c r="D145" s="3">
        <v>48068</v>
      </c>
      <c r="E145">
        <v>57</v>
      </c>
      <c r="F145">
        <v>2</v>
      </c>
      <c r="G145">
        <v>24</v>
      </c>
      <c r="H145" t="s">
        <v>14</v>
      </c>
      <c r="I145">
        <v>683.02</v>
      </c>
      <c r="J145" t="str">
        <f t="shared" si="14"/>
        <v>Low</v>
      </c>
      <c r="K145" s="4">
        <f t="shared" si="15"/>
        <v>48068</v>
      </c>
      <c r="L145">
        <f t="shared" si="16"/>
        <v>57</v>
      </c>
      <c r="M145" s="3" t="e">
        <f t="shared" si="17"/>
        <v>#N/A</v>
      </c>
      <c r="N145" t="e">
        <f t="shared" si="18"/>
        <v>#N/A</v>
      </c>
      <c r="O145" s="3" t="e">
        <f t="shared" si="19"/>
        <v>#N/A</v>
      </c>
      <c r="P145" t="e">
        <f t="shared" si="20"/>
        <v>#N/A</v>
      </c>
    </row>
    <row r="146" spans="1:16" x14ac:dyDescent="0.25">
      <c r="A146">
        <v>897</v>
      </c>
      <c r="B146">
        <v>32</v>
      </c>
      <c r="C146" t="s">
        <v>12</v>
      </c>
      <c r="D146" s="3">
        <v>81701</v>
      </c>
      <c r="E146">
        <v>96</v>
      </c>
      <c r="F146">
        <v>9</v>
      </c>
      <c r="G146">
        <v>49</v>
      </c>
      <c r="H146" t="s">
        <v>14</v>
      </c>
      <c r="I146">
        <v>77.45</v>
      </c>
      <c r="J146" t="str">
        <f t="shared" si="14"/>
        <v>Medium</v>
      </c>
      <c r="K146" s="4" t="e">
        <f t="shared" si="15"/>
        <v>#N/A</v>
      </c>
      <c r="L146" t="e">
        <f t="shared" si="16"/>
        <v>#N/A</v>
      </c>
      <c r="M146" s="3">
        <f t="shared" si="17"/>
        <v>81701</v>
      </c>
      <c r="N146">
        <f t="shared" si="18"/>
        <v>96</v>
      </c>
      <c r="O146" s="3" t="e">
        <f t="shared" si="19"/>
        <v>#N/A</v>
      </c>
      <c r="P146" t="e">
        <f t="shared" si="20"/>
        <v>#N/A</v>
      </c>
    </row>
    <row r="147" spans="1:16" x14ac:dyDescent="0.25">
      <c r="A147">
        <v>899</v>
      </c>
      <c r="B147">
        <v>48</v>
      </c>
      <c r="C147" t="s">
        <v>12</v>
      </c>
      <c r="D147" s="3">
        <v>134463</v>
      </c>
      <c r="E147">
        <v>32</v>
      </c>
      <c r="F147">
        <v>2</v>
      </c>
      <c r="G147">
        <v>7</v>
      </c>
      <c r="H147" t="s">
        <v>14</v>
      </c>
      <c r="I147">
        <v>535.1</v>
      </c>
      <c r="J147" t="str">
        <f t="shared" si="14"/>
        <v>High</v>
      </c>
      <c r="K147" s="4" t="e">
        <f t="shared" si="15"/>
        <v>#N/A</v>
      </c>
      <c r="L147" t="e">
        <f t="shared" si="16"/>
        <v>#N/A</v>
      </c>
      <c r="M147" s="3" t="e">
        <f t="shared" si="17"/>
        <v>#N/A</v>
      </c>
      <c r="N147" t="e">
        <f t="shared" si="18"/>
        <v>#N/A</v>
      </c>
      <c r="O147" s="3">
        <f t="shared" si="19"/>
        <v>134463</v>
      </c>
      <c r="P147">
        <f t="shared" si="20"/>
        <v>32</v>
      </c>
    </row>
    <row r="148" spans="1:16" x14ac:dyDescent="0.25">
      <c r="A148">
        <v>906</v>
      </c>
      <c r="B148">
        <v>25</v>
      </c>
      <c r="C148" t="s">
        <v>12</v>
      </c>
      <c r="D148" s="3">
        <v>130604</v>
      </c>
      <c r="E148">
        <v>100</v>
      </c>
      <c r="F148">
        <v>4</v>
      </c>
      <c r="G148">
        <v>41</v>
      </c>
      <c r="H148" t="s">
        <v>14</v>
      </c>
      <c r="I148">
        <v>355.45</v>
      </c>
      <c r="J148" t="str">
        <f t="shared" si="14"/>
        <v>High</v>
      </c>
      <c r="K148" s="4" t="e">
        <f t="shared" si="15"/>
        <v>#N/A</v>
      </c>
      <c r="L148" t="e">
        <f t="shared" si="16"/>
        <v>#N/A</v>
      </c>
      <c r="M148" s="3" t="e">
        <f t="shared" si="17"/>
        <v>#N/A</v>
      </c>
      <c r="N148" t="e">
        <f t="shared" si="18"/>
        <v>#N/A</v>
      </c>
      <c r="O148" s="3">
        <f t="shared" si="19"/>
        <v>130604</v>
      </c>
      <c r="P148">
        <f t="shared" si="20"/>
        <v>100</v>
      </c>
    </row>
    <row r="149" spans="1:16" x14ac:dyDescent="0.25">
      <c r="A149">
        <v>913</v>
      </c>
      <c r="B149">
        <v>38</v>
      </c>
      <c r="C149" t="s">
        <v>12</v>
      </c>
      <c r="D149" s="3">
        <v>45551</v>
      </c>
      <c r="E149">
        <v>100</v>
      </c>
      <c r="F149">
        <v>10</v>
      </c>
      <c r="G149">
        <v>22</v>
      </c>
      <c r="H149" t="s">
        <v>14</v>
      </c>
      <c r="I149">
        <v>99.63</v>
      </c>
      <c r="J149" t="str">
        <f t="shared" si="14"/>
        <v>Low</v>
      </c>
      <c r="K149" s="4">
        <f t="shared" si="15"/>
        <v>45551</v>
      </c>
      <c r="L149">
        <f t="shared" si="16"/>
        <v>100</v>
      </c>
      <c r="M149" s="3" t="e">
        <f t="shared" si="17"/>
        <v>#N/A</v>
      </c>
      <c r="N149" t="e">
        <f t="shared" si="18"/>
        <v>#N/A</v>
      </c>
      <c r="O149" s="3" t="e">
        <f t="shared" si="19"/>
        <v>#N/A</v>
      </c>
      <c r="P149" t="e">
        <f t="shared" si="20"/>
        <v>#N/A</v>
      </c>
    </row>
    <row r="150" spans="1:16" x14ac:dyDescent="0.25">
      <c r="A150">
        <v>914</v>
      </c>
      <c r="B150">
        <v>55</v>
      </c>
      <c r="C150" t="s">
        <v>12</v>
      </c>
      <c r="D150" s="3">
        <v>109314</v>
      </c>
      <c r="E150">
        <v>72</v>
      </c>
      <c r="F150">
        <v>10</v>
      </c>
      <c r="G150">
        <v>47</v>
      </c>
      <c r="H150" t="s">
        <v>14</v>
      </c>
      <c r="I150">
        <v>438.97</v>
      </c>
      <c r="J150" t="str">
        <f t="shared" si="14"/>
        <v>High</v>
      </c>
      <c r="K150" s="4" t="e">
        <f t="shared" si="15"/>
        <v>#N/A</v>
      </c>
      <c r="L150" t="e">
        <f t="shared" si="16"/>
        <v>#N/A</v>
      </c>
      <c r="M150" s="3" t="e">
        <f t="shared" si="17"/>
        <v>#N/A</v>
      </c>
      <c r="N150" t="e">
        <f t="shared" si="18"/>
        <v>#N/A</v>
      </c>
      <c r="O150" s="3">
        <f t="shared" si="19"/>
        <v>109314</v>
      </c>
      <c r="P150">
        <f t="shared" si="20"/>
        <v>72</v>
      </c>
    </row>
    <row r="151" spans="1:16" x14ac:dyDescent="0.25">
      <c r="A151">
        <v>929</v>
      </c>
      <c r="B151">
        <v>35</v>
      </c>
      <c r="C151" t="s">
        <v>12</v>
      </c>
      <c r="D151" s="3">
        <v>48768</v>
      </c>
      <c r="E151">
        <v>43</v>
      </c>
      <c r="F151">
        <v>2</v>
      </c>
      <c r="G151">
        <v>5</v>
      </c>
      <c r="H151" t="s">
        <v>14</v>
      </c>
      <c r="I151">
        <v>746.74</v>
      </c>
      <c r="J151" t="str">
        <f t="shared" si="14"/>
        <v>Low</v>
      </c>
      <c r="K151" s="4">
        <f t="shared" si="15"/>
        <v>48768</v>
      </c>
      <c r="L151">
        <f t="shared" si="16"/>
        <v>43</v>
      </c>
      <c r="M151" s="3" t="e">
        <f t="shared" si="17"/>
        <v>#N/A</v>
      </c>
      <c r="N151" t="e">
        <f t="shared" si="18"/>
        <v>#N/A</v>
      </c>
      <c r="O151" s="3" t="e">
        <f t="shared" si="19"/>
        <v>#N/A</v>
      </c>
      <c r="P151" t="e">
        <f t="shared" si="20"/>
        <v>#N/A</v>
      </c>
    </row>
    <row r="152" spans="1:16" x14ac:dyDescent="0.25">
      <c r="A152">
        <v>933</v>
      </c>
      <c r="B152">
        <v>18</v>
      </c>
      <c r="C152" t="s">
        <v>12</v>
      </c>
      <c r="D152" s="3">
        <v>117893</v>
      </c>
      <c r="E152">
        <v>84</v>
      </c>
      <c r="F152">
        <v>3</v>
      </c>
      <c r="G152">
        <v>24</v>
      </c>
      <c r="H152" t="s">
        <v>14</v>
      </c>
      <c r="I152">
        <v>413.27</v>
      </c>
      <c r="J152" t="str">
        <f t="shared" si="14"/>
        <v>High</v>
      </c>
      <c r="K152" s="4" t="e">
        <f t="shared" si="15"/>
        <v>#N/A</v>
      </c>
      <c r="L152" t="e">
        <f t="shared" si="16"/>
        <v>#N/A</v>
      </c>
      <c r="M152" s="3" t="e">
        <f t="shared" si="17"/>
        <v>#N/A</v>
      </c>
      <c r="N152" t="e">
        <f t="shared" si="18"/>
        <v>#N/A</v>
      </c>
      <c r="O152" s="3">
        <f t="shared" si="19"/>
        <v>117893</v>
      </c>
      <c r="P152">
        <f t="shared" si="20"/>
        <v>84</v>
      </c>
    </row>
    <row r="153" spans="1:16" x14ac:dyDescent="0.25">
      <c r="A153">
        <v>954</v>
      </c>
      <c r="B153">
        <v>44</v>
      </c>
      <c r="C153" t="s">
        <v>12</v>
      </c>
      <c r="D153" s="3">
        <v>123822</v>
      </c>
      <c r="E153">
        <v>20</v>
      </c>
      <c r="F153">
        <v>4</v>
      </c>
      <c r="G153">
        <v>8</v>
      </c>
      <c r="H153" t="s">
        <v>14</v>
      </c>
      <c r="I153">
        <v>209.75</v>
      </c>
      <c r="J153" t="str">
        <f t="shared" si="14"/>
        <v>High</v>
      </c>
      <c r="K153" s="4" t="e">
        <f t="shared" si="15"/>
        <v>#N/A</v>
      </c>
      <c r="L153" t="e">
        <f t="shared" si="16"/>
        <v>#N/A</v>
      </c>
      <c r="M153" s="3" t="e">
        <f t="shared" si="17"/>
        <v>#N/A</v>
      </c>
      <c r="N153" t="e">
        <f t="shared" si="18"/>
        <v>#N/A</v>
      </c>
      <c r="O153" s="3">
        <f t="shared" si="19"/>
        <v>123822</v>
      </c>
      <c r="P153">
        <f t="shared" si="20"/>
        <v>20</v>
      </c>
    </row>
    <row r="154" spans="1:16" x14ac:dyDescent="0.25">
      <c r="A154">
        <v>976</v>
      </c>
      <c r="B154">
        <v>30</v>
      </c>
      <c r="C154" t="s">
        <v>12</v>
      </c>
      <c r="D154" s="3">
        <v>54930</v>
      </c>
      <c r="E154">
        <v>12</v>
      </c>
      <c r="F154">
        <v>9</v>
      </c>
      <c r="G154">
        <v>13</v>
      </c>
      <c r="H154" t="s">
        <v>14</v>
      </c>
      <c r="I154">
        <v>724.88</v>
      </c>
      <c r="J154" t="str">
        <f t="shared" si="14"/>
        <v>Medium</v>
      </c>
      <c r="K154" s="4" t="e">
        <f t="shared" si="15"/>
        <v>#N/A</v>
      </c>
      <c r="L154" t="e">
        <f t="shared" si="16"/>
        <v>#N/A</v>
      </c>
      <c r="M154" s="3">
        <f t="shared" si="17"/>
        <v>54930</v>
      </c>
      <c r="N154">
        <f t="shared" si="18"/>
        <v>12</v>
      </c>
      <c r="O154" s="3" t="e">
        <f t="shared" si="19"/>
        <v>#N/A</v>
      </c>
      <c r="P154" t="e">
        <f t="shared" si="20"/>
        <v>#N/A</v>
      </c>
    </row>
    <row r="155" spans="1:16" x14ac:dyDescent="0.25">
      <c r="A155">
        <v>9</v>
      </c>
      <c r="B155">
        <v>53</v>
      </c>
      <c r="C155" t="s">
        <v>12</v>
      </c>
      <c r="D155" s="3">
        <v>34424</v>
      </c>
      <c r="E155">
        <v>29</v>
      </c>
      <c r="F155">
        <v>6</v>
      </c>
      <c r="G155">
        <v>7</v>
      </c>
      <c r="H155" t="s">
        <v>15</v>
      </c>
      <c r="I155">
        <v>951.71</v>
      </c>
      <c r="J155" t="str">
        <f t="shared" si="14"/>
        <v>Low</v>
      </c>
      <c r="K155" s="4">
        <f t="shared" si="15"/>
        <v>34424</v>
      </c>
      <c r="L155">
        <f t="shared" si="16"/>
        <v>29</v>
      </c>
      <c r="M155" s="3" t="e">
        <f t="shared" si="17"/>
        <v>#N/A</v>
      </c>
      <c r="N155" t="e">
        <f t="shared" si="18"/>
        <v>#N/A</v>
      </c>
      <c r="O155" s="3" t="e">
        <f t="shared" si="19"/>
        <v>#N/A</v>
      </c>
      <c r="P155" t="e">
        <f t="shared" si="20"/>
        <v>#N/A</v>
      </c>
    </row>
    <row r="156" spans="1:16" x14ac:dyDescent="0.25">
      <c r="A156">
        <v>18</v>
      </c>
      <c r="B156">
        <v>22</v>
      </c>
      <c r="C156" t="s">
        <v>12</v>
      </c>
      <c r="D156" s="3">
        <v>41849</v>
      </c>
      <c r="E156">
        <v>22</v>
      </c>
      <c r="F156">
        <v>1</v>
      </c>
      <c r="G156">
        <v>31</v>
      </c>
      <c r="H156" t="s">
        <v>15</v>
      </c>
      <c r="I156">
        <v>844.08</v>
      </c>
      <c r="J156" t="str">
        <f t="shared" si="14"/>
        <v>Low</v>
      </c>
      <c r="K156" s="4">
        <f t="shared" si="15"/>
        <v>41849</v>
      </c>
      <c r="L156">
        <f t="shared" si="16"/>
        <v>22</v>
      </c>
      <c r="M156" s="3" t="e">
        <f t="shared" si="17"/>
        <v>#N/A</v>
      </c>
      <c r="N156" t="e">
        <f t="shared" si="18"/>
        <v>#N/A</v>
      </c>
      <c r="O156" s="3" t="e">
        <f t="shared" si="19"/>
        <v>#N/A</v>
      </c>
      <c r="P156" t="e">
        <f t="shared" si="20"/>
        <v>#N/A</v>
      </c>
    </row>
    <row r="157" spans="1:16" x14ac:dyDescent="0.25">
      <c r="A157">
        <v>88</v>
      </c>
      <c r="B157">
        <v>31</v>
      </c>
      <c r="C157" t="s">
        <v>12</v>
      </c>
      <c r="D157" s="3">
        <v>55100</v>
      </c>
      <c r="E157">
        <v>20</v>
      </c>
      <c r="F157">
        <v>7</v>
      </c>
      <c r="G157">
        <v>31</v>
      </c>
      <c r="H157" t="s">
        <v>15</v>
      </c>
      <c r="I157">
        <v>59.84</v>
      </c>
      <c r="J157" t="str">
        <f t="shared" si="14"/>
        <v>Medium</v>
      </c>
      <c r="K157" s="4" t="e">
        <f t="shared" si="15"/>
        <v>#N/A</v>
      </c>
      <c r="L157" t="e">
        <f t="shared" si="16"/>
        <v>#N/A</v>
      </c>
      <c r="M157" s="3">
        <f t="shared" si="17"/>
        <v>55100</v>
      </c>
      <c r="N157">
        <f t="shared" si="18"/>
        <v>20</v>
      </c>
      <c r="O157" s="3" t="e">
        <f t="shared" si="19"/>
        <v>#N/A</v>
      </c>
      <c r="P157" t="e">
        <f t="shared" si="20"/>
        <v>#N/A</v>
      </c>
    </row>
    <row r="158" spans="1:16" x14ac:dyDescent="0.25">
      <c r="A158">
        <v>111</v>
      </c>
      <c r="B158">
        <v>37</v>
      </c>
      <c r="C158" t="s">
        <v>12</v>
      </c>
      <c r="D158" s="3">
        <v>111242</v>
      </c>
      <c r="E158">
        <v>33</v>
      </c>
      <c r="F158">
        <v>5</v>
      </c>
      <c r="G158">
        <v>34</v>
      </c>
      <c r="H158" t="s">
        <v>15</v>
      </c>
      <c r="I158">
        <v>756.32</v>
      </c>
      <c r="J158" t="str">
        <f t="shared" si="14"/>
        <v>High</v>
      </c>
      <c r="K158" s="4" t="e">
        <f t="shared" si="15"/>
        <v>#N/A</v>
      </c>
      <c r="L158" t="e">
        <f t="shared" si="16"/>
        <v>#N/A</v>
      </c>
      <c r="M158" s="3" t="e">
        <f t="shared" si="17"/>
        <v>#N/A</v>
      </c>
      <c r="N158" t="e">
        <f t="shared" si="18"/>
        <v>#N/A</v>
      </c>
      <c r="O158" s="3">
        <f t="shared" si="19"/>
        <v>111242</v>
      </c>
      <c r="P158">
        <f t="shared" si="20"/>
        <v>33</v>
      </c>
    </row>
    <row r="159" spans="1:16" x14ac:dyDescent="0.25">
      <c r="A159">
        <v>114</v>
      </c>
      <c r="B159">
        <v>32</v>
      </c>
      <c r="C159" t="s">
        <v>12</v>
      </c>
      <c r="D159" s="3">
        <v>35514</v>
      </c>
      <c r="E159">
        <v>4</v>
      </c>
      <c r="F159">
        <v>5</v>
      </c>
      <c r="G159">
        <v>36</v>
      </c>
      <c r="H159" t="s">
        <v>15</v>
      </c>
      <c r="I159">
        <v>415.44</v>
      </c>
      <c r="J159" t="str">
        <f t="shared" si="14"/>
        <v>Low</v>
      </c>
      <c r="K159" s="4">
        <f t="shared" si="15"/>
        <v>35514</v>
      </c>
      <c r="L159">
        <f t="shared" si="16"/>
        <v>4</v>
      </c>
      <c r="M159" s="3" t="e">
        <f t="shared" si="17"/>
        <v>#N/A</v>
      </c>
      <c r="N159" t="e">
        <f t="shared" si="18"/>
        <v>#N/A</v>
      </c>
      <c r="O159" s="3" t="e">
        <f t="shared" si="19"/>
        <v>#N/A</v>
      </c>
      <c r="P159" t="e">
        <f t="shared" si="20"/>
        <v>#N/A</v>
      </c>
    </row>
    <row r="160" spans="1:16" x14ac:dyDescent="0.25">
      <c r="A160">
        <v>127</v>
      </c>
      <c r="B160">
        <v>58</v>
      </c>
      <c r="C160" t="s">
        <v>12</v>
      </c>
      <c r="D160" s="3">
        <v>32860</v>
      </c>
      <c r="E160">
        <v>90</v>
      </c>
      <c r="F160">
        <v>5</v>
      </c>
      <c r="G160">
        <v>18</v>
      </c>
      <c r="H160" t="s">
        <v>15</v>
      </c>
      <c r="I160">
        <v>405.05</v>
      </c>
      <c r="J160" t="str">
        <f t="shared" si="14"/>
        <v>Low</v>
      </c>
      <c r="K160" s="4">
        <f t="shared" si="15"/>
        <v>32860</v>
      </c>
      <c r="L160">
        <f t="shared" si="16"/>
        <v>90</v>
      </c>
      <c r="M160" s="3" t="e">
        <f t="shared" si="17"/>
        <v>#N/A</v>
      </c>
      <c r="N160" t="e">
        <f t="shared" si="18"/>
        <v>#N/A</v>
      </c>
      <c r="O160" s="3" t="e">
        <f t="shared" si="19"/>
        <v>#N/A</v>
      </c>
      <c r="P160" t="e">
        <f t="shared" si="20"/>
        <v>#N/A</v>
      </c>
    </row>
    <row r="161" spans="1:16" x14ac:dyDescent="0.25">
      <c r="A161">
        <v>131</v>
      </c>
      <c r="B161">
        <v>51</v>
      </c>
      <c r="C161" t="s">
        <v>12</v>
      </c>
      <c r="D161" s="3">
        <v>42337</v>
      </c>
      <c r="E161">
        <v>70</v>
      </c>
      <c r="F161">
        <v>9</v>
      </c>
      <c r="G161">
        <v>28</v>
      </c>
      <c r="H161" t="s">
        <v>15</v>
      </c>
      <c r="I161">
        <v>914.97</v>
      </c>
      <c r="J161" t="str">
        <f t="shared" si="14"/>
        <v>Low</v>
      </c>
      <c r="K161" s="4">
        <f t="shared" si="15"/>
        <v>42337</v>
      </c>
      <c r="L161">
        <f t="shared" si="16"/>
        <v>70</v>
      </c>
      <c r="M161" s="3" t="e">
        <f t="shared" si="17"/>
        <v>#N/A</v>
      </c>
      <c r="N161" t="e">
        <f t="shared" si="18"/>
        <v>#N/A</v>
      </c>
      <c r="O161" s="3" t="e">
        <f t="shared" si="19"/>
        <v>#N/A</v>
      </c>
      <c r="P161" t="e">
        <f t="shared" si="20"/>
        <v>#N/A</v>
      </c>
    </row>
    <row r="162" spans="1:16" x14ac:dyDescent="0.25">
      <c r="A162">
        <v>134</v>
      </c>
      <c r="B162">
        <v>26</v>
      </c>
      <c r="C162" t="s">
        <v>12</v>
      </c>
      <c r="D162" s="3">
        <v>62131</v>
      </c>
      <c r="E162">
        <v>91</v>
      </c>
      <c r="F162">
        <v>6</v>
      </c>
      <c r="G162">
        <v>18</v>
      </c>
      <c r="H162" t="s">
        <v>15</v>
      </c>
      <c r="I162">
        <v>70.56</v>
      </c>
      <c r="J162" t="str">
        <f t="shared" si="14"/>
        <v>Medium</v>
      </c>
      <c r="K162" s="4" t="e">
        <f t="shared" si="15"/>
        <v>#N/A</v>
      </c>
      <c r="L162" t="e">
        <f t="shared" si="16"/>
        <v>#N/A</v>
      </c>
      <c r="M162" s="3">
        <f t="shared" si="17"/>
        <v>62131</v>
      </c>
      <c r="N162">
        <f t="shared" si="18"/>
        <v>91</v>
      </c>
      <c r="O162" s="3" t="e">
        <f t="shared" si="19"/>
        <v>#N/A</v>
      </c>
      <c r="P162" t="e">
        <f t="shared" si="20"/>
        <v>#N/A</v>
      </c>
    </row>
    <row r="163" spans="1:16" x14ac:dyDescent="0.25">
      <c r="A163">
        <v>136</v>
      </c>
      <c r="B163">
        <v>31</v>
      </c>
      <c r="C163" t="s">
        <v>12</v>
      </c>
      <c r="D163" s="3">
        <v>145261</v>
      </c>
      <c r="E163">
        <v>25</v>
      </c>
      <c r="F163">
        <v>10</v>
      </c>
      <c r="G163">
        <v>37</v>
      </c>
      <c r="H163" t="s">
        <v>15</v>
      </c>
      <c r="I163">
        <v>378.4</v>
      </c>
      <c r="J163" t="str">
        <f t="shared" si="14"/>
        <v>High</v>
      </c>
      <c r="K163" s="4" t="e">
        <f t="shared" si="15"/>
        <v>#N/A</v>
      </c>
      <c r="L163" t="e">
        <f t="shared" si="16"/>
        <v>#N/A</v>
      </c>
      <c r="M163" s="3" t="e">
        <f t="shared" si="17"/>
        <v>#N/A</v>
      </c>
      <c r="N163" t="e">
        <f t="shared" si="18"/>
        <v>#N/A</v>
      </c>
      <c r="O163" s="3">
        <f t="shared" si="19"/>
        <v>145261</v>
      </c>
      <c r="P163">
        <f t="shared" si="20"/>
        <v>25</v>
      </c>
    </row>
    <row r="164" spans="1:16" x14ac:dyDescent="0.25">
      <c r="A164">
        <v>137</v>
      </c>
      <c r="B164">
        <v>48</v>
      </c>
      <c r="C164" t="s">
        <v>12</v>
      </c>
      <c r="D164" s="3">
        <v>81763</v>
      </c>
      <c r="E164">
        <v>49</v>
      </c>
      <c r="F164">
        <v>6</v>
      </c>
      <c r="G164">
        <v>46</v>
      </c>
      <c r="H164" t="s">
        <v>15</v>
      </c>
      <c r="I164">
        <v>179.25</v>
      </c>
      <c r="J164" t="str">
        <f t="shared" si="14"/>
        <v>Medium</v>
      </c>
      <c r="K164" s="4" t="e">
        <f t="shared" si="15"/>
        <v>#N/A</v>
      </c>
      <c r="L164" t="e">
        <f t="shared" si="16"/>
        <v>#N/A</v>
      </c>
      <c r="M164" s="3">
        <f t="shared" si="17"/>
        <v>81763</v>
      </c>
      <c r="N164">
        <f t="shared" si="18"/>
        <v>49</v>
      </c>
      <c r="O164" s="3" t="e">
        <f t="shared" si="19"/>
        <v>#N/A</v>
      </c>
      <c r="P164" t="e">
        <f t="shared" si="20"/>
        <v>#N/A</v>
      </c>
    </row>
    <row r="165" spans="1:16" x14ac:dyDescent="0.25">
      <c r="A165">
        <v>163</v>
      </c>
      <c r="B165">
        <v>45</v>
      </c>
      <c r="C165" t="s">
        <v>12</v>
      </c>
      <c r="D165" s="3">
        <v>76259</v>
      </c>
      <c r="E165">
        <v>72</v>
      </c>
      <c r="F165">
        <v>5</v>
      </c>
      <c r="G165">
        <v>41</v>
      </c>
      <c r="H165" t="s">
        <v>15</v>
      </c>
      <c r="I165">
        <v>228.88</v>
      </c>
      <c r="J165" t="str">
        <f t="shared" si="14"/>
        <v>Medium</v>
      </c>
      <c r="K165" s="4" t="e">
        <f t="shared" si="15"/>
        <v>#N/A</v>
      </c>
      <c r="L165" t="e">
        <f t="shared" si="16"/>
        <v>#N/A</v>
      </c>
      <c r="M165" s="3">
        <f t="shared" si="17"/>
        <v>76259</v>
      </c>
      <c r="N165">
        <f t="shared" si="18"/>
        <v>72</v>
      </c>
      <c r="O165" s="3" t="e">
        <f t="shared" si="19"/>
        <v>#N/A</v>
      </c>
      <c r="P165" t="e">
        <f t="shared" si="20"/>
        <v>#N/A</v>
      </c>
    </row>
    <row r="166" spans="1:16" x14ac:dyDescent="0.25">
      <c r="A166">
        <v>176</v>
      </c>
      <c r="B166">
        <v>34</v>
      </c>
      <c r="C166" t="s">
        <v>12</v>
      </c>
      <c r="D166" s="3">
        <v>79572</v>
      </c>
      <c r="E166">
        <v>62</v>
      </c>
      <c r="F166">
        <v>2</v>
      </c>
      <c r="G166">
        <v>24</v>
      </c>
      <c r="H166" t="s">
        <v>15</v>
      </c>
      <c r="I166">
        <v>843.15</v>
      </c>
      <c r="J166" t="str">
        <f t="shared" si="14"/>
        <v>Medium</v>
      </c>
      <c r="K166" s="4" t="e">
        <f t="shared" si="15"/>
        <v>#N/A</v>
      </c>
      <c r="L166" t="e">
        <f t="shared" si="16"/>
        <v>#N/A</v>
      </c>
      <c r="M166" s="3">
        <f t="shared" si="17"/>
        <v>79572</v>
      </c>
      <c r="N166">
        <f t="shared" si="18"/>
        <v>62</v>
      </c>
      <c r="O166" s="3" t="e">
        <f t="shared" si="19"/>
        <v>#N/A</v>
      </c>
      <c r="P166" t="e">
        <f t="shared" si="20"/>
        <v>#N/A</v>
      </c>
    </row>
    <row r="167" spans="1:16" x14ac:dyDescent="0.25">
      <c r="A167">
        <v>188</v>
      </c>
      <c r="B167">
        <v>55</v>
      </c>
      <c r="C167" t="s">
        <v>12</v>
      </c>
      <c r="D167" s="3">
        <v>77060</v>
      </c>
      <c r="E167">
        <v>14</v>
      </c>
      <c r="F167">
        <v>2</v>
      </c>
      <c r="G167">
        <v>16</v>
      </c>
      <c r="H167" t="s">
        <v>15</v>
      </c>
      <c r="I167">
        <v>286.79000000000002</v>
      </c>
      <c r="J167" t="str">
        <f t="shared" si="14"/>
        <v>Medium</v>
      </c>
      <c r="K167" s="4" t="e">
        <f t="shared" si="15"/>
        <v>#N/A</v>
      </c>
      <c r="L167" t="e">
        <f t="shared" si="16"/>
        <v>#N/A</v>
      </c>
      <c r="M167" s="3">
        <f t="shared" si="17"/>
        <v>77060</v>
      </c>
      <c r="N167">
        <f t="shared" si="18"/>
        <v>14</v>
      </c>
      <c r="O167" s="3" t="e">
        <f t="shared" si="19"/>
        <v>#N/A</v>
      </c>
      <c r="P167" t="e">
        <f t="shared" si="20"/>
        <v>#N/A</v>
      </c>
    </row>
    <row r="168" spans="1:16" x14ac:dyDescent="0.25">
      <c r="A168">
        <v>202</v>
      </c>
      <c r="B168">
        <v>25</v>
      </c>
      <c r="C168" t="s">
        <v>12</v>
      </c>
      <c r="D168" s="3">
        <v>30570</v>
      </c>
      <c r="E168">
        <v>16</v>
      </c>
      <c r="F168">
        <v>8</v>
      </c>
      <c r="G168">
        <v>44</v>
      </c>
      <c r="H168" t="s">
        <v>15</v>
      </c>
      <c r="I168">
        <v>971.09</v>
      </c>
      <c r="J168" t="str">
        <f t="shared" si="14"/>
        <v>Low</v>
      </c>
      <c r="K168" s="4">
        <f t="shared" si="15"/>
        <v>30570</v>
      </c>
      <c r="L168">
        <f t="shared" si="16"/>
        <v>16</v>
      </c>
      <c r="M168" s="3" t="e">
        <f t="shared" si="17"/>
        <v>#N/A</v>
      </c>
      <c r="N168" t="e">
        <f t="shared" si="18"/>
        <v>#N/A</v>
      </c>
      <c r="O168" s="3" t="e">
        <f t="shared" si="19"/>
        <v>#N/A</v>
      </c>
      <c r="P168" t="e">
        <f t="shared" si="20"/>
        <v>#N/A</v>
      </c>
    </row>
    <row r="169" spans="1:16" x14ac:dyDescent="0.25">
      <c r="A169">
        <v>207</v>
      </c>
      <c r="B169">
        <v>58</v>
      </c>
      <c r="C169" t="s">
        <v>12</v>
      </c>
      <c r="D169" s="3">
        <v>48714</v>
      </c>
      <c r="E169">
        <v>75</v>
      </c>
      <c r="F169">
        <v>10</v>
      </c>
      <c r="G169">
        <v>40</v>
      </c>
      <c r="H169" t="s">
        <v>15</v>
      </c>
      <c r="I169">
        <v>324.91000000000003</v>
      </c>
      <c r="J169" t="str">
        <f t="shared" si="14"/>
        <v>Low</v>
      </c>
      <c r="K169" s="4">
        <f t="shared" si="15"/>
        <v>48714</v>
      </c>
      <c r="L169">
        <f t="shared" si="16"/>
        <v>75</v>
      </c>
      <c r="M169" s="3" t="e">
        <f t="shared" si="17"/>
        <v>#N/A</v>
      </c>
      <c r="N169" t="e">
        <f t="shared" si="18"/>
        <v>#N/A</v>
      </c>
      <c r="O169" s="3" t="e">
        <f t="shared" si="19"/>
        <v>#N/A</v>
      </c>
      <c r="P169" t="e">
        <f t="shared" si="20"/>
        <v>#N/A</v>
      </c>
    </row>
    <row r="170" spans="1:16" x14ac:dyDescent="0.25">
      <c r="A170">
        <v>257</v>
      </c>
      <c r="B170">
        <v>26</v>
      </c>
      <c r="C170" t="s">
        <v>12</v>
      </c>
      <c r="D170" s="3">
        <v>134203</v>
      </c>
      <c r="E170">
        <v>19</v>
      </c>
      <c r="F170">
        <v>3</v>
      </c>
      <c r="G170">
        <v>28</v>
      </c>
      <c r="H170" t="s">
        <v>15</v>
      </c>
      <c r="I170">
        <v>935.64</v>
      </c>
      <c r="J170" t="str">
        <f t="shared" si="14"/>
        <v>High</v>
      </c>
      <c r="K170" s="4" t="e">
        <f t="shared" si="15"/>
        <v>#N/A</v>
      </c>
      <c r="L170" t="e">
        <f t="shared" si="16"/>
        <v>#N/A</v>
      </c>
      <c r="M170" s="3" t="e">
        <f t="shared" si="17"/>
        <v>#N/A</v>
      </c>
      <c r="N170" t="e">
        <f t="shared" si="18"/>
        <v>#N/A</v>
      </c>
      <c r="O170" s="3">
        <f t="shared" si="19"/>
        <v>134203</v>
      </c>
      <c r="P170">
        <f t="shared" si="20"/>
        <v>19</v>
      </c>
    </row>
    <row r="171" spans="1:16" x14ac:dyDescent="0.25">
      <c r="A171">
        <v>289</v>
      </c>
      <c r="B171">
        <v>38</v>
      </c>
      <c r="C171" t="s">
        <v>12</v>
      </c>
      <c r="D171" s="3">
        <v>84577</v>
      </c>
      <c r="E171">
        <v>70</v>
      </c>
      <c r="F171">
        <v>7</v>
      </c>
      <c r="G171">
        <v>27</v>
      </c>
      <c r="H171" t="s">
        <v>15</v>
      </c>
      <c r="I171">
        <v>631.28</v>
      </c>
      <c r="J171" t="str">
        <f t="shared" si="14"/>
        <v>Medium</v>
      </c>
      <c r="K171" s="4" t="e">
        <f t="shared" si="15"/>
        <v>#N/A</v>
      </c>
      <c r="L171" t="e">
        <f t="shared" si="16"/>
        <v>#N/A</v>
      </c>
      <c r="M171" s="3">
        <f t="shared" si="17"/>
        <v>84577</v>
      </c>
      <c r="N171">
        <f t="shared" si="18"/>
        <v>70</v>
      </c>
      <c r="O171" s="3" t="e">
        <f t="shared" si="19"/>
        <v>#N/A</v>
      </c>
      <c r="P171" t="e">
        <f t="shared" si="20"/>
        <v>#N/A</v>
      </c>
    </row>
    <row r="172" spans="1:16" x14ac:dyDescent="0.25">
      <c r="A172">
        <v>297</v>
      </c>
      <c r="B172">
        <v>40</v>
      </c>
      <c r="C172" t="s">
        <v>12</v>
      </c>
      <c r="D172" s="3">
        <v>97995</v>
      </c>
      <c r="E172">
        <v>47</v>
      </c>
      <c r="F172">
        <v>4</v>
      </c>
      <c r="G172">
        <v>9</v>
      </c>
      <c r="H172" t="s">
        <v>15</v>
      </c>
      <c r="I172">
        <v>101.35</v>
      </c>
      <c r="J172" t="str">
        <f t="shared" si="14"/>
        <v>Medium</v>
      </c>
      <c r="K172" s="4" t="e">
        <f t="shared" si="15"/>
        <v>#N/A</v>
      </c>
      <c r="L172" t="e">
        <f t="shared" si="16"/>
        <v>#N/A</v>
      </c>
      <c r="M172" s="3">
        <f t="shared" si="17"/>
        <v>97995</v>
      </c>
      <c r="N172">
        <f t="shared" si="18"/>
        <v>47</v>
      </c>
      <c r="O172" s="3" t="e">
        <f t="shared" si="19"/>
        <v>#N/A</v>
      </c>
      <c r="P172" t="e">
        <f t="shared" si="20"/>
        <v>#N/A</v>
      </c>
    </row>
    <row r="173" spans="1:16" x14ac:dyDescent="0.25">
      <c r="A173">
        <v>298</v>
      </c>
      <c r="B173">
        <v>39</v>
      </c>
      <c r="C173" t="s">
        <v>12</v>
      </c>
      <c r="D173" s="3">
        <v>132488</v>
      </c>
      <c r="E173">
        <v>40</v>
      </c>
      <c r="F173">
        <v>5</v>
      </c>
      <c r="G173">
        <v>37</v>
      </c>
      <c r="H173" t="s">
        <v>15</v>
      </c>
      <c r="I173">
        <v>82.16</v>
      </c>
      <c r="J173" t="str">
        <f t="shared" si="14"/>
        <v>High</v>
      </c>
      <c r="K173" s="4" t="e">
        <f t="shared" si="15"/>
        <v>#N/A</v>
      </c>
      <c r="L173" t="e">
        <f t="shared" si="16"/>
        <v>#N/A</v>
      </c>
      <c r="M173" s="3" t="e">
        <f t="shared" si="17"/>
        <v>#N/A</v>
      </c>
      <c r="N173" t="e">
        <f t="shared" si="18"/>
        <v>#N/A</v>
      </c>
      <c r="O173" s="3">
        <f t="shared" si="19"/>
        <v>132488</v>
      </c>
      <c r="P173">
        <f t="shared" si="20"/>
        <v>40</v>
      </c>
    </row>
    <row r="174" spans="1:16" x14ac:dyDescent="0.25">
      <c r="A174">
        <v>305</v>
      </c>
      <c r="B174">
        <v>32</v>
      </c>
      <c r="C174" t="s">
        <v>12</v>
      </c>
      <c r="D174" s="3">
        <v>39407</v>
      </c>
      <c r="E174">
        <v>50</v>
      </c>
      <c r="F174">
        <v>6</v>
      </c>
      <c r="G174">
        <v>13</v>
      </c>
      <c r="H174" t="s">
        <v>15</v>
      </c>
      <c r="I174">
        <v>844.22</v>
      </c>
      <c r="J174" t="str">
        <f t="shared" si="14"/>
        <v>Low</v>
      </c>
      <c r="K174" s="4">
        <f t="shared" si="15"/>
        <v>39407</v>
      </c>
      <c r="L174">
        <f t="shared" si="16"/>
        <v>50</v>
      </c>
      <c r="M174" s="3" t="e">
        <f t="shared" si="17"/>
        <v>#N/A</v>
      </c>
      <c r="N174" t="e">
        <f t="shared" si="18"/>
        <v>#N/A</v>
      </c>
      <c r="O174" s="3" t="e">
        <f t="shared" si="19"/>
        <v>#N/A</v>
      </c>
      <c r="P174" t="e">
        <f t="shared" si="20"/>
        <v>#N/A</v>
      </c>
    </row>
    <row r="175" spans="1:16" x14ac:dyDescent="0.25">
      <c r="A175">
        <v>306</v>
      </c>
      <c r="B175">
        <v>48</v>
      </c>
      <c r="C175" t="s">
        <v>12</v>
      </c>
      <c r="D175" s="3">
        <v>39407</v>
      </c>
      <c r="E175">
        <v>82</v>
      </c>
      <c r="F175">
        <v>5</v>
      </c>
      <c r="G175">
        <v>27</v>
      </c>
      <c r="H175" t="s">
        <v>15</v>
      </c>
      <c r="I175">
        <v>463.07</v>
      </c>
      <c r="J175" t="str">
        <f t="shared" si="14"/>
        <v>Low</v>
      </c>
      <c r="K175" s="4">
        <f t="shared" si="15"/>
        <v>39407</v>
      </c>
      <c r="L175">
        <f t="shared" si="16"/>
        <v>82</v>
      </c>
      <c r="M175" s="3" t="e">
        <f t="shared" si="17"/>
        <v>#N/A</v>
      </c>
      <c r="N175" t="e">
        <f t="shared" si="18"/>
        <v>#N/A</v>
      </c>
      <c r="O175" s="3" t="e">
        <f t="shared" si="19"/>
        <v>#N/A</v>
      </c>
      <c r="P175" t="e">
        <f t="shared" si="20"/>
        <v>#N/A</v>
      </c>
    </row>
    <row r="176" spans="1:16" x14ac:dyDescent="0.25">
      <c r="A176">
        <v>310</v>
      </c>
      <c r="B176">
        <v>50</v>
      </c>
      <c r="C176" t="s">
        <v>12</v>
      </c>
      <c r="D176" s="3">
        <v>100320</v>
      </c>
      <c r="E176">
        <v>45</v>
      </c>
      <c r="F176">
        <v>7</v>
      </c>
      <c r="G176">
        <v>29</v>
      </c>
      <c r="H176" t="s">
        <v>15</v>
      </c>
      <c r="I176">
        <v>139.38999999999999</v>
      </c>
      <c r="J176" t="str">
        <f t="shared" si="14"/>
        <v>High</v>
      </c>
      <c r="K176" s="4" t="e">
        <f t="shared" si="15"/>
        <v>#N/A</v>
      </c>
      <c r="L176" t="e">
        <f t="shared" si="16"/>
        <v>#N/A</v>
      </c>
      <c r="M176" s="3" t="e">
        <f t="shared" si="17"/>
        <v>#N/A</v>
      </c>
      <c r="N176" t="e">
        <f t="shared" si="18"/>
        <v>#N/A</v>
      </c>
      <c r="O176" s="3">
        <f t="shared" si="19"/>
        <v>100320</v>
      </c>
      <c r="P176">
        <f t="shared" si="20"/>
        <v>45</v>
      </c>
    </row>
    <row r="177" spans="1:16" x14ac:dyDescent="0.25">
      <c r="A177">
        <v>312</v>
      </c>
      <c r="B177">
        <v>30</v>
      </c>
      <c r="C177" t="s">
        <v>12</v>
      </c>
      <c r="D177" s="3">
        <v>143200</v>
      </c>
      <c r="E177">
        <v>38</v>
      </c>
      <c r="F177">
        <v>8</v>
      </c>
      <c r="G177">
        <v>30</v>
      </c>
      <c r="H177" t="s">
        <v>15</v>
      </c>
      <c r="I177">
        <v>684.43</v>
      </c>
      <c r="J177" t="str">
        <f t="shared" si="14"/>
        <v>High</v>
      </c>
      <c r="K177" s="4" t="e">
        <f t="shared" si="15"/>
        <v>#N/A</v>
      </c>
      <c r="L177" t="e">
        <f t="shared" si="16"/>
        <v>#N/A</v>
      </c>
      <c r="M177" s="3" t="e">
        <f t="shared" si="17"/>
        <v>#N/A</v>
      </c>
      <c r="N177" t="e">
        <f t="shared" si="18"/>
        <v>#N/A</v>
      </c>
      <c r="O177" s="3">
        <f t="shared" si="19"/>
        <v>143200</v>
      </c>
      <c r="P177">
        <f t="shared" si="20"/>
        <v>38</v>
      </c>
    </row>
    <row r="178" spans="1:16" x14ac:dyDescent="0.25">
      <c r="A178">
        <v>349</v>
      </c>
      <c r="B178">
        <v>44</v>
      </c>
      <c r="C178" t="s">
        <v>12</v>
      </c>
      <c r="D178" s="3">
        <v>32030</v>
      </c>
      <c r="E178">
        <v>38</v>
      </c>
      <c r="F178">
        <v>2</v>
      </c>
      <c r="G178">
        <v>19</v>
      </c>
      <c r="H178" t="s">
        <v>15</v>
      </c>
      <c r="I178">
        <v>912.15</v>
      </c>
      <c r="J178" t="str">
        <f t="shared" si="14"/>
        <v>Low</v>
      </c>
      <c r="K178" s="4">
        <f t="shared" si="15"/>
        <v>32030</v>
      </c>
      <c r="L178">
        <f t="shared" si="16"/>
        <v>38</v>
      </c>
      <c r="M178" s="3" t="e">
        <f t="shared" si="17"/>
        <v>#N/A</v>
      </c>
      <c r="N178" t="e">
        <f t="shared" si="18"/>
        <v>#N/A</v>
      </c>
      <c r="O178" s="3" t="e">
        <f t="shared" si="19"/>
        <v>#N/A</v>
      </c>
      <c r="P178" t="e">
        <f t="shared" si="20"/>
        <v>#N/A</v>
      </c>
    </row>
    <row r="179" spans="1:16" x14ac:dyDescent="0.25">
      <c r="A179">
        <v>383</v>
      </c>
      <c r="B179">
        <v>65</v>
      </c>
      <c r="C179" t="s">
        <v>12</v>
      </c>
      <c r="D179" s="3">
        <v>124796</v>
      </c>
      <c r="E179">
        <v>4</v>
      </c>
      <c r="F179">
        <v>5</v>
      </c>
      <c r="G179">
        <v>38</v>
      </c>
      <c r="H179" t="s">
        <v>15</v>
      </c>
      <c r="I179">
        <v>247.96</v>
      </c>
      <c r="J179" t="str">
        <f t="shared" si="14"/>
        <v>High</v>
      </c>
      <c r="K179" s="4" t="e">
        <f t="shared" si="15"/>
        <v>#N/A</v>
      </c>
      <c r="L179" t="e">
        <f t="shared" si="16"/>
        <v>#N/A</v>
      </c>
      <c r="M179" s="3" t="e">
        <f t="shared" si="17"/>
        <v>#N/A</v>
      </c>
      <c r="N179" t="e">
        <f t="shared" si="18"/>
        <v>#N/A</v>
      </c>
      <c r="O179" s="3">
        <f t="shared" si="19"/>
        <v>124796</v>
      </c>
      <c r="P179">
        <f t="shared" si="20"/>
        <v>4</v>
      </c>
    </row>
    <row r="180" spans="1:16" x14ac:dyDescent="0.25">
      <c r="A180">
        <v>385</v>
      </c>
      <c r="B180">
        <v>38</v>
      </c>
      <c r="C180" t="s">
        <v>12</v>
      </c>
      <c r="D180" s="3">
        <v>78829</v>
      </c>
      <c r="E180">
        <v>73</v>
      </c>
      <c r="F180">
        <v>7</v>
      </c>
      <c r="G180">
        <v>20</v>
      </c>
      <c r="H180" t="s">
        <v>15</v>
      </c>
      <c r="I180">
        <v>665.25</v>
      </c>
      <c r="J180" t="str">
        <f t="shared" si="14"/>
        <v>Medium</v>
      </c>
      <c r="K180" s="4" t="e">
        <f t="shared" si="15"/>
        <v>#N/A</v>
      </c>
      <c r="L180" t="e">
        <f t="shared" si="16"/>
        <v>#N/A</v>
      </c>
      <c r="M180" s="3">
        <f t="shared" si="17"/>
        <v>78829</v>
      </c>
      <c r="N180">
        <f t="shared" si="18"/>
        <v>73</v>
      </c>
      <c r="O180" s="3" t="e">
        <f t="shared" si="19"/>
        <v>#N/A</v>
      </c>
      <c r="P180" t="e">
        <f t="shared" si="20"/>
        <v>#N/A</v>
      </c>
    </row>
    <row r="181" spans="1:16" x14ac:dyDescent="0.25">
      <c r="A181">
        <v>398</v>
      </c>
      <c r="B181">
        <v>48</v>
      </c>
      <c r="C181" t="s">
        <v>12</v>
      </c>
      <c r="D181" s="3">
        <v>36282</v>
      </c>
      <c r="E181">
        <v>14</v>
      </c>
      <c r="F181">
        <v>10</v>
      </c>
      <c r="G181">
        <v>3</v>
      </c>
      <c r="H181" t="s">
        <v>15</v>
      </c>
      <c r="I181">
        <v>210.43</v>
      </c>
      <c r="J181" t="str">
        <f t="shared" si="14"/>
        <v>Low</v>
      </c>
      <c r="K181" s="4">
        <f t="shared" si="15"/>
        <v>36282</v>
      </c>
      <c r="L181">
        <f t="shared" si="16"/>
        <v>14</v>
      </c>
      <c r="M181" s="3" t="e">
        <f t="shared" si="17"/>
        <v>#N/A</v>
      </c>
      <c r="N181" t="e">
        <f t="shared" si="18"/>
        <v>#N/A</v>
      </c>
      <c r="O181" s="3" t="e">
        <f t="shared" si="19"/>
        <v>#N/A</v>
      </c>
      <c r="P181" t="e">
        <f t="shared" si="20"/>
        <v>#N/A</v>
      </c>
    </row>
    <row r="182" spans="1:16" x14ac:dyDescent="0.25">
      <c r="A182">
        <v>477</v>
      </c>
      <c r="B182">
        <v>42</v>
      </c>
      <c r="C182" t="s">
        <v>12</v>
      </c>
      <c r="D182" s="3">
        <v>115342</v>
      </c>
      <c r="E182">
        <v>19</v>
      </c>
      <c r="F182">
        <v>4</v>
      </c>
      <c r="G182">
        <v>47</v>
      </c>
      <c r="H182" t="s">
        <v>15</v>
      </c>
      <c r="I182">
        <v>13.69</v>
      </c>
      <c r="J182" t="str">
        <f t="shared" si="14"/>
        <v>High</v>
      </c>
      <c r="K182" s="4" t="e">
        <f t="shared" si="15"/>
        <v>#N/A</v>
      </c>
      <c r="L182" t="e">
        <f t="shared" si="16"/>
        <v>#N/A</v>
      </c>
      <c r="M182" s="3" t="e">
        <f t="shared" si="17"/>
        <v>#N/A</v>
      </c>
      <c r="N182" t="e">
        <f t="shared" si="18"/>
        <v>#N/A</v>
      </c>
      <c r="O182" s="3">
        <f t="shared" si="19"/>
        <v>115342</v>
      </c>
      <c r="P182">
        <f t="shared" si="20"/>
        <v>19</v>
      </c>
    </row>
    <row r="183" spans="1:16" x14ac:dyDescent="0.25">
      <c r="A183">
        <v>481</v>
      </c>
      <c r="B183">
        <v>54</v>
      </c>
      <c r="C183" t="s">
        <v>12</v>
      </c>
      <c r="D183" s="3">
        <v>105641</v>
      </c>
      <c r="E183">
        <v>17</v>
      </c>
      <c r="F183">
        <v>9</v>
      </c>
      <c r="G183">
        <v>37</v>
      </c>
      <c r="H183" t="s">
        <v>15</v>
      </c>
      <c r="I183">
        <v>173.81</v>
      </c>
      <c r="J183" t="str">
        <f t="shared" si="14"/>
        <v>High</v>
      </c>
      <c r="K183" s="4" t="e">
        <f t="shared" si="15"/>
        <v>#N/A</v>
      </c>
      <c r="L183" t="e">
        <f t="shared" si="16"/>
        <v>#N/A</v>
      </c>
      <c r="M183" s="3" t="e">
        <f t="shared" si="17"/>
        <v>#N/A</v>
      </c>
      <c r="N183" t="e">
        <f t="shared" si="18"/>
        <v>#N/A</v>
      </c>
      <c r="O183" s="3">
        <f t="shared" si="19"/>
        <v>105641</v>
      </c>
      <c r="P183">
        <f t="shared" si="20"/>
        <v>17</v>
      </c>
    </row>
    <row r="184" spans="1:16" x14ac:dyDescent="0.25">
      <c r="A184">
        <v>492</v>
      </c>
      <c r="B184">
        <v>39</v>
      </c>
      <c r="C184" t="s">
        <v>12</v>
      </c>
      <c r="D184" s="3">
        <v>84725</v>
      </c>
      <c r="E184">
        <v>100</v>
      </c>
      <c r="F184">
        <v>8</v>
      </c>
      <c r="G184">
        <v>49</v>
      </c>
      <c r="H184" t="s">
        <v>15</v>
      </c>
      <c r="I184">
        <v>906.07</v>
      </c>
      <c r="J184" t="str">
        <f t="shared" si="14"/>
        <v>Medium</v>
      </c>
      <c r="K184" s="4" t="e">
        <f t="shared" si="15"/>
        <v>#N/A</v>
      </c>
      <c r="L184" t="e">
        <f t="shared" si="16"/>
        <v>#N/A</v>
      </c>
      <c r="M184" s="3">
        <f t="shared" si="17"/>
        <v>84725</v>
      </c>
      <c r="N184">
        <f t="shared" si="18"/>
        <v>100</v>
      </c>
      <c r="O184" s="3" t="e">
        <f t="shared" si="19"/>
        <v>#N/A</v>
      </c>
      <c r="P184" t="e">
        <f t="shared" si="20"/>
        <v>#N/A</v>
      </c>
    </row>
    <row r="185" spans="1:16" x14ac:dyDescent="0.25">
      <c r="A185">
        <v>494</v>
      </c>
      <c r="B185">
        <v>35</v>
      </c>
      <c r="C185" t="s">
        <v>12</v>
      </c>
      <c r="D185" s="3">
        <v>141134</v>
      </c>
      <c r="E185">
        <v>24</v>
      </c>
      <c r="F185">
        <v>4</v>
      </c>
      <c r="G185">
        <v>48</v>
      </c>
      <c r="H185" t="s">
        <v>15</v>
      </c>
      <c r="I185">
        <v>649.61</v>
      </c>
      <c r="J185" t="str">
        <f t="shared" si="14"/>
        <v>High</v>
      </c>
      <c r="K185" s="4" t="e">
        <f t="shared" si="15"/>
        <v>#N/A</v>
      </c>
      <c r="L185" t="e">
        <f t="shared" si="16"/>
        <v>#N/A</v>
      </c>
      <c r="M185" s="3" t="e">
        <f t="shared" si="17"/>
        <v>#N/A</v>
      </c>
      <c r="N185" t="e">
        <f t="shared" si="18"/>
        <v>#N/A</v>
      </c>
      <c r="O185" s="3">
        <f t="shared" si="19"/>
        <v>141134</v>
      </c>
      <c r="P185">
        <f t="shared" si="20"/>
        <v>24</v>
      </c>
    </row>
    <row r="186" spans="1:16" x14ac:dyDescent="0.25">
      <c r="A186">
        <v>495</v>
      </c>
      <c r="B186">
        <v>59</v>
      </c>
      <c r="C186" t="s">
        <v>12</v>
      </c>
      <c r="D186" s="3">
        <v>140809</v>
      </c>
      <c r="E186">
        <v>45</v>
      </c>
      <c r="F186">
        <v>5</v>
      </c>
      <c r="G186">
        <v>45</v>
      </c>
      <c r="H186" t="s">
        <v>15</v>
      </c>
      <c r="I186">
        <v>917.5</v>
      </c>
      <c r="J186" t="str">
        <f t="shared" si="14"/>
        <v>High</v>
      </c>
      <c r="K186" s="4" t="e">
        <f t="shared" si="15"/>
        <v>#N/A</v>
      </c>
      <c r="L186" t="e">
        <f t="shared" si="16"/>
        <v>#N/A</v>
      </c>
      <c r="M186" s="3" t="e">
        <f t="shared" si="17"/>
        <v>#N/A</v>
      </c>
      <c r="N186" t="e">
        <f t="shared" si="18"/>
        <v>#N/A</v>
      </c>
      <c r="O186" s="3">
        <f t="shared" si="19"/>
        <v>140809</v>
      </c>
      <c r="P186">
        <f t="shared" si="20"/>
        <v>45</v>
      </c>
    </row>
    <row r="187" spans="1:16" x14ac:dyDescent="0.25">
      <c r="A187">
        <v>497</v>
      </c>
      <c r="B187">
        <v>56</v>
      </c>
      <c r="C187" t="s">
        <v>12</v>
      </c>
      <c r="D187" s="3">
        <v>145254</v>
      </c>
      <c r="E187">
        <v>48</v>
      </c>
      <c r="F187">
        <v>6</v>
      </c>
      <c r="G187">
        <v>43</v>
      </c>
      <c r="H187" t="s">
        <v>15</v>
      </c>
      <c r="I187">
        <v>422.32</v>
      </c>
      <c r="J187" t="str">
        <f t="shared" si="14"/>
        <v>High</v>
      </c>
      <c r="K187" s="4" t="e">
        <f t="shared" si="15"/>
        <v>#N/A</v>
      </c>
      <c r="L187" t="e">
        <f t="shared" si="16"/>
        <v>#N/A</v>
      </c>
      <c r="M187" s="3" t="e">
        <f t="shared" si="17"/>
        <v>#N/A</v>
      </c>
      <c r="N187" t="e">
        <f t="shared" si="18"/>
        <v>#N/A</v>
      </c>
      <c r="O187" s="3">
        <f t="shared" si="19"/>
        <v>145254</v>
      </c>
      <c r="P187">
        <f t="shared" si="20"/>
        <v>48</v>
      </c>
    </row>
    <row r="188" spans="1:16" x14ac:dyDescent="0.25">
      <c r="A188">
        <v>506</v>
      </c>
      <c r="B188">
        <v>66</v>
      </c>
      <c r="C188" t="s">
        <v>12</v>
      </c>
      <c r="D188" s="3">
        <v>149505</v>
      </c>
      <c r="E188">
        <v>79</v>
      </c>
      <c r="F188">
        <v>4</v>
      </c>
      <c r="G188">
        <v>8</v>
      </c>
      <c r="H188" t="s">
        <v>15</v>
      </c>
      <c r="I188">
        <v>334.95</v>
      </c>
      <c r="J188" t="str">
        <f t="shared" si="14"/>
        <v>High</v>
      </c>
      <c r="K188" s="4" t="e">
        <f t="shared" si="15"/>
        <v>#N/A</v>
      </c>
      <c r="L188" t="e">
        <f t="shared" si="16"/>
        <v>#N/A</v>
      </c>
      <c r="M188" s="3" t="e">
        <f t="shared" si="17"/>
        <v>#N/A</v>
      </c>
      <c r="N188" t="e">
        <f t="shared" si="18"/>
        <v>#N/A</v>
      </c>
      <c r="O188" s="3">
        <f t="shared" si="19"/>
        <v>149505</v>
      </c>
      <c r="P188">
        <f t="shared" si="20"/>
        <v>79</v>
      </c>
    </row>
    <row r="189" spans="1:16" x14ac:dyDescent="0.25">
      <c r="A189">
        <v>507</v>
      </c>
      <c r="B189">
        <v>58</v>
      </c>
      <c r="C189" t="s">
        <v>12</v>
      </c>
      <c r="D189" s="3">
        <v>132215</v>
      </c>
      <c r="E189">
        <v>91</v>
      </c>
      <c r="F189">
        <v>8</v>
      </c>
      <c r="G189">
        <v>6</v>
      </c>
      <c r="H189" t="s">
        <v>15</v>
      </c>
      <c r="I189">
        <v>275.70999999999998</v>
      </c>
      <c r="J189" t="str">
        <f t="shared" si="14"/>
        <v>High</v>
      </c>
      <c r="K189" s="4" t="e">
        <f t="shared" si="15"/>
        <v>#N/A</v>
      </c>
      <c r="L189" t="e">
        <f t="shared" si="16"/>
        <v>#N/A</v>
      </c>
      <c r="M189" s="3" t="e">
        <f t="shared" si="17"/>
        <v>#N/A</v>
      </c>
      <c r="N189" t="e">
        <f t="shared" si="18"/>
        <v>#N/A</v>
      </c>
      <c r="O189" s="3">
        <f t="shared" si="19"/>
        <v>132215</v>
      </c>
      <c r="P189">
        <f t="shared" si="20"/>
        <v>91</v>
      </c>
    </row>
    <row r="190" spans="1:16" x14ac:dyDescent="0.25">
      <c r="A190">
        <v>510</v>
      </c>
      <c r="B190">
        <v>19</v>
      </c>
      <c r="C190" t="s">
        <v>12</v>
      </c>
      <c r="D190" s="3">
        <v>111238</v>
      </c>
      <c r="E190">
        <v>7</v>
      </c>
      <c r="F190">
        <v>2</v>
      </c>
      <c r="G190">
        <v>30</v>
      </c>
      <c r="H190" t="s">
        <v>15</v>
      </c>
      <c r="I190">
        <v>813.37</v>
      </c>
      <c r="J190" t="str">
        <f t="shared" si="14"/>
        <v>High</v>
      </c>
      <c r="K190" s="4" t="e">
        <f t="shared" si="15"/>
        <v>#N/A</v>
      </c>
      <c r="L190" t="e">
        <f t="shared" si="16"/>
        <v>#N/A</v>
      </c>
      <c r="M190" s="3" t="e">
        <f t="shared" si="17"/>
        <v>#N/A</v>
      </c>
      <c r="N190" t="e">
        <f t="shared" si="18"/>
        <v>#N/A</v>
      </c>
      <c r="O190" s="3">
        <f t="shared" si="19"/>
        <v>111238</v>
      </c>
      <c r="P190">
        <f t="shared" si="20"/>
        <v>7</v>
      </c>
    </row>
    <row r="191" spans="1:16" x14ac:dyDescent="0.25">
      <c r="A191">
        <v>512</v>
      </c>
      <c r="B191">
        <v>33</v>
      </c>
      <c r="C191" t="s">
        <v>12</v>
      </c>
      <c r="D191" s="3">
        <v>132968</v>
      </c>
      <c r="E191">
        <v>49</v>
      </c>
      <c r="F191">
        <v>10</v>
      </c>
      <c r="G191">
        <v>45</v>
      </c>
      <c r="H191" t="s">
        <v>15</v>
      </c>
      <c r="I191">
        <v>641.53</v>
      </c>
      <c r="J191" t="str">
        <f t="shared" si="14"/>
        <v>High</v>
      </c>
      <c r="K191" s="4" t="e">
        <f t="shared" si="15"/>
        <v>#N/A</v>
      </c>
      <c r="L191" t="e">
        <f t="shared" si="16"/>
        <v>#N/A</v>
      </c>
      <c r="M191" s="3" t="e">
        <f t="shared" si="17"/>
        <v>#N/A</v>
      </c>
      <c r="N191" t="e">
        <f t="shared" si="18"/>
        <v>#N/A</v>
      </c>
      <c r="O191" s="3">
        <f t="shared" si="19"/>
        <v>132968</v>
      </c>
      <c r="P191">
        <f t="shared" si="20"/>
        <v>49</v>
      </c>
    </row>
    <row r="192" spans="1:16" x14ac:dyDescent="0.25">
      <c r="A192">
        <v>513</v>
      </c>
      <c r="B192">
        <v>19</v>
      </c>
      <c r="C192" t="s">
        <v>12</v>
      </c>
      <c r="D192" s="3">
        <v>82506</v>
      </c>
      <c r="E192">
        <v>10</v>
      </c>
      <c r="F192">
        <v>5</v>
      </c>
      <c r="G192">
        <v>41</v>
      </c>
      <c r="H192" t="s">
        <v>15</v>
      </c>
      <c r="I192">
        <v>406.32</v>
      </c>
      <c r="J192" t="str">
        <f t="shared" si="14"/>
        <v>Medium</v>
      </c>
      <c r="K192" s="4" t="e">
        <f t="shared" si="15"/>
        <v>#N/A</v>
      </c>
      <c r="L192" t="e">
        <f t="shared" si="16"/>
        <v>#N/A</v>
      </c>
      <c r="M192" s="3">
        <f t="shared" si="17"/>
        <v>82506</v>
      </c>
      <c r="N192">
        <f t="shared" si="18"/>
        <v>10</v>
      </c>
      <c r="O192" s="3" t="e">
        <f t="shared" si="19"/>
        <v>#N/A</v>
      </c>
      <c r="P192" t="e">
        <f t="shared" si="20"/>
        <v>#N/A</v>
      </c>
    </row>
    <row r="193" spans="1:16" x14ac:dyDescent="0.25">
      <c r="A193">
        <v>529</v>
      </c>
      <c r="B193">
        <v>57</v>
      </c>
      <c r="C193" t="s">
        <v>12</v>
      </c>
      <c r="D193" s="3">
        <v>139366</v>
      </c>
      <c r="E193">
        <v>39</v>
      </c>
      <c r="F193">
        <v>5</v>
      </c>
      <c r="G193">
        <v>50</v>
      </c>
      <c r="H193" t="s">
        <v>15</v>
      </c>
      <c r="I193">
        <v>34.5</v>
      </c>
      <c r="J193" t="str">
        <f t="shared" si="14"/>
        <v>High</v>
      </c>
      <c r="K193" s="4" t="e">
        <f t="shared" si="15"/>
        <v>#N/A</v>
      </c>
      <c r="L193" t="e">
        <f t="shared" si="16"/>
        <v>#N/A</v>
      </c>
      <c r="M193" s="3" t="e">
        <f t="shared" si="17"/>
        <v>#N/A</v>
      </c>
      <c r="N193" t="e">
        <f t="shared" si="18"/>
        <v>#N/A</v>
      </c>
      <c r="O193" s="3">
        <f t="shared" si="19"/>
        <v>139366</v>
      </c>
      <c r="P193">
        <f t="shared" si="20"/>
        <v>39</v>
      </c>
    </row>
    <row r="194" spans="1:16" x14ac:dyDescent="0.25">
      <c r="A194">
        <v>530</v>
      </c>
      <c r="B194">
        <v>27</v>
      </c>
      <c r="C194" t="s">
        <v>12</v>
      </c>
      <c r="D194" s="3">
        <v>106944</v>
      </c>
      <c r="E194">
        <v>63</v>
      </c>
      <c r="F194">
        <v>1</v>
      </c>
      <c r="G194">
        <v>28</v>
      </c>
      <c r="H194" t="s">
        <v>15</v>
      </c>
      <c r="I194">
        <v>36.39</v>
      </c>
      <c r="J194" t="str">
        <f t="shared" ref="J194:J257" si="21">IF(D194&lt;50000,"Low",IF(D194&lt;100000,"Medium","High"))</f>
        <v>High</v>
      </c>
      <c r="K194" s="4" t="e">
        <f t="shared" ref="K194:K257" si="22">IF($J194="Low",$D194,NA())</f>
        <v>#N/A</v>
      </c>
      <c r="L194" t="e">
        <f t="shared" ref="L194:L257" si="23">IF($J194="Low",$E194,NA())</f>
        <v>#N/A</v>
      </c>
      <c r="M194" s="3" t="e">
        <f t="shared" ref="M194:M257" si="24">IF($J194="Medium",$D194,NA())</f>
        <v>#N/A</v>
      </c>
      <c r="N194" t="e">
        <f t="shared" ref="N194:N257" si="25">IF($J194="Medium",$E194,NA())</f>
        <v>#N/A</v>
      </c>
      <c r="O194" s="3">
        <f t="shared" ref="O194:O257" si="26">IF($J194="High",$D194,NA())</f>
        <v>106944</v>
      </c>
      <c r="P194">
        <f t="shared" ref="P194:P257" si="27">IF($J194="High",$E194,NA())</f>
        <v>63</v>
      </c>
    </row>
    <row r="195" spans="1:16" x14ac:dyDescent="0.25">
      <c r="A195">
        <v>531</v>
      </c>
      <c r="B195">
        <v>61</v>
      </c>
      <c r="C195" t="s">
        <v>12</v>
      </c>
      <c r="D195" s="3">
        <v>92031</v>
      </c>
      <c r="E195">
        <v>44</v>
      </c>
      <c r="F195">
        <v>7</v>
      </c>
      <c r="G195">
        <v>11</v>
      </c>
      <c r="H195" t="s">
        <v>15</v>
      </c>
      <c r="I195">
        <v>573.30999999999995</v>
      </c>
      <c r="J195" t="str">
        <f t="shared" si="21"/>
        <v>Medium</v>
      </c>
      <c r="K195" s="4" t="e">
        <f t="shared" si="22"/>
        <v>#N/A</v>
      </c>
      <c r="L195" t="e">
        <f t="shared" si="23"/>
        <v>#N/A</v>
      </c>
      <c r="M195" s="3">
        <f t="shared" si="24"/>
        <v>92031</v>
      </c>
      <c r="N195">
        <f t="shared" si="25"/>
        <v>44</v>
      </c>
      <c r="O195" s="3" t="e">
        <f t="shared" si="26"/>
        <v>#N/A</v>
      </c>
      <c r="P195" t="e">
        <f t="shared" si="27"/>
        <v>#N/A</v>
      </c>
    </row>
    <row r="196" spans="1:16" x14ac:dyDescent="0.25">
      <c r="A196">
        <v>534</v>
      </c>
      <c r="B196">
        <v>28</v>
      </c>
      <c r="C196" t="s">
        <v>12</v>
      </c>
      <c r="D196" s="3">
        <v>121073</v>
      </c>
      <c r="E196">
        <v>44</v>
      </c>
      <c r="F196">
        <v>3</v>
      </c>
      <c r="G196">
        <v>16</v>
      </c>
      <c r="H196" t="s">
        <v>15</v>
      </c>
      <c r="I196">
        <v>482.35</v>
      </c>
      <c r="J196" t="str">
        <f t="shared" si="21"/>
        <v>High</v>
      </c>
      <c r="K196" s="4" t="e">
        <f t="shared" si="22"/>
        <v>#N/A</v>
      </c>
      <c r="L196" t="e">
        <f t="shared" si="23"/>
        <v>#N/A</v>
      </c>
      <c r="M196" s="3" t="e">
        <f t="shared" si="24"/>
        <v>#N/A</v>
      </c>
      <c r="N196" t="e">
        <f t="shared" si="25"/>
        <v>#N/A</v>
      </c>
      <c r="O196" s="3">
        <f t="shared" si="26"/>
        <v>121073</v>
      </c>
      <c r="P196">
        <f t="shared" si="27"/>
        <v>44</v>
      </c>
    </row>
    <row r="197" spans="1:16" x14ac:dyDescent="0.25">
      <c r="A197">
        <v>549</v>
      </c>
      <c r="B197">
        <v>39</v>
      </c>
      <c r="C197" t="s">
        <v>12</v>
      </c>
      <c r="D197" s="3">
        <v>30004</v>
      </c>
      <c r="E197">
        <v>32</v>
      </c>
      <c r="F197">
        <v>6</v>
      </c>
      <c r="G197">
        <v>48</v>
      </c>
      <c r="H197" t="s">
        <v>15</v>
      </c>
      <c r="I197">
        <v>863.47</v>
      </c>
      <c r="J197" t="str">
        <f t="shared" si="21"/>
        <v>Low</v>
      </c>
      <c r="K197" s="4">
        <f t="shared" si="22"/>
        <v>30004</v>
      </c>
      <c r="L197">
        <f t="shared" si="23"/>
        <v>32</v>
      </c>
      <c r="M197" s="3" t="e">
        <f t="shared" si="24"/>
        <v>#N/A</v>
      </c>
      <c r="N197" t="e">
        <f t="shared" si="25"/>
        <v>#N/A</v>
      </c>
      <c r="O197" s="3" t="e">
        <f t="shared" si="26"/>
        <v>#N/A</v>
      </c>
      <c r="P197" t="e">
        <f t="shared" si="27"/>
        <v>#N/A</v>
      </c>
    </row>
    <row r="198" spans="1:16" x14ac:dyDescent="0.25">
      <c r="A198">
        <v>550</v>
      </c>
      <c r="B198">
        <v>53</v>
      </c>
      <c r="C198" t="s">
        <v>12</v>
      </c>
      <c r="D198" s="3">
        <v>47499</v>
      </c>
      <c r="E198">
        <v>85</v>
      </c>
      <c r="F198">
        <v>2</v>
      </c>
      <c r="G198">
        <v>45</v>
      </c>
      <c r="H198" t="s">
        <v>15</v>
      </c>
      <c r="I198">
        <v>338.69</v>
      </c>
      <c r="J198" t="str">
        <f t="shared" si="21"/>
        <v>Low</v>
      </c>
      <c r="K198" s="4">
        <f t="shared" si="22"/>
        <v>47499</v>
      </c>
      <c r="L198">
        <f t="shared" si="23"/>
        <v>85</v>
      </c>
      <c r="M198" s="3" t="e">
        <f t="shared" si="24"/>
        <v>#N/A</v>
      </c>
      <c r="N198" t="e">
        <f t="shared" si="25"/>
        <v>#N/A</v>
      </c>
      <c r="O198" s="3" t="e">
        <f t="shared" si="26"/>
        <v>#N/A</v>
      </c>
      <c r="P198" t="e">
        <f t="shared" si="27"/>
        <v>#N/A</v>
      </c>
    </row>
    <row r="199" spans="1:16" x14ac:dyDescent="0.25">
      <c r="A199">
        <v>553</v>
      </c>
      <c r="B199">
        <v>69</v>
      </c>
      <c r="C199" t="s">
        <v>12</v>
      </c>
      <c r="D199" s="3">
        <v>51759</v>
      </c>
      <c r="E199">
        <v>18</v>
      </c>
      <c r="F199">
        <v>9</v>
      </c>
      <c r="G199">
        <v>14</v>
      </c>
      <c r="H199" t="s">
        <v>15</v>
      </c>
      <c r="I199">
        <v>563.48</v>
      </c>
      <c r="J199" t="str">
        <f t="shared" si="21"/>
        <v>Medium</v>
      </c>
      <c r="K199" s="4" t="e">
        <f t="shared" si="22"/>
        <v>#N/A</v>
      </c>
      <c r="L199" t="e">
        <f t="shared" si="23"/>
        <v>#N/A</v>
      </c>
      <c r="M199" s="3">
        <f t="shared" si="24"/>
        <v>51759</v>
      </c>
      <c r="N199">
        <f t="shared" si="25"/>
        <v>18</v>
      </c>
      <c r="O199" s="3" t="e">
        <f t="shared" si="26"/>
        <v>#N/A</v>
      </c>
      <c r="P199" t="e">
        <f t="shared" si="27"/>
        <v>#N/A</v>
      </c>
    </row>
    <row r="200" spans="1:16" x14ac:dyDescent="0.25">
      <c r="A200">
        <v>558</v>
      </c>
      <c r="B200">
        <v>40</v>
      </c>
      <c r="C200" t="s">
        <v>12</v>
      </c>
      <c r="D200" s="3">
        <v>62536</v>
      </c>
      <c r="E200">
        <v>84</v>
      </c>
      <c r="F200">
        <v>4</v>
      </c>
      <c r="G200">
        <v>28</v>
      </c>
      <c r="H200" t="s">
        <v>15</v>
      </c>
      <c r="I200">
        <v>149.07</v>
      </c>
      <c r="J200" t="str">
        <f t="shared" si="21"/>
        <v>Medium</v>
      </c>
      <c r="K200" s="4" t="e">
        <f t="shared" si="22"/>
        <v>#N/A</v>
      </c>
      <c r="L200" t="e">
        <f t="shared" si="23"/>
        <v>#N/A</v>
      </c>
      <c r="M200" s="3">
        <f t="shared" si="24"/>
        <v>62536</v>
      </c>
      <c r="N200">
        <f t="shared" si="25"/>
        <v>84</v>
      </c>
      <c r="O200" s="3" t="e">
        <f t="shared" si="26"/>
        <v>#N/A</v>
      </c>
      <c r="P200" t="e">
        <f t="shared" si="27"/>
        <v>#N/A</v>
      </c>
    </row>
    <row r="201" spans="1:16" x14ac:dyDescent="0.25">
      <c r="A201">
        <v>590</v>
      </c>
      <c r="B201">
        <v>33</v>
      </c>
      <c r="C201" t="s">
        <v>12</v>
      </c>
      <c r="D201" s="3">
        <v>93599</v>
      </c>
      <c r="E201">
        <v>22</v>
      </c>
      <c r="F201">
        <v>4</v>
      </c>
      <c r="G201">
        <v>37</v>
      </c>
      <c r="H201" t="s">
        <v>15</v>
      </c>
      <c r="I201">
        <v>274.95999999999998</v>
      </c>
      <c r="J201" t="str">
        <f t="shared" si="21"/>
        <v>Medium</v>
      </c>
      <c r="K201" s="4" t="e">
        <f t="shared" si="22"/>
        <v>#N/A</v>
      </c>
      <c r="L201" t="e">
        <f t="shared" si="23"/>
        <v>#N/A</v>
      </c>
      <c r="M201" s="3">
        <f t="shared" si="24"/>
        <v>93599</v>
      </c>
      <c r="N201">
        <f t="shared" si="25"/>
        <v>22</v>
      </c>
      <c r="O201" s="3" t="e">
        <f t="shared" si="26"/>
        <v>#N/A</v>
      </c>
      <c r="P201" t="e">
        <f t="shared" si="27"/>
        <v>#N/A</v>
      </c>
    </row>
    <row r="202" spans="1:16" x14ac:dyDescent="0.25">
      <c r="A202">
        <v>592</v>
      </c>
      <c r="B202">
        <v>22</v>
      </c>
      <c r="C202" t="s">
        <v>12</v>
      </c>
      <c r="D202" s="3">
        <v>100730</v>
      </c>
      <c r="E202">
        <v>4</v>
      </c>
      <c r="F202">
        <v>5</v>
      </c>
      <c r="G202">
        <v>10</v>
      </c>
      <c r="H202" t="s">
        <v>15</v>
      </c>
      <c r="I202">
        <v>459.58</v>
      </c>
      <c r="J202" t="str">
        <f t="shared" si="21"/>
        <v>High</v>
      </c>
      <c r="K202" s="4" t="e">
        <f t="shared" si="22"/>
        <v>#N/A</v>
      </c>
      <c r="L202" t="e">
        <f t="shared" si="23"/>
        <v>#N/A</v>
      </c>
      <c r="M202" s="3" t="e">
        <f t="shared" si="24"/>
        <v>#N/A</v>
      </c>
      <c r="N202" t="e">
        <f t="shared" si="25"/>
        <v>#N/A</v>
      </c>
      <c r="O202" s="3">
        <f t="shared" si="26"/>
        <v>100730</v>
      </c>
      <c r="P202">
        <f t="shared" si="27"/>
        <v>4</v>
      </c>
    </row>
    <row r="203" spans="1:16" x14ac:dyDescent="0.25">
      <c r="A203">
        <v>600</v>
      </c>
      <c r="B203">
        <v>52</v>
      </c>
      <c r="C203" t="s">
        <v>12</v>
      </c>
      <c r="D203" s="3">
        <v>127010</v>
      </c>
      <c r="E203">
        <v>76</v>
      </c>
      <c r="F203">
        <v>8</v>
      </c>
      <c r="G203">
        <v>26</v>
      </c>
      <c r="H203" t="s">
        <v>15</v>
      </c>
      <c r="I203">
        <v>13.46</v>
      </c>
      <c r="J203" t="str">
        <f t="shared" si="21"/>
        <v>High</v>
      </c>
      <c r="K203" s="4" t="e">
        <f t="shared" si="22"/>
        <v>#N/A</v>
      </c>
      <c r="L203" t="e">
        <f t="shared" si="23"/>
        <v>#N/A</v>
      </c>
      <c r="M203" s="3" t="e">
        <f t="shared" si="24"/>
        <v>#N/A</v>
      </c>
      <c r="N203" t="e">
        <f t="shared" si="25"/>
        <v>#N/A</v>
      </c>
      <c r="O203" s="3">
        <f t="shared" si="26"/>
        <v>127010</v>
      </c>
      <c r="P203">
        <f t="shared" si="27"/>
        <v>76</v>
      </c>
    </row>
    <row r="204" spans="1:16" x14ac:dyDescent="0.25">
      <c r="A204">
        <v>644</v>
      </c>
      <c r="B204">
        <v>54</v>
      </c>
      <c r="C204" t="s">
        <v>12</v>
      </c>
      <c r="D204" s="3">
        <v>132403</v>
      </c>
      <c r="E204">
        <v>83</v>
      </c>
      <c r="F204">
        <v>3</v>
      </c>
      <c r="G204">
        <v>2</v>
      </c>
      <c r="H204" t="s">
        <v>15</v>
      </c>
      <c r="I204">
        <v>45.2</v>
      </c>
      <c r="J204" t="str">
        <f t="shared" si="21"/>
        <v>High</v>
      </c>
      <c r="K204" s="4" t="e">
        <f t="shared" si="22"/>
        <v>#N/A</v>
      </c>
      <c r="L204" t="e">
        <f t="shared" si="23"/>
        <v>#N/A</v>
      </c>
      <c r="M204" s="3" t="e">
        <f t="shared" si="24"/>
        <v>#N/A</v>
      </c>
      <c r="N204" t="e">
        <f t="shared" si="25"/>
        <v>#N/A</v>
      </c>
      <c r="O204" s="3">
        <f t="shared" si="26"/>
        <v>132403</v>
      </c>
      <c r="P204">
        <f t="shared" si="27"/>
        <v>83</v>
      </c>
    </row>
    <row r="205" spans="1:16" x14ac:dyDescent="0.25">
      <c r="A205">
        <v>649</v>
      </c>
      <c r="B205">
        <v>27</v>
      </c>
      <c r="C205" t="s">
        <v>12</v>
      </c>
      <c r="D205" s="3">
        <v>147360</v>
      </c>
      <c r="E205">
        <v>96</v>
      </c>
      <c r="F205">
        <v>3</v>
      </c>
      <c r="G205">
        <v>26</v>
      </c>
      <c r="H205" t="s">
        <v>15</v>
      </c>
      <c r="I205">
        <v>26.1</v>
      </c>
      <c r="J205" t="str">
        <f t="shared" si="21"/>
        <v>High</v>
      </c>
      <c r="K205" s="4" t="e">
        <f t="shared" si="22"/>
        <v>#N/A</v>
      </c>
      <c r="L205" t="e">
        <f t="shared" si="23"/>
        <v>#N/A</v>
      </c>
      <c r="M205" s="3" t="e">
        <f t="shared" si="24"/>
        <v>#N/A</v>
      </c>
      <c r="N205" t="e">
        <f t="shared" si="25"/>
        <v>#N/A</v>
      </c>
      <c r="O205" s="3">
        <f t="shared" si="26"/>
        <v>147360</v>
      </c>
      <c r="P205">
        <f t="shared" si="27"/>
        <v>96</v>
      </c>
    </row>
    <row r="206" spans="1:16" x14ac:dyDescent="0.25">
      <c r="A206">
        <v>654</v>
      </c>
      <c r="B206">
        <v>48</v>
      </c>
      <c r="C206" t="s">
        <v>12</v>
      </c>
      <c r="D206" s="3">
        <v>82356</v>
      </c>
      <c r="E206">
        <v>97</v>
      </c>
      <c r="F206">
        <v>1</v>
      </c>
      <c r="G206">
        <v>35</v>
      </c>
      <c r="H206" t="s">
        <v>15</v>
      </c>
      <c r="I206">
        <v>204.55</v>
      </c>
      <c r="J206" t="str">
        <f t="shared" si="21"/>
        <v>Medium</v>
      </c>
      <c r="K206" s="4" t="e">
        <f t="shared" si="22"/>
        <v>#N/A</v>
      </c>
      <c r="L206" t="e">
        <f t="shared" si="23"/>
        <v>#N/A</v>
      </c>
      <c r="M206" s="3">
        <f t="shared" si="24"/>
        <v>82356</v>
      </c>
      <c r="N206">
        <f t="shared" si="25"/>
        <v>97</v>
      </c>
      <c r="O206" s="3" t="e">
        <f t="shared" si="26"/>
        <v>#N/A</v>
      </c>
      <c r="P206" t="e">
        <f t="shared" si="27"/>
        <v>#N/A</v>
      </c>
    </row>
    <row r="207" spans="1:16" x14ac:dyDescent="0.25">
      <c r="A207">
        <v>688</v>
      </c>
      <c r="B207">
        <v>30</v>
      </c>
      <c r="C207" t="s">
        <v>12</v>
      </c>
      <c r="D207" s="3">
        <v>94970</v>
      </c>
      <c r="E207">
        <v>15</v>
      </c>
      <c r="F207">
        <v>4</v>
      </c>
      <c r="G207">
        <v>11</v>
      </c>
      <c r="H207" t="s">
        <v>15</v>
      </c>
      <c r="I207">
        <v>250.07</v>
      </c>
      <c r="J207" t="str">
        <f t="shared" si="21"/>
        <v>Medium</v>
      </c>
      <c r="K207" s="4" t="e">
        <f t="shared" si="22"/>
        <v>#N/A</v>
      </c>
      <c r="L207" t="e">
        <f t="shared" si="23"/>
        <v>#N/A</v>
      </c>
      <c r="M207" s="3">
        <f t="shared" si="24"/>
        <v>94970</v>
      </c>
      <c r="N207">
        <f t="shared" si="25"/>
        <v>15</v>
      </c>
      <c r="O207" s="3" t="e">
        <f t="shared" si="26"/>
        <v>#N/A</v>
      </c>
      <c r="P207" t="e">
        <f t="shared" si="27"/>
        <v>#N/A</v>
      </c>
    </row>
    <row r="208" spans="1:16" x14ac:dyDescent="0.25">
      <c r="A208">
        <v>694</v>
      </c>
      <c r="B208">
        <v>64</v>
      </c>
      <c r="C208" t="s">
        <v>12</v>
      </c>
      <c r="D208" s="3">
        <v>32144</v>
      </c>
      <c r="E208">
        <v>76</v>
      </c>
      <c r="F208">
        <v>2</v>
      </c>
      <c r="G208">
        <v>28</v>
      </c>
      <c r="H208" t="s">
        <v>15</v>
      </c>
      <c r="I208">
        <v>902.66</v>
      </c>
      <c r="J208" t="str">
        <f t="shared" si="21"/>
        <v>Low</v>
      </c>
      <c r="K208" s="4">
        <f t="shared" si="22"/>
        <v>32144</v>
      </c>
      <c r="L208">
        <f t="shared" si="23"/>
        <v>76</v>
      </c>
      <c r="M208" s="3" t="e">
        <f t="shared" si="24"/>
        <v>#N/A</v>
      </c>
      <c r="N208" t="e">
        <f t="shared" si="25"/>
        <v>#N/A</v>
      </c>
      <c r="O208" s="3" t="e">
        <f t="shared" si="26"/>
        <v>#N/A</v>
      </c>
      <c r="P208" t="e">
        <f t="shared" si="27"/>
        <v>#N/A</v>
      </c>
    </row>
    <row r="209" spans="1:16" x14ac:dyDescent="0.25">
      <c r="A209">
        <v>714</v>
      </c>
      <c r="B209">
        <v>30</v>
      </c>
      <c r="C209" t="s">
        <v>12</v>
      </c>
      <c r="D209" s="3">
        <v>100115</v>
      </c>
      <c r="E209">
        <v>54</v>
      </c>
      <c r="F209">
        <v>2</v>
      </c>
      <c r="G209">
        <v>36</v>
      </c>
      <c r="H209" t="s">
        <v>15</v>
      </c>
      <c r="I209">
        <v>789.67</v>
      </c>
      <c r="J209" t="str">
        <f t="shared" si="21"/>
        <v>High</v>
      </c>
      <c r="K209" s="4" t="e">
        <f t="shared" si="22"/>
        <v>#N/A</v>
      </c>
      <c r="L209" t="e">
        <f t="shared" si="23"/>
        <v>#N/A</v>
      </c>
      <c r="M209" s="3" t="e">
        <f t="shared" si="24"/>
        <v>#N/A</v>
      </c>
      <c r="N209" t="e">
        <f t="shared" si="25"/>
        <v>#N/A</v>
      </c>
      <c r="O209" s="3">
        <f t="shared" si="26"/>
        <v>100115</v>
      </c>
      <c r="P209">
        <f t="shared" si="27"/>
        <v>54</v>
      </c>
    </row>
    <row r="210" spans="1:16" x14ac:dyDescent="0.25">
      <c r="A210">
        <v>729</v>
      </c>
      <c r="B210">
        <v>50</v>
      </c>
      <c r="C210" t="s">
        <v>12</v>
      </c>
      <c r="D210" s="3">
        <v>86985</v>
      </c>
      <c r="E210">
        <v>77</v>
      </c>
      <c r="F210">
        <v>8</v>
      </c>
      <c r="G210">
        <v>11</v>
      </c>
      <c r="H210" t="s">
        <v>15</v>
      </c>
      <c r="I210">
        <v>964.1</v>
      </c>
      <c r="J210" t="str">
        <f t="shared" si="21"/>
        <v>Medium</v>
      </c>
      <c r="K210" s="4" t="e">
        <f t="shared" si="22"/>
        <v>#N/A</v>
      </c>
      <c r="L210" t="e">
        <f t="shared" si="23"/>
        <v>#N/A</v>
      </c>
      <c r="M210" s="3">
        <f t="shared" si="24"/>
        <v>86985</v>
      </c>
      <c r="N210">
        <f t="shared" si="25"/>
        <v>77</v>
      </c>
      <c r="O210" s="3" t="e">
        <f t="shared" si="26"/>
        <v>#N/A</v>
      </c>
      <c r="P210" t="e">
        <f t="shared" si="27"/>
        <v>#N/A</v>
      </c>
    </row>
    <row r="211" spans="1:16" x14ac:dyDescent="0.25">
      <c r="A211">
        <v>743</v>
      </c>
      <c r="B211">
        <v>64</v>
      </c>
      <c r="C211" t="s">
        <v>12</v>
      </c>
      <c r="D211" s="3">
        <v>132277</v>
      </c>
      <c r="E211">
        <v>81</v>
      </c>
      <c r="F211">
        <v>5</v>
      </c>
      <c r="G211">
        <v>30</v>
      </c>
      <c r="H211" t="s">
        <v>15</v>
      </c>
      <c r="I211">
        <v>505.24</v>
      </c>
      <c r="J211" t="str">
        <f t="shared" si="21"/>
        <v>High</v>
      </c>
      <c r="K211" s="4" t="e">
        <f t="shared" si="22"/>
        <v>#N/A</v>
      </c>
      <c r="L211" t="e">
        <f t="shared" si="23"/>
        <v>#N/A</v>
      </c>
      <c r="M211" s="3" t="e">
        <f t="shared" si="24"/>
        <v>#N/A</v>
      </c>
      <c r="N211" t="e">
        <f t="shared" si="25"/>
        <v>#N/A</v>
      </c>
      <c r="O211" s="3">
        <f t="shared" si="26"/>
        <v>132277</v>
      </c>
      <c r="P211">
        <f t="shared" si="27"/>
        <v>81</v>
      </c>
    </row>
    <row r="212" spans="1:16" x14ac:dyDescent="0.25">
      <c r="A212">
        <v>760</v>
      </c>
      <c r="B212">
        <v>27</v>
      </c>
      <c r="C212" t="s">
        <v>12</v>
      </c>
      <c r="D212" s="3">
        <v>80545</v>
      </c>
      <c r="E212">
        <v>63</v>
      </c>
      <c r="F212">
        <v>6</v>
      </c>
      <c r="G212">
        <v>46</v>
      </c>
      <c r="H212" t="s">
        <v>15</v>
      </c>
      <c r="I212">
        <v>575.98</v>
      </c>
      <c r="J212" t="str">
        <f t="shared" si="21"/>
        <v>Medium</v>
      </c>
      <c r="K212" s="4" t="e">
        <f t="shared" si="22"/>
        <v>#N/A</v>
      </c>
      <c r="L212" t="e">
        <f t="shared" si="23"/>
        <v>#N/A</v>
      </c>
      <c r="M212" s="3">
        <f t="shared" si="24"/>
        <v>80545</v>
      </c>
      <c r="N212">
        <f t="shared" si="25"/>
        <v>63</v>
      </c>
      <c r="O212" s="3" t="e">
        <f t="shared" si="26"/>
        <v>#N/A</v>
      </c>
      <c r="P212" t="e">
        <f t="shared" si="27"/>
        <v>#N/A</v>
      </c>
    </row>
    <row r="213" spans="1:16" x14ac:dyDescent="0.25">
      <c r="A213">
        <v>762</v>
      </c>
      <c r="B213">
        <v>57</v>
      </c>
      <c r="C213" t="s">
        <v>12</v>
      </c>
      <c r="D213" s="3">
        <v>145190</v>
      </c>
      <c r="E213">
        <v>42</v>
      </c>
      <c r="F213">
        <v>9</v>
      </c>
      <c r="G213">
        <v>8</v>
      </c>
      <c r="H213" t="s">
        <v>15</v>
      </c>
      <c r="I213">
        <v>971.83</v>
      </c>
      <c r="J213" t="str">
        <f t="shared" si="21"/>
        <v>High</v>
      </c>
      <c r="K213" s="4" t="e">
        <f t="shared" si="22"/>
        <v>#N/A</v>
      </c>
      <c r="L213" t="e">
        <f t="shared" si="23"/>
        <v>#N/A</v>
      </c>
      <c r="M213" s="3" t="e">
        <f t="shared" si="24"/>
        <v>#N/A</v>
      </c>
      <c r="N213" t="e">
        <f t="shared" si="25"/>
        <v>#N/A</v>
      </c>
      <c r="O213" s="3">
        <f t="shared" si="26"/>
        <v>145190</v>
      </c>
      <c r="P213">
        <f t="shared" si="27"/>
        <v>42</v>
      </c>
    </row>
    <row r="214" spans="1:16" x14ac:dyDescent="0.25">
      <c r="A214">
        <v>769</v>
      </c>
      <c r="B214">
        <v>19</v>
      </c>
      <c r="C214" t="s">
        <v>12</v>
      </c>
      <c r="D214" s="3">
        <v>85583</v>
      </c>
      <c r="E214">
        <v>61</v>
      </c>
      <c r="F214">
        <v>5</v>
      </c>
      <c r="G214">
        <v>43</v>
      </c>
      <c r="H214" t="s">
        <v>15</v>
      </c>
      <c r="I214">
        <v>316.35000000000002</v>
      </c>
      <c r="J214" t="str">
        <f t="shared" si="21"/>
        <v>Medium</v>
      </c>
      <c r="K214" s="4" t="e">
        <f t="shared" si="22"/>
        <v>#N/A</v>
      </c>
      <c r="L214" t="e">
        <f t="shared" si="23"/>
        <v>#N/A</v>
      </c>
      <c r="M214" s="3">
        <f t="shared" si="24"/>
        <v>85583</v>
      </c>
      <c r="N214">
        <f t="shared" si="25"/>
        <v>61</v>
      </c>
      <c r="O214" s="3" t="e">
        <f t="shared" si="26"/>
        <v>#N/A</v>
      </c>
      <c r="P214" t="e">
        <f t="shared" si="27"/>
        <v>#N/A</v>
      </c>
    </row>
    <row r="215" spans="1:16" x14ac:dyDescent="0.25">
      <c r="A215">
        <v>775</v>
      </c>
      <c r="B215">
        <v>24</v>
      </c>
      <c r="C215" t="s">
        <v>12</v>
      </c>
      <c r="D215" s="3">
        <v>51225</v>
      </c>
      <c r="E215">
        <v>21</v>
      </c>
      <c r="F215">
        <v>6</v>
      </c>
      <c r="G215">
        <v>31</v>
      </c>
      <c r="H215" t="s">
        <v>15</v>
      </c>
      <c r="I215">
        <v>235.64</v>
      </c>
      <c r="J215" t="str">
        <f t="shared" si="21"/>
        <v>Medium</v>
      </c>
      <c r="K215" s="4" t="e">
        <f t="shared" si="22"/>
        <v>#N/A</v>
      </c>
      <c r="L215" t="e">
        <f t="shared" si="23"/>
        <v>#N/A</v>
      </c>
      <c r="M215" s="3">
        <f t="shared" si="24"/>
        <v>51225</v>
      </c>
      <c r="N215">
        <f t="shared" si="25"/>
        <v>21</v>
      </c>
      <c r="O215" s="3" t="e">
        <f t="shared" si="26"/>
        <v>#N/A</v>
      </c>
      <c r="P215" t="e">
        <f t="shared" si="27"/>
        <v>#N/A</v>
      </c>
    </row>
    <row r="216" spans="1:16" x14ac:dyDescent="0.25">
      <c r="A216">
        <v>786</v>
      </c>
      <c r="B216">
        <v>30</v>
      </c>
      <c r="C216" t="s">
        <v>12</v>
      </c>
      <c r="D216" s="3">
        <v>43192</v>
      </c>
      <c r="E216">
        <v>61</v>
      </c>
      <c r="F216">
        <v>1</v>
      </c>
      <c r="G216">
        <v>27</v>
      </c>
      <c r="H216" t="s">
        <v>15</v>
      </c>
      <c r="I216">
        <v>614.39</v>
      </c>
      <c r="J216" t="str">
        <f t="shared" si="21"/>
        <v>Low</v>
      </c>
      <c r="K216" s="4">
        <f t="shared" si="22"/>
        <v>43192</v>
      </c>
      <c r="L216">
        <f t="shared" si="23"/>
        <v>61</v>
      </c>
      <c r="M216" s="3" t="e">
        <f t="shared" si="24"/>
        <v>#N/A</v>
      </c>
      <c r="N216" t="e">
        <f t="shared" si="25"/>
        <v>#N/A</v>
      </c>
      <c r="O216" s="3" t="e">
        <f t="shared" si="26"/>
        <v>#N/A</v>
      </c>
      <c r="P216" t="e">
        <f t="shared" si="27"/>
        <v>#N/A</v>
      </c>
    </row>
    <row r="217" spans="1:16" x14ac:dyDescent="0.25">
      <c r="A217">
        <v>790</v>
      </c>
      <c r="B217">
        <v>61</v>
      </c>
      <c r="C217" t="s">
        <v>12</v>
      </c>
      <c r="D217" s="3">
        <v>96409</v>
      </c>
      <c r="E217">
        <v>66</v>
      </c>
      <c r="F217">
        <v>1</v>
      </c>
      <c r="G217">
        <v>32</v>
      </c>
      <c r="H217" t="s">
        <v>15</v>
      </c>
      <c r="I217">
        <v>674.93</v>
      </c>
      <c r="J217" t="str">
        <f t="shared" si="21"/>
        <v>Medium</v>
      </c>
      <c r="K217" s="4" t="e">
        <f t="shared" si="22"/>
        <v>#N/A</v>
      </c>
      <c r="L217" t="e">
        <f t="shared" si="23"/>
        <v>#N/A</v>
      </c>
      <c r="M217" s="3">
        <f t="shared" si="24"/>
        <v>96409</v>
      </c>
      <c r="N217">
        <f t="shared" si="25"/>
        <v>66</v>
      </c>
      <c r="O217" s="3" t="e">
        <f t="shared" si="26"/>
        <v>#N/A</v>
      </c>
      <c r="P217" t="e">
        <f t="shared" si="27"/>
        <v>#N/A</v>
      </c>
    </row>
    <row r="218" spans="1:16" x14ac:dyDescent="0.25">
      <c r="A218">
        <v>813</v>
      </c>
      <c r="B218">
        <v>19</v>
      </c>
      <c r="C218" t="s">
        <v>12</v>
      </c>
      <c r="D218" s="3">
        <v>68304</v>
      </c>
      <c r="E218">
        <v>9</v>
      </c>
      <c r="F218">
        <v>10</v>
      </c>
      <c r="G218">
        <v>28</v>
      </c>
      <c r="H218" t="s">
        <v>15</v>
      </c>
      <c r="I218">
        <v>864.57</v>
      </c>
      <c r="J218" t="str">
        <f t="shared" si="21"/>
        <v>Medium</v>
      </c>
      <c r="K218" s="4" t="e">
        <f t="shared" si="22"/>
        <v>#N/A</v>
      </c>
      <c r="L218" t="e">
        <f t="shared" si="23"/>
        <v>#N/A</v>
      </c>
      <c r="M218" s="3">
        <f t="shared" si="24"/>
        <v>68304</v>
      </c>
      <c r="N218">
        <f t="shared" si="25"/>
        <v>9</v>
      </c>
      <c r="O218" s="3" t="e">
        <f t="shared" si="26"/>
        <v>#N/A</v>
      </c>
      <c r="P218" t="e">
        <f t="shared" si="27"/>
        <v>#N/A</v>
      </c>
    </row>
    <row r="219" spans="1:16" x14ac:dyDescent="0.25">
      <c r="A219">
        <v>823</v>
      </c>
      <c r="B219">
        <v>69</v>
      </c>
      <c r="C219" t="s">
        <v>12</v>
      </c>
      <c r="D219" s="3">
        <v>85068</v>
      </c>
      <c r="E219">
        <v>54</v>
      </c>
      <c r="F219">
        <v>6</v>
      </c>
      <c r="G219">
        <v>24</v>
      </c>
      <c r="H219" t="s">
        <v>15</v>
      </c>
      <c r="I219">
        <v>846.68</v>
      </c>
      <c r="J219" t="str">
        <f t="shared" si="21"/>
        <v>Medium</v>
      </c>
      <c r="K219" s="4" t="e">
        <f t="shared" si="22"/>
        <v>#N/A</v>
      </c>
      <c r="L219" t="e">
        <f t="shared" si="23"/>
        <v>#N/A</v>
      </c>
      <c r="M219" s="3">
        <f t="shared" si="24"/>
        <v>85068</v>
      </c>
      <c r="N219">
        <f t="shared" si="25"/>
        <v>54</v>
      </c>
      <c r="O219" s="3" t="e">
        <f t="shared" si="26"/>
        <v>#N/A</v>
      </c>
      <c r="P219" t="e">
        <f t="shared" si="27"/>
        <v>#N/A</v>
      </c>
    </row>
    <row r="220" spans="1:16" x14ac:dyDescent="0.25">
      <c r="A220">
        <v>839</v>
      </c>
      <c r="B220">
        <v>43</v>
      </c>
      <c r="C220" t="s">
        <v>12</v>
      </c>
      <c r="D220" s="3">
        <v>90687</v>
      </c>
      <c r="E220">
        <v>9</v>
      </c>
      <c r="F220">
        <v>5</v>
      </c>
      <c r="G220">
        <v>24</v>
      </c>
      <c r="H220" t="s">
        <v>15</v>
      </c>
      <c r="I220">
        <v>531.25</v>
      </c>
      <c r="J220" t="str">
        <f t="shared" si="21"/>
        <v>Medium</v>
      </c>
      <c r="K220" s="4" t="e">
        <f t="shared" si="22"/>
        <v>#N/A</v>
      </c>
      <c r="L220" t="e">
        <f t="shared" si="23"/>
        <v>#N/A</v>
      </c>
      <c r="M220" s="3">
        <f t="shared" si="24"/>
        <v>90687</v>
      </c>
      <c r="N220">
        <f t="shared" si="25"/>
        <v>9</v>
      </c>
      <c r="O220" s="3" t="e">
        <f t="shared" si="26"/>
        <v>#N/A</v>
      </c>
      <c r="P220" t="e">
        <f t="shared" si="27"/>
        <v>#N/A</v>
      </c>
    </row>
    <row r="221" spans="1:16" x14ac:dyDescent="0.25">
      <c r="A221">
        <v>855</v>
      </c>
      <c r="B221">
        <v>18</v>
      </c>
      <c r="C221" t="s">
        <v>12</v>
      </c>
      <c r="D221" s="3">
        <v>30102</v>
      </c>
      <c r="E221">
        <v>35</v>
      </c>
      <c r="F221">
        <v>2</v>
      </c>
      <c r="G221">
        <v>6</v>
      </c>
      <c r="H221" t="s">
        <v>15</v>
      </c>
      <c r="I221">
        <v>739.27</v>
      </c>
      <c r="J221" t="str">
        <f t="shared" si="21"/>
        <v>Low</v>
      </c>
      <c r="K221" s="4">
        <f t="shared" si="22"/>
        <v>30102</v>
      </c>
      <c r="L221">
        <f t="shared" si="23"/>
        <v>35</v>
      </c>
      <c r="M221" s="3" t="e">
        <f t="shared" si="24"/>
        <v>#N/A</v>
      </c>
      <c r="N221" t="e">
        <f t="shared" si="25"/>
        <v>#N/A</v>
      </c>
      <c r="O221" s="3" t="e">
        <f t="shared" si="26"/>
        <v>#N/A</v>
      </c>
      <c r="P221" t="e">
        <f t="shared" si="27"/>
        <v>#N/A</v>
      </c>
    </row>
    <row r="222" spans="1:16" x14ac:dyDescent="0.25">
      <c r="A222">
        <v>872</v>
      </c>
      <c r="B222">
        <v>63</v>
      </c>
      <c r="C222" t="s">
        <v>12</v>
      </c>
      <c r="D222" s="3">
        <v>33546</v>
      </c>
      <c r="E222">
        <v>18</v>
      </c>
      <c r="F222">
        <v>9</v>
      </c>
      <c r="G222">
        <v>31</v>
      </c>
      <c r="H222" t="s">
        <v>15</v>
      </c>
      <c r="I222">
        <v>191.8</v>
      </c>
      <c r="J222" t="str">
        <f t="shared" si="21"/>
        <v>Low</v>
      </c>
      <c r="K222" s="4">
        <f t="shared" si="22"/>
        <v>33546</v>
      </c>
      <c r="L222">
        <f t="shared" si="23"/>
        <v>18</v>
      </c>
      <c r="M222" s="3" t="e">
        <f t="shared" si="24"/>
        <v>#N/A</v>
      </c>
      <c r="N222" t="e">
        <f t="shared" si="25"/>
        <v>#N/A</v>
      </c>
      <c r="O222" s="3" t="e">
        <f t="shared" si="26"/>
        <v>#N/A</v>
      </c>
      <c r="P222" t="e">
        <f t="shared" si="27"/>
        <v>#N/A</v>
      </c>
    </row>
    <row r="223" spans="1:16" x14ac:dyDescent="0.25">
      <c r="A223">
        <v>879</v>
      </c>
      <c r="B223">
        <v>51</v>
      </c>
      <c r="C223" t="s">
        <v>12</v>
      </c>
      <c r="D223" s="3">
        <v>80995</v>
      </c>
      <c r="E223">
        <v>68</v>
      </c>
      <c r="F223">
        <v>1</v>
      </c>
      <c r="G223">
        <v>18</v>
      </c>
      <c r="H223" t="s">
        <v>15</v>
      </c>
      <c r="I223">
        <v>863.54</v>
      </c>
      <c r="J223" t="str">
        <f t="shared" si="21"/>
        <v>Medium</v>
      </c>
      <c r="K223" s="4" t="e">
        <f t="shared" si="22"/>
        <v>#N/A</v>
      </c>
      <c r="L223" t="e">
        <f t="shared" si="23"/>
        <v>#N/A</v>
      </c>
      <c r="M223" s="3">
        <f t="shared" si="24"/>
        <v>80995</v>
      </c>
      <c r="N223">
        <f t="shared" si="25"/>
        <v>68</v>
      </c>
      <c r="O223" s="3" t="e">
        <f t="shared" si="26"/>
        <v>#N/A</v>
      </c>
      <c r="P223" t="e">
        <f t="shared" si="27"/>
        <v>#N/A</v>
      </c>
    </row>
    <row r="224" spans="1:16" x14ac:dyDescent="0.25">
      <c r="A224">
        <v>896</v>
      </c>
      <c r="B224">
        <v>53</v>
      </c>
      <c r="C224" t="s">
        <v>12</v>
      </c>
      <c r="D224" s="3">
        <v>137307</v>
      </c>
      <c r="E224">
        <v>34</v>
      </c>
      <c r="F224">
        <v>1</v>
      </c>
      <c r="G224">
        <v>26</v>
      </c>
      <c r="H224" t="s">
        <v>15</v>
      </c>
      <c r="I224">
        <v>952.12</v>
      </c>
      <c r="J224" t="str">
        <f t="shared" si="21"/>
        <v>High</v>
      </c>
      <c r="K224" s="4" t="e">
        <f t="shared" si="22"/>
        <v>#N/A</v>
      </c>
      <c r="L224" t="e">
        <f t="shared" si="23"/>
        <v>#N/A</v>
      </c>
      <c r="M224" s="3" t="e">
        <f t="shared" si="24"/>
        <v>#N/A</v>
      </c>
      <c r="N224" t="e">
        <f t="shared" si="25"/>
        <v>#N/A</v>
      </c>
      <c r="O224" s="3">
        <f t="shared" si="26"/>
        <v>137307</v>
      </c>
      <c r="P224">
        <f t="shared" si="27"/>
        <v>34</v>
      </c>
    </row>
    <row r="225" spans="1:16" x14ac:dyDescent="0.25">
      <c r="A225">
        <v>905</v>
      </c>
      <c r="B225">
        <v>64</v>
      </c>
      <c r="C225" t="s">
        <v>12</v>
      </c>
      <c r="D225" s="3">
        <v>139658</v>
      </c>
      <c r="E225">
        <v>77</v>
      </c>
      <c r="F225">
        <v>6</v>
      </c>
      <c r="G225">
        <v>26</v>
      </c>
      <c r="H225" t="s">
        <v>15</v>
      </c>
      <c r="I225">
        <v>71.97</v>
      </c>
      <c r="J225" t="str">
        <f t="shared" si="21"/>
        <v>High</v>
      </c>
      <c r="K225" s="4" t="e">
        <f t="shared" si="22"/>
        <v>#N/A</v>
      </c>
      <c r="L225" t="e">
        <f t="shared" si="23"/>
        <v>#N/A</v>
      </c>
      <c r="M225" s="3" t="e">
        <f t="shared" si="24"/>
        <v>#N/A</v>
      </c>
      <c r="N225" t="e">
        <f t="shared" si="25"/>
        <v>#N/A</v>
      </c>
      <c r="O225" s="3">
        <f t="shared" si="26"/>
        <v>139658</v>
      </c>
      <c r="P225">
        <f t="shared" si="27"/>
        <v>77</v>
      </c>
    </row>
    <row r="226" spans="1:16" x14ac:dyDescent="0.25">
      <c r="A226">
        <v>923</v>
      </c>
      <c r="B226">
        <v>68</v>
      </c>
      <c r="C226" t="s">
        <v>12</v>
      </c>
      <c r="D226" s="3">
        <v>107702</v>
      </c>
      <c r="E226">
        <v>73</v>
      </c>
      <c r="F226">
        <v>4</v>
      </c>
      <c r="G226">
        <v>2</v>
      </c>
      <c r="H226" t="s">
        <v>15</v>
      </c>
      <c r="I226">
        <v>136.03</v>
      </c>
      <c r="J226" t="str">
        <f t="shared" si="21"/>
        <v>High</v>
      </c>
      <c r="K226" s="4" t="e">
        <f t="shared" si="22"/>
        <v>#N/A</v>
      </c>
      <c r="L226" t="e">
        <f t="shared" si="23"/>
        <v>#N/A</v>
      </c>
      <c r="M226" s="3" t="e">
        <f t="shared" si="24"/>
        <v>#N/A</v>
      </c>
      <c r="N226" t="e">
        <f t="shared" si="25"/>
        <v>#N/A</v>
      </c>
      <c r="O226" s="3">
        <f t="shared" si="26"/>
        <v>107702</v>
      </c>
      <c r="P226">
        <f t="shared" si="27"/>
        <v>73</v>
      </c>
    </row>
    <row r="227" spans="1:16" x14ac:dyDescent="0.25">
      <c r="A227">
        <v>942</v>
      </c>
      <c r="B227">
        <v>36</v>
      </c>
      <c r="C227" t="s">
        <v>12</v>
      </c>
      <c r="D227" s="3">
        <v>33087</v>
      </c>
      <c r="E227">
        <v>69</v>
      </c>
      <c r="F227">
        <v>7</v>
      </c>
      <c r="G227">
        <v>21</v>
      </c>
      <c r="H227" t="s">
        <v>15</v>
      </c>
      <c r="I227">
        <v>651.79999999999995</v>
      </c>
      <c r="J227" t="str">
        <f t="shared" si="21"/>
        <v>Low</v>
      </c>
      <c r="K227" s="4">
        <f t="shared" si="22"/>
        <v>33087</v>
      </c>
      <c r="L227">
        <f t="shared" si="23"/>
        <v>69</v>
      </c>
      <c r="M227" s="3" t="e">
        <f t="shared" si="24"/>
        <v>#N/A</v>
      </c>
      <c r="N227" t="e">
        <f t="shared" si="25"/>
        <v>#N/A</v>
      </c>
      <c r="O227" s="3" t="e">
        <f t="shared" si="26"/>
        <v>#N/A</v>
      </c>
      <c r="P227" t="e">
        <f t="shared" si="27"/>
        <v>#N/A</v>
      </c>
    </row>
    <row r="228" spans="1:16" x14ac:dyDescent="0.25">
      <c r="A228">
        <v>953</v>
      </c>
      <c r="B228">
        <v>51</v>
      </c>
      <c r="C228" t="s">
        <v>12</v>
      </c>
      <c r="D228" s="3">
        <v>104830</v>
      </c>
      <c r="E228">
        <v>43</v>
      </c>
      <c r="F228">
        <v>9</v>
      </c>
      <c r="G228">
        <v>36</v>
      </c>
      <c r="H228" t="s">
        <v>15</v>
      </c>
      <c r="I228">
        <v>593.91999999999996</v>
      </c>
      <c r="J228" t="str">
        <f t="shared" si="21"/>
        <v>High</v>
      </c>
      <c r="K228" s="4" t="e">
        <f t="shared" si="22"/>
        <v>#N/A</v>
      </c>
      <c r="L228" t="e">
        <f t="shared" si="23"/>
        <v>#N/A</v>
      </c>
      <c r="M228" s="3" t="e">
        <f t="shared" si="24"/>
        <v>#N/A</v>
      </c>
      <c r="N228" t="e">
        <f t="shared" si="25"/>
        <v>#N/A</v>
      </c>
      <c r="O228" s="3">
        <f t="shared" si="26"/>
        <v>104830</v>
      </c>
      <c r="P228">
        <f t="shared" si="27"/>
        <v>43</v>
      </c>
    </row>
    <row r="229" spans="1:16" x14ac:dyDescent="0.25">
      <c r="A229">
        <v>955</v>
      </c>
      <c r="B229">
        <v>30</v>
      </c>
      <c r="C229" t="s">
        <v>12</v>
      </c>
      <c r="D229" s="3">
        <v>50661</v>
      </c>
      <c r="E229">
        <v>89</v>
      </c>
      <c r="F229">
        <v>9</v>
      </c>
      <c r="G229">
        <v>22</v>
      </c>
      <c r="H229" t="s">
        <v>15</v>
      </c>
      <c r="I229">
        <v>630.37</v>
      </c>
      <c r="J229" t="str">
        <f t="shared" si="21"/>
        <v>Medium</v>
      </c>
      <c r="K229" s="4" t="e">
        <f t="shared" si="22"/>
        <v>#N/A</v>
      </c>
      <c r="L229" t="e">
        <f t="shared" si="23"/>
        <v>#N/A</v>
      </c>
      <c r="M229" s="3">
        <f t="shared" si="24"/>
        <v>50661</v>
      </c>
      <c r="N229">
        <f t="shared" si="25"/>
        <v>89</v>
      </c>
      <c r="O229" s="3" t="e">
        <f t="shared" si="26"/>
        <v>#N/A</v>
      </c>
      <c r="P229" t="e">
        <f t="shared" si="27"/>
        <v>#N/A</v>
      </c>
    </row>
    <row r="230" spans="1:16" x14ac:dyDescent="0.25">
      <c r="A230">
        <v>987</v>
      </c>
      <c r="B230">
        <v>22</v>
      </c>
      <c r="C230" t="s">
        <v>12</v>
      </c>
      <c r="D230" s="3">
        <v>80049</v>
      </c>
      <c r="E230">
        <v>1</v>
      </c>
      <c r="F230">
        <v>10</v>
      </c>
      <c r="G230">
        <v>47</v>
      </c>
      <c r="H230" t="s">
        <v>15</v>
      </c>
      <c r="I230">
        <v>16.97</v>
      </c>
      <c r="J230" t="str">
        <f t="shared" si="21"/>
        <v>Medium</v>
      </c>
      <c r="K230" s="4" t="e">
        <f t="shared" si="22"/>
        <v>#N/A</v>
      </c>
      <c r="L230" t="e">
        <f t="shared" si="23"/>
        <v>#N/A</v>
      </c>
      <c r="M230" s="3">
        <f t="shared" si="24"/>
        <v>80049</v>
      </c>
      <c r="N230">
        <f t="shared" si="25"/>
        <v>1</v>
      </c>
      <c r="O230" s="3" t="e">
        <f t="shared" si="26"/>
        <v>#N/A</v>
      </c>
      <c r="P230" t="e">
        <f t="shared" si="27"/>
        <v>#N/A</v>
      </c>
    </row>
    <row r="231" spans="1:16" x14ac:dyDescent="0.25">
      <c r="A231">
        <v>998</v>
      </c>
      <c r="B231">
        <v>23</v>
      </c>
      <c r="C231" t="s">
        <v>12</v>
      </c>
      <c r="D231" s="3">
        <v>113097</v>
      </c>
      <c r="E231">
        <v>40</v>
      </c>
      <c r="F231">
        <v>5</v>
      </c>
      <c r="G231">
        <v>42</v>
      </c>
      <c r="H231" t="s">
        <v>15</v>
      </c>
      <c r="I231">
        <v>75.09</v>
      </c>
      <c r="J231" t="str">
        <f t="shared" si="21"/>
        <v>High</v>
      </c>
      <c r="K231" s="4" t="e">
        <f t="shared" si="22"/>
        <v>#N/A</v>
      </c>
      <c r="L231" t="e">
        <f t="shared" si="23"/>
        <v>#N/A</v>
      </c>
      <c r="M231" s="3" t="e">
        <f t="shared" si="24"/>
        <v>#N/A</v>
      </c>
      <c r="N231" t="e">
        <f t="shared" si="25"/>
        <v>#N/A</v>
      </c>
      <c r="O231" s="3">
        <f t="shared" si="26"/>
        <v>113097</v>
      </c>
      <c r="P231">
        <f t="shared" si="27"/>
        <v>40</v>
      </c>
    </row>
    <row r="232" spans="1:16" x14ac:dyDescent="0.25">
      <c r="A232">
        <v>8</v>
      </c>
      <c r="B232">
        <v>43</v>
      </c>
      <c r="C232" t="s">
        <v>12</v>
      </c>
      <c r="D232" s="3">
        <v>108115</v>
      </c>
      <c r="E232">
        <v>94</v>
      </c>
      <c r="F232">
        <v>9</v>
      </c>
      <c r="G232">
        <v>27</v>
      </c>
      <c r="H232" t="s">
        <v>16</v>
      </c>
      <c r="I232">
        <v>734.56</v>
      </c>
      <c r="J232" t="str">
        <f t="shared" si="21"/>
        <v>High</v>
      </c>
      <c r="K232" s="4" t="e">
        <f t="shared" si="22"/>
        <v>#N/A</v>
      </c>
      <c r="L232" t="e">
        <f t="shared" si="23"/>
        <v>#N/A</v>
      </c>
      <c r="M232" s="3" t="e">
        <f t="shared" si="24"/>
        <v>#N/A</v>
      </c>
      <c r="N232" t="e">
        <f t="shared" si="25"/>
        <v>#N/A</v>
      </c>
      <c r="O232" s="3">
        <f t="shared" si="26"/>
        <v>108115</v>
      </c>
      <c r="P232">
        <f t="shared" si="27"/>
        <v>94</v>
      </c>
    </row>
    <row r="233" spans="1:16" x14ac:dyDescent="0.25">
      <c r="A233">
        <v>20</v>
      </c>
      <c r="B233">
        <v>31</v>
      </c>
      <c r="C233" t="s">
        <v>12</v>
      </c>
      <c r="D233" s="3">
        <v>97103</v>
      </c>
      <c r="E233">
        <v>70</v>
      </c>
      <c r="F233">
        <v>3</v>
      </c>
      <c r="G233">
        <v>17</v>
      </c>
      <c r="H233" t="s">
        <v>16</v>
      </c>
      <c r="I233">
        <v>61.3</v>
      </c>
      <c r="J233" t="str">
        <f t="shared" si="21"/>
        <v>Medium</v>
      </c>
      <c r="K233" s="4" t="e">
        <f t="shared" si="22"/>
        <v>#N/A</v>
      </c>
      <c r="L233" t="e">
        <f t="shared" si="23"/>
        <v>#N/A</v>
      </c>
      <c r="M233" s="3">
        <f t="shared" si="24"/>
        <v>97103</v>
      </c>
      <c r="N233">
        <f t="shared" si="25"/>
        <v>70</v>
      </c>
      <c r="O233" s="3" t="e">
        <f t="shared" si="26"/>
        <v>#N/A</v>
      </c>
      <c r="P233" t="e">
        <f t="shared" si="27"/>
        <v>#N/A</v>
      </c>
    </row>
    <row r="234" spans="1:16" x14ac:dyDescent="0.25">
      <c r="A234">
        <v>27</v>
      </c>
      <c r="B234">
        <v>54</v>
      </c>
      <c r="C234" t="s">
        <v>12</v>
      </c>
      <c r="D234" s="3">
        <v>35394</v>
      </c>
      <c r="E234">
        <v>10</v>
      </c>
      <c r="F234">
        <v>9</v>
      </c>
      <c r="G234">
        <v>4</v>
      </c>
      <c r="H234" t="s">
        <v>16</v>
      </c>
      <c r="I234">
        <v>124.29</v>
      </c>
      <c r="J234" t="str">
        <f t="shared" si="21"/>
        <v>Low</v>
      </c>
      <c r="K234" s="4">
        <f t="shared" si="22"/>
        <v>35394</v>
      </c>
      <c r="L234">
        <f t="shared" si="23"/>
        <v>10</v>
      </c>
      <c r="M234" s="3" t="e">
        <f t="shared" si="24"/>
        <v>#N/A</v>
      </c>
      <c r="N234" t="e">
        <f t="shared" si="25"/>
        <v>#N/A</v>
      </c>
      <c r="O234" s="3" t="e">
        <f t="shared" si="26"/>
        <v>#N/A</v>
      </c>
      <c r="P234" t="e">
        <f t="shared" si="27"/>
        <v>#N/A</v>
      </c>
    </row>
    <row r="235" spans="1:16" x14ac:dyDescent="0.25">
      <c r="A235">
        <v>61</v>
      </c>
      <c r="B235">
        <v>23</v>
      </c>
      <c r="C235" t="s">
        <v>12</v>
      </c>
      <c r="D235" s="3">
        <v>69133</v>
      </c>
      <c r="E235">
        <v>14</v>
      </c>
      <c r="F235">
        <v>6</v>
      </c>
      <c r="G235">
        <v>7</v>
      </c>
      <c r="H235" t="s">
        <v>16</v>
      </c>
      <c r="I235">
        <v>224.86</v>
      </c>
      <c r="J235" t="str">
        <f t="shared" si="21"/>
        <v>Medium</v>
      </c>
      <c r="K235" s="4" t="e">
        <f t="shared" si="22"/>
        <v>#N/A</v>
      </c>
      <c r="L235" t="e">
        <f t="shared" si="23"/>
        <v>#N/A</v>
      </c>
      <c r="M235" s="3">
        <f t="shared" si="24"/>
        <v>69133</v>
      </c>
      <c r="N235">
        <f t="shared" si="25"/>
        <v>14</v>
      </c>
      <c r="O235" s="3" t="e">
        <f t="shared" si="26"/>
        <v>#N/A</v>
      </c>
      <c r="P235" t="e">
        <f t="shared" si="27"/>
        <v>#N/A</v>
      </c>
    </row>
    <row r="236" spans="1:16" x14ac:dyDescent="0.25">
      <c r="A236">
        <v>77</v>
      </c>
      <c r="B236">
        <v>49</v>
      </c>
      <c r="C236" t="s">
        <v>12</v>
      </c>
      <c r="D236" s="3">
        <v>30708</v>
      </c>
      <c r="E236">
        <v>4</v>
      </c>
      <c r="F236">
        <v>1</v>
      </c>
      <c r="G236">
        <v>36</v>
      </c>
      <c r="H236" t="s">
        <v>16</v>
      </c>
      <c r="I236">
        <v>990</v>
      </c>
      <c r="J236" t="str">
        <f t="shared" si="21"/>
        <v>Low</v>
      </c>
      <c r="K236" s="4">
        <f t="shared" si="22"/>
        <v>30708</v>
      </c>
      <c r="L236">
        <f t="shared" si="23"/>
        <v>4</v>
      </c>
      <c r="M236" s="3" t="e">
        <f t="shared" si="24"/>
        <v>#N/A</v>
      </c>
      <c r="N236" t="e">
        <f t="shared" si="25"/>
        <v>#N/A</v>
      </c>
      <c r="O236" s="3" t="e">
        <f t="shared" si="26"/>
        <v>#N/A</v>
      </c>
      <c r="P236" t="e">
        <f t="shared" si="27"/>
        <v>#N/A</v>
      </c>
    </row>
    <row r="237" spans="1:16" x14ac:dyDescent="0.25">
      <c r="A237">
        <v>102</v>
      </c>
      <c r="B237">
        <v>18</v>
      </c>
      <c r="C237" t="s">
        <v>12</v>
      </c>
      <c r="D237" s="3">
        <v>49346</v>
      </c>
      <c r="E237">
        <v>70</v>
      </c>
      <c r="F237">
        <v>7</v>
      </c>
      <c r="G237">
        <v>38</v>
      </c>
      <c r="H237" t="s">
        <v>16</v>
      </c>
      <c r="I237">
        <v>127.14</v>
      </c>
      <c r="J237" t="str">
        <f t="shared" si="21"/>
        <v>Low</v>
      </c>
      <c r="K237" s="4">
        <f t="shared" si="22"/>
        <v>49346</v>
      </c>
      <c r="L237">
        <f t="shared" si="23"/>
        <v>70</v>
      </c>
      <c r="M237" s="3" t="e">
        <f t="shared" si="24"/>
        <v>#N/A</v>
      </c>
      <c r="N237" t="e">
        <f t="shared" si="25"/>
        <v>#N/A</v>
      </c>
      <c r="O237" s="3" t="e">
        <f t="shared" si="26"/>
        <v>#N/A</v>
      </c>
      <c r="P237" t="e">
        <f t="shared" si="27"/>
        <v>#N/A</v>
      </c>
    </row>
    <row r="238" spans="1:16" x14ac:dyDescent="0.25">
      <c r="A238">
        <v>113</v>
      </c>
      <c r="B238">
        <v>58</v>
      </c>
      <c r="C238" t="s">
        <v>12</v>
      </c>
      <c r="D238" s="3">
        <v>82856</v>
      </c>
      <c r="E238">
        <v>33</v>
      </c>
      <c r="F238">
        <v>7</v>
      </c>
      <c r="G238">
        <v>20</v>
      </c>
      <c r="H238" t="s">
        <v>16</v>
      </c>
      <c r="I238">
        <v>450.72</v>
      </c>
      <c r="J238" t="str">
        <f t="shared" si="21"/>
        <v>Medium</v>
      </c>
      <c r="K238" s="4" t="e">
        <f t="shared" si="22"/>
        <v>#N/A</v>
      </c>
      <c r="L238" t="e">
        <f t="shared" si="23"/>
        <v>#N/A</v>
      </c>
      <c r="M238" s="3">
        <f t="shared" si="24"/>
        <v>82856</v>
      </c>
      <c r="N238">
        <f t="shared" si="25"/>
        <v>33</v>
      </c>
      <c r="O238" s="3" t="e">
        <f t="shared" si="26"/>
        <v>#N/A</v>
      </c>
      <c r="P238" t="e">
        <f t="shared" si="27"/>
        <v>#N/A</v>
      </c>
    </row>
    <row r="239" spans="1:16" x14ac:dyDescent="0.25">
      <c r="A239">
        <v>119</v>
      </c>
      <c r="B239">
        <v>33</v>
      </c>
      <c r="C239" t="s">
        <v>12</v>
      </c>
      <c r="D239" s="3">
        <v>113154</v>
      </c>
      <c r="E239">
        <v>75</v>
      </c>
      <c r="F239">
        <v>8</v>
      </c>
      <c r="G239">
        <v>46</v>
      </c>
      <c r="H239" t="s">
        <v>16</v>
      </c>
      <c r="I239">
        <v>895.58</v>
      </c>
      <c r="J239" t="str">
        <f t="shared" si="21"/>
        <v>High</v>
      </c>
      <c r="K239" s="4" t="e">
        <f t="shared" si="22"/>
        <v>#N/A</v>
      </c>
      <c r="L239" t="e">
        <f t="shared" si="23"/>
        <v>#N/A</v>
      </c>
      <c r="M239" s="3" t="e">
        <f t="shared" si="24"/>
        <v>#N/A</v>
      </c>
      <c r="N239" t="e">
        <f t="shared" si="25"/>
        <v>#N/A</v>
      </c>
      <c r="O239" s="3">
        <f t="shared" si="26"/>
        <v>113154</v>
      </c>
      <c r="P239">
        <f t="shared" si="27"/>
        <v>75</v>
      </c>
    </row>
    <row r="240" spans="1:16" x14ac:dyDescent="0.25">
      <c r="A240">
        <v>153</v>
      </c>
      <c r="B240">
        <v>43</v>
      </c>
      <c r="C240" t="s">
        <v>12</v>
      </c>
      <c r="D240" s="3">
        <v>33030</v>
      </c>
      <c r="E240">
        <v>61</v>
      </c>
      <c r="F240">
        <v>8</v>
      </c>
      <c r="G240">
        <v>40</v>
      </c>
      <c r="H240" t="s">
        <v>16</v>
      </c>
      <c r="I240">
        <v>711.04</v>
      </c>
      <c r="J240" t="str">
        <f t="shared" si="21"/>
        <v>Low</v>
      </c>
      <c r="K240" s="4">
        <f t="shared" si="22"/>
        <v>33030</v>
      </c>
      <c r="L240">
        <f t="shared" si="23"/>
        <v>61</v>
      </c>
      <c r="M240" s="3" t="e">
        <f t="shared" si="24"/>
        <v>#N/A</v>
      </c>
      <c r="N240" t="e">
        <f t="shared" si="25"/>
        <v>#N/A</v>
      </c>
      <c r="O240" s="3" t="e">
        <f t="shared" si="26"/>
        <v>#N/A</v>
      </c>
      <c r="P240" t="e">
        <f t="shared" si="27"/>
        <v>#N/A</v>
      </c>
    </row>
    <row r="241" spans="1:16" x14ac:dyDescent="0.25">
      <c r="A241">
        <v>170</v>
      </c>
      <c r="B241">
        <v>37</v>
      </c>
      <c r="C241" t="s">
        <v>12</v>
      </c>
      <c r="D241" s="3">
        <v>33987</v>
      </c>
      <c r="E241">
        <v>60</v>
      </c>
      <c r="F241">
        <v>8</v>
      </c>
      <c r="G241">
        <v>39</v>
      </c>
      <c r="H241" t="s">
        <v>16</v>
      </c>
      <c r="I241">
        <v>975.1</v>
      </c>
      <c r="J241" t="str">
        <f t="shared" si="21"/>
        <v>Low</v>
      </c>
      <c r="K241" s="4">
        <f t="shared" si="22"/>
        <v>33987</v>
      </c>
      <c r="L241">
        <f t="shared" si="23"/>
        <v>60</v>
      </c>
      <c r="M241" s="3" t="e">
        <f t="shared" si="24"/>
        <v>#N/A</v>
      </c>
      <c r="N241" t="e">
        <f t="shared" si="25"/>
        <v>#N/A</v>
      </c>
      <c r="O241" s="3" t="e">
        <f t="shared" si="26"/>
        <v>#N/A</v>
      </c>
      <c r="P241" t="e">
        <f t="shared" si="27"/>
        <v>#N/A</v>
      </c>
    </row>
    <row r="242" spans="1:16" x14ac:dyDescent="0.25">
      <c r="A242">
        <v>172</v>
      </c>
      <c r="B242">
        <v>19</v>
      </c>
      <c r="C242" t="s">
        <v>12</v>
      </c>
      <c r="D242" s="3">
        <v>98446</v>
      </c>
      <c r="E242">
        <v>25</v>
      </c>
      <c r="F242">
        <v>4</v>
      </c>
      <c r="G242">
        <v>34</v>
      </c>
      <c r="H242" t="s">
        <v>16</v>
      </c>
      <c r="I242">
        <v>696.59</v>
      </c>
      <c r="J242" t="str">
        <f t="shared" si="21"/>
        <v>Medium</v>
      </c>
      <c r="K242" s="4" t="e">
        <f t="shared" si="22"/>
        <v>#N/A</v>
      </c>
      <c r="L242" t="e">
        <f t="shared" si="23"/>
        <v>#N/A</v>
      </c>
      <c r="M242" s="3">
        <f t="shared" si="24"/>
        <v>98446</v>
      </c>
      <c r="N242">
        <f t="shared" si="25"/>
        <v>25</v>
      </c>
      <c r="O242" s="3" t="e">
        <f t="shared" si="26"/>
        <v>#N/A</v>
      </c>
      <c r="P242" t="e">
        <f t="shared" si="27"/>
        <v>#N/A</v>
      </c>
    </row>
    <row r="243" spans="1:16" x14ac:dyDescent="0.25">
      <c r="A243">
        <v>181</v>
      </c>
      <c r="B243">
        <v>49</v>
      </c>
      <c r="C243" t="s">
        <v>12</v>
      </c>
      <c r="D243" s="3">
        <v>76202</v>
      </c>
      <c r="E243">
        <v>83</v>
      </c>
      <c r="F243">
        <v>3</v>
      </c>
      <c r="G243">
        <v>6</v>
      </c>
      <c r="H243" t="s">
        <v>16</v>
      </c>
      <c r="I243">
        <v>208.79</v>
      </c>
      <c r="J243" t="str">
        <f t="shared" si="21"/>
        <v>Medium</v>
      </c>
      <c r="K243" s="4" t="e">
        <f t="shared" si="22"/>
        <v>#N/A</v>
      </c>
      <c r="L243" t="e">
        <f t="shared" si="23"/>
        <v>#N/A</v>
      </c>
      <c r="M243" s="3">
        <f t="shared" si="24"/>
        <v>76202</v>
      </c>
      <c r="N243">
        <f t="shared" si="25"/>
        <v>83</v>
      </c>
      <c r="O243" s="3" t="e">
        <f t="shared" si="26"/>
        <v>#N/A</v>
      </c>
      <c r="P243" t="e">
        <f t="shared" si="27"/>
        <v>#N/A</v>
      </c>
    </row>
    <row r="244" spans="1:16" x14ac:dyDescent="0.25">
      <c r="A244">
        <v>184</v>
      </c>
      <c r="B244">
        <v>27</v>
      </c>
      <c r="C244" t="s">
        <v>12</v>
      </c>
      <c r="D244" s="3">
        <v>63313</v>
      </c>
      <c r="E244">
        <v>8</v>
      </c>
      <c r="F244">
        <v>10</v>
      </c>
      <c r="G244">
        <v>42</v>
      </c>
      <c r="H244" t="s">
        <v>16</v>
      </c>
      <c r="I244">
        <v>35.01</v>
      </c>
      <c r="J244" t="str">
        <f t="shared" si="21"/>
        <v>Medium</v>
      </c>
      <c r="K244" s="4" t="e">
        <f t="shared" si="22"/>
        <v>#N/A</v>
      </c>
      <c r="L244" t="e">
        <f t="shared" si="23"/>
        <v>#N/A</v>
      </c>
      <c r="M244" s="3">
        <f t="shared" si="24"/>
        <v>63313</v>
      </c>
      <c r="N244">
        <f t="shared" si="25"/>
        <v>8</v>
      </c>
      <c r="O244" s="3" t="e">
        <f t="shared" si="26"/>
        <v>#N/A</v>
      </c>
      <c r="P244" t="e">
        <f t="shared" si="27"/>
        <v>#N/A</v>
      </c>
    </row>
    <row r="245" spans="1:16" x14ac:dyDescent="0.25">
      <c r="A245">
        <v>198</v>
      </c>
      <c r="B245">
        <v>39</v>
      </c>
      <c r="C245" t="s">
        <v>12</v>
      </c>
      <c r="D245" s="3">
        <v>116566</v>
      </c>
      <c r="E245">
        <v>76</v>
      </c>
      <c r="F245">
        <v>9</v>
      </c>
      <c r="G245">
        <v>21</v>
      </c>
      <c r="H245" t="s">
        <v>16</v>
      </c>
      <c r="I245">
        <v>32.380000000000003</v>
      </c>
      <c r="J245" t="str">
        <f t="shared" si="21"/>
        <v>High</v>
      </c>
      <c r="K245" s="4" t="e">
        <f t="shared" si="22"/>
        <v>#N/A</v>
      </c>
      <c r="L245" t="e">
        <f t="shared" si="23"/>
        <v>#N/A</v>
      </c>
      <c r="M245" s="3" t="e">
        <f t="shared" si="24"/>
        <v>#N/A</v>
      </c>
      <c r="N245" t="e">
        <f t="shared" si="25"/>
        <v>#N/A</v>
      </c>
      <c r="O245" s="3">
        <f t="shared" si="26"/>
        <v>116566</v>
      </c>
      <c r="P245">
        <f t="shared" si="27"/>
        <v>76</v>
      </c>
    </row>
    <row r="246" spans="1:16" x14ac:dyDescent="0.25">
      <c r="A246">
        <v>201</v>
      </c>
      <c r="B246">
        <v>45</v>
      </c>
      <c r="C246" t="s">
        <v>12</v>
      </c>
      <c r="D246" s="3">
        <v>111788</v>
      </c>
      <c r="E246">
        <v>28</v>
      </c>
      <c r="F246">
        <v>9</v>
      </c>
      <c r="G246">
        <v>49</v>
      </c>
      <c r="H246" t="s">
        <v>16</v>
      </c>
      <c r="I246">
        <v>628.42999999999995</v>
      </c>
      <c r="J246" t="str">
        <f t="shared" si="21"/>
        <v>High</v>
      </c>
      <c r="K246" s="4" t="e">
        <f t="shared" si="22"/>
        <v>#N/A</v>
      </c>
      <c r="L246" t="e">
        <f t="shared" si="23"/>
        <v>#N/A</v>
      </c>
      <c r="M246" s="3" t="e">
        <f t="shared" si="24"/>
        <v>#N/A</v>
      </c>
      <c r="N246" t="e">
        <f t="shared" si="25"/>
        <v>#N/A</v>
      </c>
      <c r="O246" s="3">
        <f t="shared" si="26"/>
        <v>111788</v>
      </c>
      <c r="P246">
        <f t="shared" si="27"/>
        <v>28</v>
      </c>
    </row>
    <row r="247" spans="1:16" x14ac:dyDescent="0.25">
      <c r="A247">
        <v>232</v>
      </c>
      <c r="B247">
        <v>66</v>
      </c>
      <c r="C247" t="s">
        <v>12</v>
      </c>
      <c r="D247" s="3">
        <v>144573</v>
      </c>
      <c r="E247">
        <v>41</v>
      </c>
      <c r="F247">
        <v>7</v>
      </c>
      <c r="G247">
        <v>24</v>
      </c>
      <c r="H247" t="s">
        <v>16</v>
      </c>
      <c r="I247">
        <v>66.599999999999994</v>
      </c>
      <c r="J247" t="str">
        <f t="shared" si="21"/>
        <v>High</v>
      </c>
      <c r="K247" s="4" t="e">
        <f t="shared" si="22"/>
        <v>#N/A</v>
      </c>
      <c r="L247" t="e">
        <f t="shared" si="23"/>
        <v>#N/A</v>
      </c>
      <c r="M247" s="3" t="e">
        <f t="shared" si="24"/>
        <v>#N/A</v>
      </c>
      <c r="N247" t="e">
        <f t="shared" si="25"/>
        <v>#N/A</v>
      </c>
      <c r="O247" s="3">
        <f t="shared" si="26"/>
        <v>144573</v>
      </c>
      <c r="P247">
        <f t="shared" si="27"/>
        <v>41</v>
      </c>
    </row>
    <row r="248" spans="1:16" x14ac:dyDescent="0.25">
      <c r="A248">
        <v>259</v>
      </c>
      <c r="B248">
        <v>68</v>
      </c>
      <c r="C248" t="s">
        <v>12</v>
      </c>
      <c r="D248" s="3">
        <v>49725</v>
      </c>
      <c r="E248">
        <v>59</v>
      </c>
      <c r="F248">
        <v>2</v>
      </c>
      <c r="G248">
        <v>35</v>
      </c>
      <c r="H248" t="s">
        <v>16</v>
      </c>
      <c r="I248">
        <v>12.36</v>
      </c>
      <c r="J248" t="str">
        <f t="shared" si="21"/>
        <v>Low</v>
      </c>
      <c r="K248" s="4">
        <f t="shared" si="22"/>
        <v>49725</v>
      </c>
      <c r="L248">
        <f t="shared" si="23"/>
        <v>59</v>
      </c>
      <c r="M248" s="3" t="e">
        <f t="shared" si="24"/>
        <v>#N/A</v>
      </c>
      <c r="N248" t="e">
        <f t="shared" si="25"/>
        <v>#N/A</v>
      </c>
      <c r="O248" s="3" t="e">
        <f t="shared" si="26"/>
        <v>#N/A</v>
      </c>
      <c r="P248" t="e">
        <f t="shared" si="27"/>
        <v>#N/A</v>
      </c>
    </row>
    <row r="249" spans="1:16" x14ac:dyDescent="0.25">
      <c r="A249">
        <v>271</v>
      </c>
      <c r="B249">
        <v>69</v>
      </c>
      <c r="C249" t="s">
        <v>12</v>
      </c>
      <c r="D249" s="3">
        <v>47458</v>
      </c>
      <c r="E249">
        <v>14</v>
      </c>
      <c r="F249">
        <v>2</v>
      </c>
      <c r="G249">
        <v>10</v>
      </c>
      <c r="H249" t="s">
        <v>16</v>
      </c>
      <c r="I249">
        <v>874.32</v>
      </c>
      <c r="J249" t="str">
        <f t="shared" si="21"/>
        <v>Low</v>
      </c>
      <c r="K249" s="4">
        <f t="shared" si="22"/>
        <v>47458</v>
      </c>
      <c r="L249">
        <f t="shared" si="23"/>
        <v>14</v>
      </c>
      <c r="M249" s="3" t="e">
        <f t="shared" si="24"/>
        <v>#N/A</v>
      </c>
      <c r="N249" t="e">
        <f t="shared" si="25"/>
        <v>#N/A</v>
      </c>
      <c r="O249" s="3" t="e">
        <f t="shared" si="26"/>
        <v>#N/A</v>
      </c>
      <c r="P249" t="e">
        <f t="shared" si="27"/>
        <v>#N/A</v>
      </c>
    </row>
    <row r="250" spans="1:16" x14ac:dyDescent="0.25">
      <c r="A250">
        <v>299</v>
      </c>
      <c r="B250">
        <v>59</v>
      </c>
      <c r="C250" t="s">
        <v>12</v>
      </c>
      <c r="D250" s="3">
        <v>36383</v>
      </c>
      <c r="E250">
        <v>5</v>
      </c>
      <c r="F250">
        <v>6</v>
      </c>
      <c r="G250">
        <v>31</v>
      </c>
      <c r="H250" t="s">
        <v>16</v>
      </c>
      <c r="I250">
        <v>82.77</v>
      </c>
      <c r="J250" t="str">
        <f t="shared" si="21"/>
        <v>Low</v>
      </c>
      <c r="K250" s="4">
        <f t="shared" si="22"/>
        <v>36383</v>
      </c>
      <c r="L250">
        <f t="shared" si="23"/>
        <v>5</v>
      </c>
      <c r="M250" s="3" t="e">
        <f t="shared" si="24"/>
        <v>#N/A</v>
      </c>
      <c r="N250" t="e">
        <f t="shared" si="25"/>
        <v>#N/A</v>
      </c>
      <c r="O250" s="3" t="e">
        <f t="shared" si="26"/>
        <v>#N/A</v>
      </c>
      <c r="P250" t="e">
        <f t="shared" si="27"/>
        <v>#N/A</v>
      </c>
    </row>
    <row r="251" spans="1:16" x14ac:dyDescent="0.25">
      <c r="A251">
        <v>314</v>
      </c>
      <c r="B251">
        <v>44</v>
      </c>
      <c r="C251" t="s">
        <v>12</v>
      </c>
      <c r="D251" s="3">
        <v>141748</v>
      </c>
      <c r="E251">
        <v>55</v>
      </c>
      <c r="F251">
        <v>2</v>
      </c>
      <c r="G251">
        <v>50</v>
      </c>
      <c r="H251" t="s">
        <v>16</v>
      </c>
      <c r="I251">
        <v>897.57</v>
      </c>
      <c r="J251" t="str">
        <f t="shared" si="21"/>
        <v>High</v>
      </c>
      <c r="K251" s="4" t="e">
        <f t="shared" si="22"/>
        <v>#N/A</v>
      </c>
      <c r="L251" t="e">
        <f t="shared" si="23"/>
        <v>#N/A</v>
      </c>
      <c r="M251" s="3" t="e">
        <f t="shared" si="24"/>
        <v>#N/A</v>
      </c>
      <c r="N251" t="e">
        <f t="shared" si="25"/>
        <v>#N/A</v>
      </c>
      <c r="O251" s="3">
        <f t="shared" si="26"/>
        <v>141748</v>
      </c>
      <c r="P251">
        <f t="shared" si="27"/>
        <v>55</v>
      </c>
    </row>
    <row r="252" spans="1:16" x14ac:dyDescent="0.25">
      <c r="A252">
        <v>330</v>
      </c>
      <c r="B252">
        <v>28</v>
      </c>
      <c r="C252" t="s">
        <v>12</v>
      </c>
      <c r="D252" s="3">
        <v>51087</v>
      </c>
      <c r="E252">
        <v>60</v>
      </c>
      <c r="F252">
        <v>4</v>
      </c>
      <c r="G252">
        <v>42</v>
      </c>
      <c r="H252" t="s">
        <v>16</v>
      </c>
      <c r="I252">
        <v>68.31</v>
      </c>
      <c r="J252" t="str">
        <f t="shared" si="21"/>
        <v>Medium</v>
      </c>
      <c r="K252" s="4" t="e">
        <f t="shared" si="22"/>
        <v>#N/A</v>
      </c>
      <c r="L252" t="e">
        <f t="shared" si="23"/>
        <v>#N/A</v>
      </c>
      <c r="M252" s="3">
        <f t="shared" si="24"/>
        <v>51087</v>
      </c>
      <c r="N252">
        <f t="shared" si="25"/>
        <v>60</v>
      </c>
      <c r="O252" s="3" t="e">
        <f t="shared" si="26"/>
        <v>#N/A</v>
      </c>
      <c r="P252" t="e">
        <f t="shared" si="27"/>
        <v>#N/A</v>
      </c>
    </row>
    <row r="253" spans="1:16" x14ac:dyDescent="0.25">
      <c r="A253">
        <v>331</v>
      </c>
      <c r="B253">
        <v>30</v>
      </c>
      <c r="C253" t="s">
        <v>12</v>
      </c>
      <c r="D253" s="3">
        <v>90651</v>
      </c>
      <c r="E253">
        <v>88</v>
      </c>
      <c r="F253">
        <v>9</v>
      </c>
      <c r="G253">
        <v>37</v>
      </c>
      <c r="H253" t="s">
        <v>16</v>
      </c>
      <c r="I253">
        <v>555.41</v>
      </c>
      <c r="J253" t="str">
        <f t="shared" si="21"/>
        <v>Medium</v>
      </c>
      <c r="K253" s="4" t="e">
        <f t="shared" si="22"/>
        <v>#N/A</v>
      </c>
      <c r="L253" t="e">
        <f t="shared" si="23"/>
        <v>#N/A</v>
      </c>
      <c r="M253" s="3">
        <f t="shared" si="24"/>
        <v>90651</v>
      </c>
      <c r="N253">
        <f t="shared" si="25"/>
        <v>88</v>
      </c>
      <c r="O253" s="3" t="e">
        <f t="shared" si="26"/>
        <v>#N/A</v>
      </c>
      <c r="P253" t="e">
        <f t="shared" si="27"/>
        <v>#N/A</v>
      </c>
    </row>
    <row r="254" spans="1:16" x14ac:dyDescent="0.25">
      <c r="A254">
        <v>335</v>
      </c>
      <c r="B254">
        <v>60</v>
      </c>
      <c r="C254" t="s">
        <v>12</v>
      </c>
      <c r="D254" s="3">
        <v>145308</v>
      </c>
      <c r="E254">
        <v>83</v>
      </c>
      <c r="F254">
        <v>3</v>
      </c>
      <c r="G254">
        <v>31</v>
      </c>
      <c r="H254" t="s">
        <v>16</v>
      </c>
      <c r="I254">
        <v>53.26</v>
      </c>
      <c r="J254" t="str">
        <f t="shared" si="21"/>
        <v>High</v>
      </c>
      <c r="K254" s="4" t="e">
        <f t="shared" si="22"/>
        <v>#N/A</v>
      </c>
      <c r="L254" t="e">
        <f t="shared" si="23"/>
        <v>#N/A</v>
      </c>
      <c r="M254" s="3" t="e">
        <f t="shared" si="24"/>
        <v>#N/A</v>
      </c>
      <c r="N254" t="e">
        <f t="shared" si="25"/>
        <v>#N/A</v>
      </c>
      <c r="O254" s="3">
        <f t="shared" si="26"/>
        <v>145308</v>
      </c>
      <c r="P254">
        <f t="shared" si="27"/>
        <v>83</v>
      </c>
    </row>
    <row r="255" spans="1:16" x14ac:dyDescent="0.25">
      <c r="A255">
        <v>337</v>
      </c>
      <c r="B255">
        <v>58</v>
      </c>
      <c r="C255" t="s">
        <v>12</v>
      </c>
      <c r="D255" s="3">
        <v>60768</v>
      </c>
      <c r="E255">
        <v>88</v>
      </c>
      <c r="F255">
        <v>2</v>
      </c>
      <c r="G255">
        <v>38</v>
      </c>
      <c r="H255" t="s">
        <v>16</v>
      </c>
      <c r="I255">
        <v>67.52</v>
      </c>
      <c r="J255" t="str">
        <f t="shared" si="21"/>
        <v>Medium</v>
      </c>
      <c r="K255" s="4" t="e">
        <f t="shared" si="22"/>
        <v>#N/A</v>
      </c>
      <c r="L255" t="e">
        <f t="shared" si="23"/>
        <v>#N/A</v>
      </c>
      <c r="M255" s="3">
        <f t="shared" si="24"/>
        <v>60768</v>
      </c>
      <c r="N255">
        <f t="shared" si="25"/>
        <v>88</v>
      </c>
      <c r="O255" s="3" t="e">
        <f t="shared" si="26"/>
        <v>#N/A</v>
      </c>
      <c r="P255" t="e">
        <f t="shared" si="27"/>
        <v>#N/A</v>
      </c>
    </row>
    <row r="256" spans="1:16" x14ac:dyDescent="0.25">
      <c r="A256">
        <v>359</v>
      </c>
      <c r="B256">
        <v>50</v>
      </c>
      <c r="C256" t="s">
        <v>12</v>
      </c>
      <c r="D256" s="3">
        <v>85888</v>
      </c>
      <c r="E256">
        <v>19</v>
      </c>
      <c r="F256">
        <v>2</v>
      </c>
      <c r="G256">
        <v>25</v>
      </c>
      <c r="H256" t="s">
        <v>16</v>
      </c>
      <c r="I256">
        <v>910.52</v>
      </c>
      <c r="J256" t="str">
        <f t="shared" si="21"/>
        <v>Medium</v>
      </c>
      <c r="K256" s="4" t="e">
        <f t="shared" si="22"/>
        <v>#N/A</v>
      </c>
      <c r="L256" t="e">
        <f t="shared" si="23"/>
        <v>#N/A</v>
      </c>
      <c r="M256" s="3">
        <f t="shared" si="24"/>
        <v>85888</v>
      </c>
      <c r="N256">
        <f t="shared" si="25"/>
        <v>19</v>
      </c>
      <c r="O256" s="3" t="e">
        <f t="shared" si="26"/>
        <v>#N/A</v>
      </c>
      <c r="P256" t="e">
        <f t="shared" si="27"/>
        <v>#N/A</v>
      </c>
    </row>
    <row r="257" spans="1:16" x14ac:dyDescent="0.25">
      <c r="A257">
        <v>371</v>
      </c>
      <c r="B257">
        <v>20</v>
      </c>
      <c r="C257" t="s">
        <v>12</v>
      </c>
      <c r="D257" s="3">
        <v>87520</v>
      </c>
      <c r="E257">
        <v>93</v>
      </c>
      <c r="F257">
        <v>4</v>
      </c>
      <c r="G257">
        <v>3</v>
      </c>
      <c r="H257" t="s">
        <v>16</v>
      </c>
      <c r="I257">
        <v>459.87</v>
      </c>
      <c r="J257" t="str">
        <f t="shared" si="21"/>
        <v>Medium</v>
      </c>
      <c r="K257" s="4" t="e">
        <f t="shared" si="22"/>
        <v>#N/A</v>
      </c>
      <c r="L257" t="e">
        <f t="shared" si="23"/>
        <v>#N/A</v>
      </c>
      <c r="M257" s="3">
        <f t="shared" si="24"/>
        <v>87520</v>
      </c>
      <c r="N257">
        <f t="shared" si="25"/>
        <v>93</v>
      </c>
      <c r="O257" s="3" t="e">
        <f t="shared" si="26"/>
        <v>#N/A</v>
      </c>
      <c r="P257" t="e">
        <f t="shared" si="27"/>
        <v>#N/A</v>
      </c>
    </row>
    <row r="258" spans="1:16" x14ac:dyDescent="0.25">
      <c r="A258">
        <v>386</v>
      </c>
      <c r="B258">
        <v>69</v>
      </c>
      <c r="C258" t="s">
        <v>12</v>
      </c>
      <c r="D258" s="3">
        <v>105810</v>
      </c>
      <c r="E258">
        <v>57</v>
      </c>
      <c r="F258">
        <v>6</v>
      </c>
      <c r="G258">
        <v>28</v>
      </c>
      <c r="H258" t="s">
        <v>16</v>
      </c>
      <c r="I258">
        <v>985.94</v>
      </c>
      <c r="J258" t="str">
        <f t="shared" ref="J258:J321" si="28">IF(D258&lt;50000,"Low",IF(D258&lt;100000,"Medium","High"))</f>
        <v>High</v>
      </c>
      <c r="K258" s="4" t="e">
        <f t="shared" ref="K258:K321" si="29">IF($J258="Low",$D258,NA())</f>
        <v>#N/A</v>
      </c>
      <c r="L258" t="e">
        <f t="shared" ref="L258:L321" si="30">IF($J258="Low",$E258,NA())</f>
        <v>#N/A</v>
      </c>
      <c r="M258" s="3" t="e">
        <f t="shared" ref="M258:M321" si="31">IF($J258="Medium",$D258,NA())</f>
        <v>#N/A</v>
      </c>
      <c r="N258" t="e">
        <f t="shared" ref="N258:N321" si="32">IF($J258="Medium",$E258,NA())</f>
        <v>#N/A</v>
      </c>
      <c r="O258" s="3">
        <f t="shared" ref="O258:O321" si="33">IF($J258="High",$D258,NA())</f>
        <v>105810</v>
      </c>
      <c r="P258">
        <f t="shared" ref="P258:P321" si="34">IF($J258="High",$E258,NA())</f>
        <v>57</v>
      </c>
    </row>
    <row r="259" spans="1:16" x14ac:dyDescent="0.25">
      <c r="A259">
        <v>404</v>
      </c>
      <c r="B259">
        <v>36</v>
      </c>
      <c r="C259" t="s">
        <v>12</v>
      </c>
      <c r="D259" s="3">
        <v>30121</v>
      </c>
      <c r="E259">
        <v>39</v>
      </c>
      <c r="F259">
        <v>10</v>
      </c>
      <c r="G259">
        <v>16</v>
      </c>
      <c r="H259" t="s">
        <v>16</v>
      </c>
      <c r="I259">
        <v>233.08</v>
      </c>
      <c r="J259" t="str">
        <f t="shared" si="28"/>
        <v>Low</v>
      </c>
      <c r="K259" s="4">
        <f t="shared" si="29"/>
        <v>30121</v>
      </c>
      <c r="L259">
        <f t="shared" si="30"/>
        <v>39</v>
      </c>
      <c r="M259" s="3" t="e">
        <f t="shared" si="31"/>
        <v>#N/A</v>
      </c>
      <c r="N259" t="e">
        <f t="shared" si="32"/>
        <v>#N/A</v>
      </c>
      <c r="O259" s="3" t="e">
        <f t="shared" si="33"/>
        <v>#N/A</v>
      </c>
      <c r="P259" t="e">
        <f t="shared" si="34"/>
        <v>#N/A</v>
      </c>
    </row>
    <row r="260" spans="1:16" x14ac:dyDescent="0.25">
      <c r="A260">
        <v>415</v>
      </c>
      <c r="B260">
        <v>57</v>
      </c>
      <c r="C260" t="s">
        <v>12</v>
      </c>
      <c r="D260" s="3">
        <v>52164</v>
      </c>
      <c r="E260">
        <v>53</v>
      </c>
      <c r="F260">
        <v>3</v>
      </c>
      <c r="G260">
        <v>36</v>
      </c>
      <c r="H260" t="s">
        <v>16</v>
      </c>
      <c r="I260">
        <v>710.84</v>
      </c>
      <c r="J260" t="str">
        <f t="shared" si="28"/>
        <v>Medium</v>
      </c>
      <c r="K260" s="4" t="e">
        <f t="shared" si="29"/>
        <v>#N/A</v>
      </c>
      <c r="L260" t="e">
        <f t="shared" si="30"/>
        <v>#N/A</v>
      </c>
      <c r="M260" s="3">
        <f t="shared" si="31"/>
        <v>52164</v>
      </c>
      <c r="N260">
        <f t="shared" si="32"/>
        <v>53</v>
      </c>
      <c r="O260" s="3" t="e">
        <f t="shared" si="33"/>
        <v>#N/A</v>
      </c>
      <c r="P260" t="e">
        <f t="shared" si="34"/>
        <v>#N/A</v>
      </c>
    </row>
    <row r="261" spans="1:16" x14ac:dyDescent="0.25">
      <c r="A261">
        <v>424</v>
      </c>
      <c r="B261">
        <v>56</v>
      </c>
      <c r="C261" t="s">
        <v>12</v>
      </c>
      <c r="D261" s="3">
        <v>134502</v>
      </c>
      <c r="E261">
        <v>46</v>
      </c>
      <c r="F261">
        <v>5</v>
      </c>
      <c r="G261">
        <v>5</v>
      </c>
      <c r="H261" t="s">
        <v>16</v>
      </c>
      <c r="I261">
        <v>394.49</v>
      </c>
      <c r="J261" t="str">
        <f t="shared" si="28"/>
        <v>High</v>
      </c>
      <c r="K261" s="4" t="e">
        <f t="shared" si="29"/>
        <v>#N/A</v>
      </c>
      <c r="L261" t="e">
        <f t="shared" si="30"/>
        <v>#N/A</v>
      </c>
      <c r="M261" s="3" t="e">
        <f t="shared" si="31"/>
        <v>#N/A</v>
      </c>
      <c r="N261" t="e">
        <f t="shared" si="32"/>
        <v>#N/A</v>
      </c>
      <c r="O261" s="3">
        <f t="shared" si="33"/>
        <v>134502</v>
      </c>
      <c r="P261">
        <f t="shared" si="34"/>
        <v>46</v>
      </c>
    </row>
    <row r="262" spans="1:16" x14ac:dyDescent="0.25">
      <c r="A262">
        <v>431</v>
      </c>
      <c r="B262">
        <v>40</v>
      </c>
      <c r="C262" t="s">
        <v>12</v>
      </c>
      <c r="D262" s="3">
        <v>99618</v>
      </c>
      <c r="E262">
        <v>80</v>
      </c>
      <c r="F262">
        <v>4</v>
      </c>
      <c r="G262">
        <v>22</v>
      </c>
      <c r="H262" t="s">
        <v>16</v>
      </c>
      <c r="I262">
        <v>15.04</v>
      </c>
      <c r="J262" t="str">
        <f t="shared" si="28"/>
        <v>Medium</v>
      </c>
      <c r="K262" s="4" t="e">
        <f t="shared" si="29"/>
        <v>#N/A</v>
      </c>
      <c r="L262" t="e">
        <f t="shared" si="30"/>
        <v>#N/A</v>
      </c>
      <c r="M262" s="3">
        <f t="shared" si="31"/>
        <v>99618</v>
      </c>
      <c r="N262">
        <f t="shared" si="32"/>
        <v>80</v>
      </c>
      <c r="O262" s="3" t="e">
        <f t="shared" si="33"/>
        <v>#N/A</v>
      </c>
      <c r="P262" t="e">
        <f t="shared" si="34"/>
        <v>#N/A</v>
      </c>
    </row>
    <row r="263" spans="1:16" x14ac:dyDescent="0.25">
      <c r="A263">
        <v>458</v>
      </c>
      <c r="B263">
        <v>62</v>
      </c>
      <c r="C263" t="s">
        <v>12</v>
      </c>
      <c r="D263" s="3">
        <v>32827</v>
      </c>
      <c r="E263">
        <v>69</v>
      </c>
      <c r="F263">
        <v>8</v>
      </c>
      <c r="G263">
        <v>2</v>
      </c>
      <c r="H263" t="s">
        <v>16</v>
      </c>
      <c r="I263">
        <v>468.37</v>
      </c>
      <c r="J263" t="str">
        <f t="shared" si="28"/>
        <v>Low</v>
      </c>
      <c r="K263" s="4">
        <f t="shared" si="29"/>
        <v>32827</v>
      </c>
      <c r="L263">
        <f t="shared" si="30"/>
        <v>69</v>
      </c>
      <c r="M263" s="3" t="e">
        <f t="shared" si="31"/>
        <v>#N/A</v>
      </c>
      <c r="N263" t="e">
        <f t="shared" si="32"/>
        <v>#N/A</v>
      </c>
      <c r="O263" s="3" t="e">
        <f t="shared" si="33"/>
        <v>#N/A</v>
      </c>
      <c r="P263" t="e">
        <f t="shared" si="34"/>
        <v>#N/A</v>
      </c>
    </row>
    <row r="264" spans="1:16" x14ac:dyDescent="0.25">
      <c r="A264">
        <v>467</v>
      </c>
      <c r="B264">
        <v>25</v>
      </c>
      <c r="C264" t="s">
        <v>12</v>
      </c>
      <c r="D264" s="3">
        <v>99668</v>
      </c>
      <c r="E264">
        <v>1</v>
      </c>
      <c r="F264">
        <v>1</v>
      </c>
      <c r="G264">
        <v>50</v>
      </c>
      <c r="H264" t="s">
        <v>16</v>
      </c>
      <c r="I264">
        <v>937.86</v>
      </c>
      <c r="J264" t="str">
        <f t="shared" si="28"/>
        <v>Medium</v>
      </c>
      <c r="K264" s="4" t="e">
        <f t="shared" si="29"/>
        <v>#N/A</v>
      </c>
      <c r="L264" t="e">
        <f t="shared" si="30"/>
        <v>#N/A</v>
      </c>
      <c r="M264" s="3">
        <f t="shared" si="31"/>
        <v>99668</v>
      </c>
      <c r="N264">
        <f t="shared" si="32"/>
        <v>1</v>
      </c>
      <c r="O264" s="3" t="e">
        <f t="shared" si="33"/>
        <v>#N/A</v>
      </c>
      <c r="P264" t="e">
        <f t="shared" si="34"/>
        <v>#N/A</v>
      </c>
    </row>
    <row r="265" spans="1:16" x14ac:dyDescent="0.25">
      <c r="A265">
        <v>471</v>
      </c>
      <c r="B265">
        <v>32</v>
      </c>
      <c r="C265" t="s">
        <v>12</v>
      </c>
      <c r="D265" s="3">
        <v>38683</v>
      </c>
      <c r="E265">
        <v>59</v>
      </c>
      <c r="F265">
        <v>10</v>
      </c>
      <c r="G265">
        <v>47</v>
      </c>
      <c r="H265" t="s">
        <v>16</v>
      </c>
      <c r="I265">
        <v>846.85</v>
      </c>
      <c r="J265" t="str">
        <f t="shared" si="28"/>
        <v>Low</v>
      </c>
      <c r="K265" s="4">
        <f t="shared" si="29"/>
        <v>38683</v>
      </c>
      <c r="L265">
        <f t="shared" si="30"/>
        <v>59</v>
      </c>
      <c r="M265" s="3" t="e">
        <f t="shared" si="31"/>
        <v>#N/A</v>
      </c>
      <c r="N265" t="e">
        <f t="shared" si="32"/>
        <v>#N/A</v>
      </c>
      <c r="O265" s="3" t="e">
        <f t="shared" si="33"/>
        <v>#N/A</v>
      </c>
      <c r="P265" t="e">
        <f t="shared" si="34"/>
        <v>#N/A</v>
      </c>
    </row>
    <row r="266" spans="1:16" x14ac:dyDescent="0.25">
      <c r="A266">
        <v>476</v>
      </c>
      <c r="B266">
        <v>38</v>
      </c>
      <c r="C266" t="s">
        <v>12</v>
      </c>
      <c r="D266" s="3">
        <v>144083</v>
      </c>
      <c r="E266">
        <v>23</v>
      </c>
      <c r="F266">
        <v>1</v>
      </c>
      <c r="G266">
        <v>28</v>
      </c>
      <c r="H266" t="s">
        <v>16</v>
      </c>
      <c r="I266">
        <v>158.15</v>
      </c>
      <c r="J266" t="str">
        <f t="shared" si="28"/>
        <v>High</v>
      </c>
      <c r="K266" s="4" t="e">
        <f t="shared" si="29"/>
        <v>#N/A</v>
      </c>
      <c r="L266" t="e">
        <f t="shared" si="30"/>
        <v>#N/A</v>
      </c>
      <c r="M266" s="3" t="e">
        <f t="shared" si="31"/>
        <v>#N/A</v>
      </c>
      <c r="N266" t="e">
        <f t="shared" si="32"/>
        <v>#N/A</v>
      </c>
      <c r="O266" s="3">
        <f t="shared" si="33"/>
        <v>144083</v>
      </c>
      <c r="P266">
        <f t="shared" si="34"/>
        <v>23</v>
      </c>
    </row>
    <row r="267" spans="1:16" x14ac:dyDescent="0.25">
      <c r="A267">
        <v>484</v>
      </c>
      <c r="B267">
        <v>40</v>
      </c>
      <c r="C267" t="s">
        <v>12</v>
      </c>
      <c r="D267" s="3">
        <v>61052</v>
      </c>
      <c r="E267">
        <v>44</v>
      </c>
      <c r="F267">
        <v>4</v>
      </c>
      <c r="G267">
        <v>17</v>
      </c>
      <c r="H267" t="s">
        <v>16</v>
      </c>
      <c r="I267">
        <v>135.19</v>
      </c>
      <c r="J267" t="str">
        <f t="shared" si="28"/>
        <v>Medium</v>
      </c>
      <c r="K267" s="4" t="e">
        <f t="shared" si="29"/>
        <v>#N/A</v>
      </c>
      <c r="L267" t="e">
        <f t="shared" si="30"/>
        <v>#N/A</v>
      </c>
      <c r="M267" s="3">
        <f t="shared" si="31"/>
        <v>61052</v>
      </c>
      <c r="N267">
        <f t="shared" si="32"/>
        <v>44</v>
      </c>
      <c r="O267" s="3" t="e">
        <f t="shared" si="33"/>
        <v>#N/A</v>
      </c>
      <c r="P267" t="e">
        <f t="shared" si="34"/>
        <v>#N/A</v>
      </c>
    </row>
    <row r="268" spans="1:16" x14ac:dyDescent="0.25">
      <c r="A268">
        <v>499</v>
      </c>
      <c r="B268">
        <v>25</v>
      </c>
      <c r="C268" t="s">
        <v>12</v>
      </c>
      <c r="D268" s="3">
        <v>33065</v>
      </c>
      <c r="E268">
        <v>61</v>
      </c>
      <c r="F268">
        <v>7</v>
      </c>
      <c r="G268">
        <v>40</v>
      </c>
      <c r="H268" t="s">
        <v>16</v>
      </c>
      <c r="I268">
        <v>317.98</v>
      </c>
      <c r="J268" t="str">
        <f t="shared" si="28"/>
        <v>Low</v>
      </c>
      <c r="K268" s="4">
        <f t="shared" si="29"/>
        <v>33065</v>
      </c>
      <c r="L268">
        <f t="shared" si="30"/>
        <v>61</v>
      </c>
      <c r="M268" s="3" t="e">
        <f t="shared" si="31"/>
        <v>#N/A</v>
      </c>
      <c r="N268" t="e">
        <f t="shared" si="32"/>
        <v>#N/A</v>
      </c>
      <c r="O268" s="3" t="e">
        <f t="shared" si="33"/>
        <v>#N/A</v>
      </c>
      <c r="P268" t="e">
        <f t="shared" si="34"/>
        <v>#N/A</v>
      </c>
    </row>
    <row r="269" spans="1:16" x14ac:dyDescent="0.25">
      <c r="A269">
        <v>515</v>
      </c>
      <c r="B269">
        <v>28</v>
      </c>
      <c r="C269" t="s">
        <v>12</v>
      </c>
      <c r="D269" s="3">
        <v>66961</v>
      </c>
      <c r="E269">
        <v>8</v>
      </c>
      <c r="F269">
        <v>10</v>
      </c>
      <c r="G269">
        <v>22</v>
      </c>
      <c r="H269" t="s">
        <v>16</v>
      </c>
      <c r="I269">
        <v>179.82</v>
      </c>
      <c r="J269" t="str">
        <f t="shared" si="28"/>
        <v>Medium</v>
      </c>
      <c r="K269" s="4" t="e">
        <f t="shared" si="29"/>
        <v>#N/A</v>
      </c>
      <c r="L269" t="e">
        <f t="shared" si="30"/>
        <v>#N/A</v>
      </c>
      <c r="M269" s="3">
        <f t="shared" si="31"/>
        <v>66961</v>
      </c>
      <c r="N269">
        <f t="shared" si="32"/>
        <v>8</v>
      </c>
      <c r="O269" s="3" t="e">
        <f t="shared" si="33"/>
        <v>#N/A</v>
      </c>
      <c r="P269" t="e">
        <f t="shared" si="34"/>
        <v>#N/A</v>
      </c>
    </row>
    <row r="270" spans="1:16" x14ac:dyDescent="0.25">
      <c r="A270">
        <v>538</v>
      </c>
      <c r="B270">
        <v>39</v>
      </c>
      <c r="C270" t="s">
        <v>12</v>
      </c>
      <c r="D270" s="3">
        <v>49970</v>
      </c>
      <c r="E270">
        <v>53</v>
      </c>
      <c r="F270">
        <v>5</v>
      </c>
      <c r="G270">
        <v>24</v>
      </c>
      <c r="H270" t="s">
        <v>16</v>
      </c>
      <c r="I270">
        <v>728.58</v>
      </c>
      <c r="J270" t="str">
        <f t="shared" si="28"/>
        <v>Low</v>
      </c>
      <c r="K270" s="4">
        <f t="shared" si="29"/>
        <v>49970</v>
      </c>
      <c r="L270">
        <f t="shared" si="30"/>
        <v>53</v>
      </c>
      <c r="M270" s="3" t="e">
        <f t="shared" si="31"/>
        <v>#N/A</v>
      </c>
      <c r="N270" t="e">
        <f t="shared" si="32"/>
        <v>#N/A</v>
      </c>
      <c r="O270" s="3" t="e">
        <f t="shared" si="33"/>
        <v>#N/A</v>
      </c>
      <c r="P270" t="e">
        <f t="shared" si="34"/>
        <v>#N/A</v>
      </c>
    </row>
    <row r="271" spans="1:16" x14ac:dyDescent="0.25">
      <c r="A271">
        <v>540</v>
      </c>
      <c r="B271">
        <v>36</v>
      </c>
      <c r="C271" t="s">
        <v>12</v>
      </c>
      <c r="D271" s="3">
        <v>37595</v>
      </c>
      <c r="E271">
        <v>88</v>
      </c>
      <c r="F271">
        <v>8</v>
      </c>
      <c r="G271">
        <v>49</v>
      </c>
      <c r="H271" t="s">
        <v>16</v>
      </c>
      <c r="I271">
        <v>600.48</v>
      </c>
      <c r="J271" t="str">
        <f t="shared" si="28"/>
        <v>Low</v>
      </c>
      <c r="K271" s="4">
        <f t="shared" si="29"/>
        <v>37595</v>
      </c>
      <c r="L271">
        <f t="shared" si="30"/>
        <v>88</v>
      </c>
      <c r="M271" s="3" t="e">
        <f t="shared" si="31"/>
        <v>#N/A</v>
      </c>
      <c r="N271" t="e">
        <f t="shared" si="32"/>
        <v>#N/A</v>
      </c>
      <c r="O271" s="3" t="e">
        <f t="shared" si="33"/>
        <v>#N/A</v>
      </c>
      <c r="P271" t="e">
        <f t="shared" si="34"/>
        <v>#N/A</v>
      </c>
    </row>
    <row r="272" spans="1:16" x14ac:dyDescent="0.25">
      <c r="A272">
        <v>562</v>
      </c>
      <c r="B272">
        <v>18</v>
      </c>
      <c r="C272" t="s">
        <v>12</v>
      </c>
      <c r="D272" s="3">
        <v>143235</v>
      </c>
      <c r="E272">
        <v>46</v>
      </c>
      <c r="F272">
        <v>10</v>
      </c>
      <c r="G272">
        <v>31</v>
      </c>
      <c r="H272" t="s">
        <v>16</v>
      </c>
      <c r="I272">
        <v>143.75</v>
      </c>
      <c r="J272" t="str">
        <f t="shared" si="28"/>
        <v>High</v>
      </c>
      <c r="K272" s="4" t="e">
        <f t="shared" si="29"/>
        <v>#N/A</v>
      </c>
      <c r="L272" t="e">
        <f t="shared" si="30"/>
        <v>#N/A</v>
      </c>
      <c r="M272" s="3" t="e">
        <f t="shared" si="31"/>
        <v>#N/A</v>
      </c>
      <c r="N272" t="e">
        <f t="shared" si="32"/>
        <v>#N/A</v>
      </c>
      <c r="O272" s="3">
        <f t="shared" si="33"/>
        <v>143235</v>
      </c>
      <c r="P272">
        <f t="shared" si="34"/>
        <v>46</v>
      </c>
    </row>
    <row r="273" spans="1:16" x14ac:dyDescent="0.25">
      <c r="A273">
        <v>563</v>
      </c>
      <c r="B273">
        <v>23</v>
      </c>
      <c r="C273" t="s">
        <v>12</v>
      </c>
      <c r="D273" s="3">
        <v>143899</v>
      </c>
      <c r="E273">
        <v>10</v>
      </c>
      <c r="F273">
        <v>3</v>
      </c>
      <c r="G273">
        <v>47</v>
      </c>
      <c r="H273" t="s">
        <v>16</v>
      </c>
      <c r="I273">
        <v>361.81</v>
      </c>
      <c r="J273" t="str">
        <f t="shared" si="28"/>
        <v>High</v>
      </c>
      <c r="K273" s="4" t="e">
        <f t="shared" si="29"/>
        <v>#N/A</v>
      </c>
      <c r="L273" t="e">
        <f t="shared" si="30"/>
        <v>#N/A</v>
      </c>
      <c r="M273" s="3" t="e">
        <f t="shared" si="31"/>
        <v>#N/A</v>
      </c>
      <c r="N273" t="e">
        <f t="shared" si="32"/>
        <v>#N/A</v>
      </c>
      <c r="O273" s="3">
        <f t="shared" si="33"/>
        <v>143899</v>
      </c>
      <c r="P273">
        <f t="shared" si="34"/>
        <v>10</v>
      </c>
    </row>
    <row r="274" spans="1:16" x14ac:dyDescent="0.25">
      <c r="A274">
        <v>616</v>
      </c>
      <c r="B274">
        <v>43</v>
      </c>
      <c r="C274" t="s">
        <v>12</v>
      </c>
      <c r="D274" s="3">
        <v>38012</v>
      </c>
      <c r="E274">
        <v>55</v>
      </c>
      <c r="F274">
        <v>3</v>
      </c>
      <c r="G274">
        <v>24</v>
      </c>
      <c r="H274" t="s">
        <v>16</v>
      </c>
      <c r="I274">
        <v>943.37</v>
      </c>
      <c r="J274" t="str">
        <f t="shared" si="28"/>
        <v>Low</v>
      </c>
      <c r="K274" s="4">
        <f t="shared" si="29"/>
        <v>38012</v>
      </c>
      <c r="L274">
        <f t="shared" si="30"/>
        <v>55</v>
      </c>
      <c r="M274" s="3" t="e">
        <f t="shared" si="31"/>
        <v>#N/A</v>
      </c>
      <c r="N274" t="e">
        <f t="shared" si="32"/>
        <v>#N/A</v>
      </c>
      <c r="O274" s="3" t="e">
        <f t="shared" si="33"/>
        <v>#N/A</v>
      </c>
      <c r="P274" t="e">
        <f t="shared" si="34"/>
        <v>#N/A</v>
      </c>
    </row>
    <row r="275" spans="1:16" x14ac:dyDescent="0.25">
      <c r="A275">
        <v>626</v>
      </c>
      <c r="B275">
        <v>19</v>
      </c>
      <c r="C275" t="s">
        <v>12</v>
      </c>
      <c r="D275" s="3">
        <v>138008</v>
      </c>
      <c r="E275">
        <v>8</v>
      </c>
      <c r="F275">
        <v>9</v>
      </c>
      <c r="G275">
        <v>15</v>
      </c>
      <c r="H275" t="s">
        <v>16</v>
      </c>
      <c r="I275">
        <v>116.8</v>
      </c>
      <c r="J275" t="str">
        <f t="shared" si="28"/>
        <v>High</v>
      </c>
      <c r="K275" s="4" t="e">
        <f t="shared" si="29"/>
        <v>#N/A</v>
      </c>
      <c r="L275" t="e">
        <f t="shared" si="30"/>
        <v>#N/A</v>
      </c>
      <c r="M275" s="3" t="e">
        <f t="shared" si="31"/>
        <v>#N/A</v>
      </c>
      <c r="N275" t="e">
        <f t="shared" si="32"/>
        <v>#N/A</v>
      </c>
      <c r="O275" s="3">
        <f t="shared" si="33"/>
        <v>138008</v>
      </c>
      <c r="P275">
        <f t="shared" si="34"/>
        <v>8</v>
      </c>
    </row>
    <row r="276" spans="1:16" x14ac:dyDescent="0.25">
      <c r="A276">
        <v>629</v>
      </c>
      <c r="B276">
        <v>65</v>
      </c>
      <c r="C276" t="s">
        <v>12</v>
      </c>
      <c r="D276" s="3">
        <v>84223</v>
      </c>
      <c r="E276">
        <v>83</v>
      </c>
      <c r="F276">
        <v>7</v>
      </c>
      <c r="G276">
        <v>46</v>
      </c>
      <c r="H276" t="s">
        <v>16</v>
      </c>
      <c r="I276">
        <v>971.93</v>
      </c>
      <c r="J276" t="str">
        <f t="shared" si="28"/>
        <v>Medium</v>
      </c>
      <c r="K276" s="4" t="e">
        <f t="shared" si="29"/>
        <v>#N/A</v>
      </c>
      <c r="L276" t="e">
        <f t="shared" si="30"/>
        <v>#N/A</v>
      </c>
      <c r="M276" s="3">
        <f t="shared" si="31"/>
        <v>84223</v>
      </c>
      <c r="N276">
        <f t="shared" si="32"/>
        <v>83</v>
      </c>
      <c r="O276" s="3" t="e">
        <f t="shared" si="33"/>
        <v>#N/A</v>
      </c>
      <c r="P276" t="e">
        <f t="shared" si="34"/>
        <v>#N/A</v>
      </c>
    </row>
    <row r="277" spans="1:16" x14ac:dyDescent="0.25">
      <c r="A277">
        <v>639</v>
      </c>
      <c r="B277">
        <v>68</v>
      </c>
      <c r="C277" t="s">
        <v>12</v>
      </c>
      <c r="D277" s="3">
        <v>57700</v>
      </c>
      <c r="E277">
        <v>70</v>
      </c>
      <c r="F277">
        <v>8</v>
      </c>
      <c r="G277">
        <v>46</v>
      </c>
      <c r="H277" t="s">
        <v>16</v>
      </c>
      <c r="I277">
        <v>178.21</v>
      </c>
      <c r="J277" t="str">
        <f t="shared" si="28"/>
        <v>Medium</v>
      </c>
      <c r="K277" s="4" t="e">
        <f t="shared" si="29"/>
        <v>#N/A</v>
      </c>
      <c r="L277" t="e">
        <f t="shared" si="30"/>
        <v>#N/A</v>
      </c>
      <c r="M277" s="3">
        <f t="shared" si="31"/>
        <v>57700</v>
      </c>
      <c r="N277">
        <f t="shared" si="32"/>
        <v>70</v>
      </c>
      <c r="O277" s="3" t="e">
        <f t="shared" si="33"/>
        <v>#N/A</v>
      </c>
      <c r="P277" t="e">
        <f t="shared" si="34"/>
        <v>#N/A</v>
      </c>
    </row>
    <row r="278" spans="1:16" x14ac:dyDescent="0.25">
      <c r="A278">
        <v>696</v>
      </c>
      <c r="B278">
        <v>61</v>
      </c>
      <c r="C278" t="s">
        <v>12</v>
      </c>
      <c r="D278" s="3">
        <v>89720</v>
      </c>
      <c r="E278">
        <v>4</v>
      </c>
      <c r="F278">
        <v>9</v>
      </c>
      <c r="G278">
        <v>8</v>
      </c>
      <c r="H278" t="s">
        <v>16</v>
      </c>
      <c r="I278">
        <v>795.49</v>
      </c>
      <c r="J278" t="str">
        <f t="shared" si="28"/>
        <v>Medium</v>
      </c>
      <c r="K278" s="4" t="e">
        <f t="shared" si="29"/>
        <v>#N/A</v>
      </c>
      <c r="L278" t="e">
        <f t="shared" si="30"/>
        <v>#N/A</v>
      </c>
      <c r="M278" s="3">
        <f t="shared" si="31"/>
        <v>89720</v>
      </c>
      <c r="N278">
        <f t="shared" si="32"/>
        <v>4</v>
      </c>
      <c r="O278" s="3" t="e">
        <f t="shared" si="33"/>
        <v>#N/A</v>
      </c>
      <c r="P278" t="e">
        <f t="shared" si="34"/>
        <v>#N/A</v>
      </c>
    </row>
    <row r="279" spans="1:16" x14ac:dyDescent="0.25">
      <c r="A279">
        <v>701</v>
      </c>
      <c r="B279">
        <v>31</v>
      </c>
      <c r="C279" t="s">
        <v>12</v>
      </c>
      <c r="D279" s="3">
        <v>148121</v>
      </c>
      <c r="E279">
        <v>34</v>
      </c>
      <c r="F279">
        <v>9</v>
      </c>
      <c r="G279">
        <v>32</v>
      </c>
      <c r="H279" t="s">
        <v>16</v>
      </c>
      <c r="I279">
        <v>753.49</v>
      </c>
      <c r="J279" t="str">
        <f t="shared" si="28"/>
        <v>High</v>
      </c>
      <c r="K279" s="4" t="e">
        <f t="shared" si="29"/>
        <v>#N/A</v>
      </c>
      <c r="L279" t="e">
        <f t="shared" si="30"/>
        <v>#N/A</v>
      </c>
      <c r="M279" s="3" t="e">
        <f t="shared" si="31"/>
        <v>#N/A</v>
      </c>
      <c r="N279" t="e">
        <f t="shared" si="32"/>
        <v>#N/A</v>
      </c>
      <c r="O279" s="3">
        <f t="shared" si="33"/>
        <v>148121</v>
      </c>
      <c r="P279">
        <f t="shared" si="34"/>
        <v>34</v>
      </c>
    </row>
    <row r="280" spans="1:16" x14ac:dyDescent="0.25">
      <c r="A280">
        <v>721</v>
      </c>
      <c r="B280">
        <v>27</v>
      </c>
      <c r="C280" t="s">
        <v>12</v>
      </c>
      <c r="D280" s="3">
        <v>114848</v>
      </c>
      <c r="E280">
        <v>66</v>
      </c>
      <c r="F280">
        <v>10</v>
      </c>
      <c r="G280">
        <v>38</v>
      </c>
      <c r="H280" t="s">
        <v>16</v>
      </c>
      <c r="I280">
        <v>912.58</v>
      </c>
      <c r="J280" t="str">
        <f t="shared" si="28"/>
        <v>High</v>
      </c>
      <c r="K280" s="4" t="e">
        <f t="shared" si="29"/>
        <v>#N/A</v>
      </c>
      <c r="L280" t="e">
        <f t="shared" si="30"/>
        <v>#N/A</v>
      </c>
      <c r="M280" s="3" t="e">
        <f t="shared" si="31"/>
        <v>#N/A</v>
      </c>
      <c r="N280" t="e">
        <f t="shared" si="32"/>
        <v>#N/A</v>
      </c>
      <c r="O280" s="3">
        <f t="shared" si="33"/>
        <v>114848</v>
      </c>
      <c r="P280">
        <f t="shared" si="34"/>
        <v>66</v>
      </c>
    </row>
    <row r="281" spans="1:16" x14ac:dyDescent="0.25">
      <c r="A281">
        <v>723</v>
      </c>
      <c r="B281">
        <v>20</v>
      </c>
      <c r="C281" t="s">
        <v>12</v>
      </c>
      <c r="D281" s="3">
        <v>48504</v>
      </c>
      <c r="E281">
        <v>27</v>
      </c>
      <c r="F281">
        <v>3</v>
      </c>
      <c r="G281">
        <v>28</v>
      </c>
      <c r="H281" t="s">
        <v>16</v>
      </c>
      <c r="I281">
        <v>658.54</v>
      </c>
      <c r="J281" t="str">
        <f t="shared" si="28"/>
        <v>Low</v>
      </c>
      <c r="K281" s="4">
        <f t="shared" si="29"/>
        <v>48504</v>
      </c>
      <c r="L281">
        <f t="shared" si="30"/>
        <v>27</v>
      </c>
      <c r="M281" s="3" t="e">
        <f t="shared" si="31"/>
        <v>#N/A</v>
      </c>
      <c r="N281" t="e">
        <f t="shared" si="32"/>
        <v>#N/A</v>
      </c>
      <c r="O281" s="3" t="e">
        <f t="shared" si="33"/>
        <v>#N/A</v>
      </c>
      <c r="P281" t="e">
        <f t="shared" si="34"/>
        <v>#N/A</v>
      </c>
    </row>
    <row r="282" spans="1:16" x14ac:dyDescent="0.25">
      <c r="A282">
        <v>747</v>
      </c>
      <c r="B282">
        <v>26</v>
      </c>
      <c r="C282" t="s">
        <v>12</v>
      </c>
      <c r="D282" s="3">
        <v>44725</v>
      </c>
      <c r="E282">
        <v>40</v>
      </c>
      <c r="F282">
        <v>10</v>
      </c>
      <c r="G282">
        <v>17</v>
      </c>
      <c r="H282" t="s">
        <v>16</v>
      </c>
      <c r="I282">
        <v>307.42</v>
      </c>
      <c r="J282" t="str">
        <f t="shared" si="28"/>
        <v>Low</v>
      </c>
      <c r="K282" s="4">
        <f t="shared" si="29"/>
        <v>44725</v>
      </c>
      <c r="L282">
        <f t="shared" si="30"/>
        <v>40</v>
      </c>
      <c r="M282" s="3" t="e">
        <f t="shared" si="31"/>
        <v>#N/A</v>
      </c>
      <c r="N282" t="e">
        <f t="shared" si="32"/>
        <v>#N/A</v>
      </c>
      <c r="O282" s="3" t="e">
        <f t="shared" si="33"/>
        <v>#N/A</v>
      </c>
      <c r="P282" t="e">
        <f t="shared" si="34"/>
        <v>#N/A</v>
      </c>
    </row>
    <row r="283" spans="1:16" x14ac:dyDescent="0.25">
      <c r="A283">
        <v>751</v>
      </c>
      <c r="B283">
        <v>63</v>
      </c>
      <c r="C283" t="s">
        <v>12</v>
      </c>
      <c r="D283" s="3">
        <v>37201</v>
      </c>
      <c r="E283">
        <v>60</v>
      </c>
      <c r="F283">
        <v>6</v>
      </c>
      <c r="G283">
        <v>46</v>
      </c>
      <c r="H283" t="s">
        <v>16</v>
      </c>
      <c r="I283">
        <v>90.96</v>
      </c>
      <c r="J283" t="str">
        <f t="shared" si="28"/>
        <v>Low</v>
      </c>
      <c r="K283" s="4">
        <f t="shared" si="29"/>
        <v>37201</v>
      </c>
      <c r="L283">
        <f t="shared" si="30"/>
        <v>60</v>
      </c>
      <c r="M283" s="3" t="e">
        <f t="shared" si="31"/>
        <v>#N/A</v>
      </c>
      <c r="N283" t="e">
        <f t="shared" si="32"/>
        <v>#N/A</v>
      </c>
      <c r="O283" s="3" t="e">
        <f t="shared" si="33"/>
        <v>#N/A</v>
      </c>
      <c r="P283" t="e">
        <f t="shared" si="34"/>
        <v>#N/A</v>
      </c>
    </row>
    <row r="284" spans="1:16" x14ac:dyDescent="0.25">
      <c r="A284">
        <v>754</v>
      </c>
      <c r="B284">
        <v>52</v>
      </c>
      <c r="C284" t="s">
        <v>12</v>
      </c>
      <c r="D284" s="3">
        <v>49342</v>
      </c>
      <c r="E284">
        <v>77</v>
      </c>
      <c r="F284">
        <v>7</v>
      </c>
      <c r="G284">
        <v>29</v>
      </c>
      <c r="H284" t="s">
        <v>16</v>
      </c>
      <c r="I284">
        <v>622.86</v>
      </c>
      <c r="J284" t="str">
        <f t="shared" si="28"/>
        <v>Low</v>
      </c>
      <c r="K284" s="4">
        <f t="shared" si="29"/>
        <v>49342</v>
      </c>
      <c r="L284">
        <f t="shared" si="30"/>
        <v>77</v>
      </c>
      <c r="M284" s="3" t="e">
        <f t="shared" si="31"/>
        <v>#N/A</v>
      </c>
      <c r="N284" t="e">
        <f t="shared" si="32"/>
        <v>#N/A</v>
      </c>
      <c r="O284" s="3" t="e">
        <f t="shared" si="33"/>
        <v>#N/A</v>
      </c>
      <c r="P284" t="e">
        <f t="shared" si="34"/>
        <v>#N/A</v>
      </c>
    </row>
    <row r="285" spans="1:16" x14ac:dyDescent="0.25">
      <c r="A285">
        <v>770</v>
      </c>
      <c r="B285">
        <v>61</v>
      </c>
      <c r="C285" t="s">
        <v>12</v>
      </c>
      <c r="D285" s="3">
        <v>32692</v>
      </c>
      <c r="E285">
        <v>18</v>
      </c>
      <c r="F285">
        <v>8</v>
      </c>
      <c r="G285">
        <v>28</v>
      </c>
      <c r="H285" t="s">
        <v>16</v>
      </c>
      <c r="I285">
        <v>709.33</v>
      </c>
      <c r="J285" t="str">
        <f t="shared" si="28"/>
        <v>Low</v>
      </c>
      <c r="K285" s="4">
        <f t="shared" si="29"/>
        <v>32692</v>
      </c>
      <c r="L285">
        <f t="shared" si="30"/>
        <v>18</v>
      </c>
      <c r="M285" s="3" t="e">
        <f t="shared" si="31"/>
        <v>#N/A</v>
      </c>
      <c r="N285" t="e">
        <f t="shared" si="32"/>
        <v>#N/A</v>
      </c>
      <c r="O285" s="3" t="e">
        <f t="shared" si="33"/>
        <v>#N/A</v>
      </c>
      <c r="P285" t="e">
        <f t="shared" si="34"/>
        <v>#N/A</v>
      </c>
    </row>
    <row r="286" spans="1:16" x14ac:dyDescent="0.25">
      <c r="A286">
        <v>802</v>
      </c>
      <c r="B286">
        <v>51</v>
      </c>
      <c r="C286" t="s">
        <v>12</v>
      </c>
      <c r="D286" s="3">
        <v>107033</v>
      </c>
      <c r="E286">
        <v>96</v>
      </c>
      <c r="F286">
        <v>3</v>
      </c>
      <c r="G286">
        <v>42</v>
      </c>
      <c r="H286" t="s">
        <v>16</v>
      </c>
      <c r="I286">
        <v>992.17</v>
      </c>
      <c r="J286" t="str">
        <f t="shared" si="28"/>
        <v>High</v>
      </c>
      <c r="K286" s="4" t="e">
        <f t="shared" si="29"/>
        <v>#N/A</v>
      </c>
      <c r="L286" t="e">
        <f t="shared" si="30"/>
        <v>#N/A</v>
      </c>
      <c r="M286" s="3" t="e">
        <f t="shared" si="31"/>
        <v>#N/A</v>
      </c>
      <c r="N286" t="e">
        <f t="shared" si="32"/>
        <v>#N/A</v>
      </c>
      <c r="O286" s="3">
        <f t="shared" si="33"/>
        <v>107033</v>
      </c>
      <c r="P286">
        <f t="shared" si="34"/>
        <v>96</v>
      </c>
    </row>
    <row r="287" spans="1:16" x14ac:dyDescent="0.25">
      <c r="A287">
        <v>803</v>
      </c>
      <c r="B287">
        <v>64</v>
      </c>
      <c r="C287" t="s">
        <v>12</v>
      </c>
      <c r="D287" s="3">
        <v>127745</v>
      </c>
      <c r="E287">
        <v>72</v>
      </c>
      <c r="F287">
        <v>2</v>
      </c>
      <c r="G287">
        <v>11</v>
      </c>
      <c r="H287" t="s">
        <v>16</v>
      </c>
      <c r="I287">
        <v>192.17</v>
      </c>
      <c r="J287" t="str">
        <f t="shared" si="28"/>
        <v>High</v>
      </c>
      <c r="K287" s="4" t="e">
        <f t="shared" si="29"/>
        <v>#N/A</v>
      </c>
      <c r="L287" t="e">
        <f t="shared" si="30"/>
        <v>#N/A</v>
      </c>
      <c r="M287" s="3" t="e">
        <f t="shared" si="31"/>
        <v>#N/A</v>
      </c>
      <c r="N287" t="e">
        <f t="shared" si="32"/>
        <v>#N/A</v>
      </c>
      <c r="O287" s="3">
        <f t="shared" si="33"/>
        <v>127745</v>
      </c>
      <c r="P287">
        <f t="shared" si="34"/>
        <v>72</v>
      </c>
    </row>
    <row r="288" spans="1:16" x14ac:dyDescent="0.25">
      <c r="A288">
        <v>806</v>
      </c>
      <c r="B288">
        <v>49</v>
      </c>
      <c r="C288" t="s">
        <v>12</v>
      </c>
      <c r="D288" s="3">
        <v>69864</v>
      </c>
      <c r="E288">
        <v>92</v>
      </c>
      <c r="F288">
        <v>10</v>
      </c>
      <c r="G288">
        <v>25</v>
      </c>
      <c r="H288" t="s">
        <v>16</v>
      </c>
      <c r="I288">
        <v>522.78</v>
      </c>
      <c r="J288" t="str">
        <f t="shared" si="28"/>
        <v>Medium</v>
      </c>
      <c r="K288" s="4" t="e">
        <f t="shared" si="29"/>
        <v>#N/A</v>
      </c>
      <c r="L288" t="e">
        <f t="shared" si="30"/>
        <v>#N/A</v>
      </c>
      <c r="M288" s="3">
        <f t="shared" si="31"/>
        <v>69864</v>
      </c>
      <c r="N288">
        <f t="shared" si="32"/>
        <v>92</v>
      </c>
      <c r="O288" s="3" t="e">
        <f t="shared" si="33"/>
        <v>#N/A</v>
      </c>
      <c r="P288" t="e">
        <f t="shared" si="34"/>
        <v>#N/A</v>
      </c>
    </row>
    <row r="289" spans="1:16" x14ac:dyDescent="0.25">
      <c r="A289">
        <v>808</v>
      </c>
      <c r="B289">
        <v>33</v>
      </c>
      <c r="C289" t="s">
        <v>12</v>
      </c>
      <c r="D289" s="3">
        <v>127302</v>
      </c>
      <c r="E289">
        <v>43</v>
      </c>
      <c r="F289">
        <v>1</v>
      </c>
      <c r="G289">
        <v>40</v>
      </c>
      <c r="H289" t="s">
        <v>16</v>
      </c>
      <c r="I289">
        <v>785.52</v>
      </c>
      <c r="J289" t="str">
        <f t="shared" si="28"/>
        <v>High</v>
      </c>
      <c r="K289" s="4" t="e">
        <f t="shared" si="29"/>
        <v>#N/A</v>
      </c>
      <c r="L289" t="e">
        <f t="shared" si="30"/>
        <v>#N/A</v>
      </c>
      <c r="M289" s="3" t="e">
        <f t="shared" si="31"/>
        <v>#N/A</v>
      </c>
      <c r="N289" t="e">
        <f t="shared" si="32"/>
        <v>#N/A</v>
      </c>
      <c r="O289" s="3">
        <f t="shared" si="33"/>
        <v>127302</v>
      </c>
      <c r="P289">
        <f t="shared" si="34"/>
        <v>43</v>
      </c>
    </row>
    <row r="290" spans="1:16" x14ac:dyDescent="0.25">
      <c r="A290">
        <v>826</v>
      </c>
      <c r="B290">
        <v>48</v>
      </c>
      <c r="C290" t="s">
        <v>12</v>
      </c>
      <c r="D290" s="3">
        <v>111795</v>
      </c>
      <c r="E290">
        <v>41</v>
      </c>
      <c r="F290">
        <v>9</v>
      </c>
      <c r="G290">
        <v>17</v>
      </c>
      <c r="H290" t="s">
        <v>16</v>
      </c>
      <c r="I290">
        <v>116.19</v>
      </c>
      <c r="J290" t="str">
        <f t="shared" si="28"/>
        <v>High</v>
      </c>
      <c r="K290" s="4" t="e">
        <f t="shared" si="29"/>
        <v>#N/A</v>
      </c>
      <c r="L290" t="e">
        <f t="shared" si="30"/>
        <v>#N/A</v>
      </c>
      <c r="M290" s="3" t="e">
        <f t="shared" si="31"/>
        <v>#N/A</v>
      </c>
      <c r="N290" t="e">
        <f t="shared" si="32"/>
        <v>#N/A</v>
      </c>
      <c r="O290" s="3">
        <f t="shared" si="33"/>
        <v>111795</v>
      </c>
      <c r="P290">
        <f t="shared" si="34"/>
        <v>41</v>
      </c>
    </row>
    <row r="291" spans="1:16" x14ac:dyDescent="0.25">
      <c r="A291">
        <v>847</v>
      </c>
      <c r="B291">
        <v>22</v>
      </c>
      <c r="C291" t="s">
        <v>12</v>
      </c>
      <c r="D291" s="3">
        <v>134801</v>
      </c>
      <c r="E291">
        <v>47</v>
      </c>
      <c r="F291">
        <v>1</v>
      </c>
      <c r="G291">
        <v>49</v>
      </c>
      <c r="H291" t="s">
        <v>16</v>
      </c>
      <c r="I291">
        <v>292.92</v>
      </c>
      <c r="J291" t="str">
        <f t="shared" si="28"/>
        <v>High</v>
      </c>
      <c r="K291" s="4" t="e">
        <f t="shared" si="29"/>
        <v>#N/A</v>
      </c>
      <c r="L291" t="e">
        <f t="shared" si="30"/>
        <v>#N/A</v>
      </c>
      <c r="M291" s="3" t="e">
        <f t="shared" si="31"/>
        <v>#N/A</v>
      </c>
      <c r="N291" t="e">
        <f t="shared" si="32"/>
        <v>#N/A</v>
      </c>
      <c r="O291" s="3">
        <f t="shared" si="33"/>
        <v>134801</v>
      </c>
      <c r="P291">
        <f t="shared" si="34"/>
        <v>47</v>
      </c>
    </row>
    <row r="292" spans="1:16" x14ac:dyDescent="0.25">
      <c r="A292">
        <v>874</v>
      </c>
      <c r="B292">
        <v>35</v>
      </c>
      <c r="C292" t="s">
        <v>12</v>
      </c>
      <c r="D292" s="3">
        <v>121037</v>
      </c>
      <c r="E292">
        <v>70</v>
      </c>
      <c r="F292">
        <v>1</v>
      </c>
      <c r="G292">
        <v>28</v>
      </c>
      <c r="H292" t="s">
        <v>16</v>
      </c>
      <c r="I292">
        <v>304.08</v>
      </c>
      <c r="J292" t="str">
        <f t="shared" si="28"/>
        <v>High</v>
      </c>
      <c r="K292" s="4" t="e">
        <f t="shared" si="29"/>
        <v>#N/A</v>
      </c>
      <c r="L292" t="e">
        <f t="shared" si="30"/>
        <v>#N/A</v>
      </c>
      <c r="M292" s="3" t="e">
        <f t="shared" si="31"/>
        <v>#N/A</v>
      </c>
      <c r="N292" t="e">
        <f t="shared" si="32"/>
        <v>#N/A</v>
      </c>
      <c r="O292" s="3">
        <f t="shared" si="33"/>
        <v>121037</v>
      </c>
      <c r="P292">
        <f t="shared" si="34"/>
        <v>70</v>
      </c>
    </row>
    <row r="293" spans="1:16" x14ac:dyDescent="0.25">
      <c r="A293">
        <v>887</v>
      </c>
      <c r="B293">
        <v>60</v>
      </c>
      <c r="C293" t="s">
        <v>12</v>
      </c>
      <c r="D293" s="3">
        <v>98882</v>
      </c>
      <c r="E293">
        <v>38</v>
      </c>
      <c r="F293">
        <v>2</v>
      </c>
      <c r="G293">
        <v>28</v>
      </c>
      <c r="H293" t="s">
        <v>16</v>
      </c>
      <c r="I293">
        <v>940.14</v>
      </c>
      <c r="J293" t="str">
        <f t="shared" si="28"/>
        <v>Medium</v>
      </c>
      <c r="K293" s="4" t="e">
        <f t="shared" si="29"/>
        <v>#N/A</v>
      </c>
      <c r="L293" t="e">
        <f t="shared" si="30"/>
        <v>#N/A</v>
      </c>
      <c r="M293" s="3">
        <f t="shared" si="31"/>
        <v>98882</v>
      </c>
      <c r="N293">
        <f t="shared" si="32"/>
        <v>38</v>
      </c>
      <c r="O293" s="3" t="e">
        <f t="shared" si="33"/>
        <v>#N/A</v>
      </c>
      <c r="P293" t="e">
        <f t="shared" si="34"/>
        <v>#N/A</v>
      </c>
    </row>
    <row r="294" spans="1:16" x14ac:dyDescent="0.25">
      <c r="A294">
        <v>888</v>
      </c>
      <c r="B294">
        <v>29</v>
      </c>
      <c r="C294" t="s">
        <v>12</v>
      </c>
      <c r="D294" s="3">
        <v>149973</v>
      </c>
      <c r="E294">
        <v>2</v>
      </c>
      <c r="F294">
        <v>2</v>
      </c>
      <c r="G294">
        <v>19</v>
      </c>
      <c r="H294" t="s">
        <v>16</v>
      </c>
      <c r="I294">
        <v>437.1</v>
      </c>
      <c r="J294" t="str">
        <f t="shared" si="28"/>
        <v>High</v>
      </c>
      <c r="K294" s="4" t="e">
        <f t="shared" si="29"/>
        <v>#N/A</v>
      </c>
      <c r="L294" t="e">
        <f t="shared" si="30"/>
        <v>#N/A</v>
      </c>
      <c r="M294" s="3" t="e">
        <f t="shared" si="31"/>
        <v>#N/A</v>
      </c>
      <c r="N294" t="e">
        <f t="shared" si="32"/>
        <v>#N/A</v>
      </c>
      <c r="O294" s="3">
        <f t="shared" si="33"/>
        <v>149973</v>
      </c>
      <c r="P294">
        <f t="shared" si="34"/>
        <v>2</v>
      </c>
    </row>
    <row r="295" spans="1:16" x14ac:dyDescent="0.25">
      <c r="A295">
        <v>916</v>
      </c>
      <c r="B295">
        <v>26</v>
      </c>
      <c r="C295" t="s">
        <v>12</v>
      </c>
      <c r="D295" s="3">
        <v>131020</v>
      </c>
      <c r="E295">
        <v>23</v>
      </c>
      <c r="F295">
        <v>7</v>
      </c>
      <c r="G295">
        <v>22</v>
      </c>
      <c r="H295" t="s">
        <v>16</v>
      </c>
      <c r="I295">
        <v>844.88</v>
      </c>
      <c r="J295" t="str">
        <f t="shared" si="28"/>
        <v>High</v>
      </c>
      <c r="K295" s="4" t="e">
        <f t="shared" si="29"/>
        <v>#N/A</v>
      </c>
      <c r="L295" t="e">
        <f t="shared" si="30"/>
        <v>#N/A</v>
      </c>
      <c r="M295" s="3" t="e">
        <f t="shared" si="31"/>
        <v>#N/A</v>
      </c>
      <c r="N295" t="e">
        <f t="shared" si="32"/>
        <v>#N/A</v>
      </c>
      <c r="O295" s="3">
        <f t="shared" si="33"/>
        <v>131020</v>
      </c>
      <c r="P295">
        <f t="shared" si="34"/>
        <v>23</v>
      </c>
    </row>
    <row r="296" spans="1:16" x14ac:dyDescent="0.25">
      <c r="A296">
        <v>924</v>
      </c>
      <c r="B296">
        <v>20</v>
      </c>
      <c r="C296" t="s">
        <v>12</v>
      </c>
      <c r="D296" s="3">
        <v>88778</v>
      </c>
      <c r="E296">
        <v>56</v>
      </c>
      <c r="F296">
        <v>2</v>
      </c>
      <c r="G296">
        <v>28</v>
      </c>
      <c r="H296" t="s">
        <v>16</v>
      </c>
      <c r="I296">
        <v>240.93</v>
      </c>
      <c r="J296" t="str">
        <f t="shared" si="28"/>
        <v>Medium</v>
      </c>
      <c r="K296" s="4" t="e">
        <f t="shared" si="29"/>
        <v>#N/A</v>
      </c>
      <c r="L296" t="e">
        <f t="shared" si="30"/>
        <v>#N/A</v>
      </c>
      <c r="M296" s="3">
        <f t="shared" si="31"/>
        <v>88778</v>
      </c>
      <c r="N296">
        <f t="shared" si="32"/>
        <v>56</v>
      </c>
      <c r="O296" s="3" t="e">
        <f t="shared" si="33"/>
        <v>#N/A</v>
      </c>
      <c r="P296" t="e">
        <f t="shared" si="34"/>
        <v>#N/A</v>
      </c>
    </row>
    <row r="297" spans="1:16" x14ac:dyDescent="0.25">
      <c r="A297">
        <v>934</v>
      </c>
      <c r="B297">
        <v>47</v>
      </c>
      <c r="C297" t="s">
        <v>12</v>
      </c>
      <c r="D297" s="3">
        <v>138152</v>
      </c>
      <c r="E297">
        <v>53</v>
      </c>
      <c r="F297">
        <v>2</v>
      </c>
      <c r="G297">
        <v>38</v>
      </c>
      <c r="H297" t="s">
        <v>16</v>
      </c>
      <c r="I297">
        <v>129.08000000000001</v>
      </c>
      <c r="J297" t="str">
        <f t="shared" si="28"/>
        <v>High</v>
      </c>
      <c r="K297" s="4" t="e">
        <f t="shared" si="29"/>
        <v>#N/A</v>
      </c>
      <c r="L297" t="e">
        <f t="shared" si="30"/>
        <v>#N/A</v>
      </c>
      <c r="M297" s="3" t="e">
        <f t="shared" si="31"/>
        <v>#N/A</v>
      </c>
      <c r="N297" t="e">
        <f t="shared" si="32"/>
        <v>#N/A</v>
      </c>
      <c r="O297" s="3">
        <f t="shared" si="33"/>
        <v>138152</v>
      </c>
      <c r="P297">
        <f t="shared" si="34"/>
        <v>53</v>
      </c>
    </row>
    <row r="298" spans="1:16" x14ac:dyDescent="0.25">
      <c r="A298">
        <v>946</v>
      </c>
      <c r="B298">
        <v>59</v>
      </c>
      <c r="C298" t="s">
        <v>12</v>
      </c>
      <c r="D298" s="3">
        <v>149936</v>
      </c>
      <c r="E298">
        <v>80</v>
      </c>
      <c r="F298">
        <v>7</v>
      </c>
      <c r="G298">
        <v>37</v>
      </c>
      <c r="H298" t="s">
        <v>16</v>
      </c>
      <c r="I298">
        <v>406.6</v>
      </c>
      <c r="J298" t="str">
        <f t="shared" si="28"/>
        <v>High</v>
      </c>
      <c r="K298" s="4" t="e">
        <f t="shared" si="29"/>
        <v>#N/A</v>
      </c>
      <c r="L298" t="e">
        <f t="shared" si="30"/>
        <v>#N/A</v>
      </c>
      <c r="M298" s="3" t="e">
        <f t="shared" si="31"/>
        <v>#N/A</v>
      </c>
      <c r="N298" t="e">
        <f t="shared" si="32"/>
        <v>#N/A</v>
      </c>
      <c r="O298" s="3">
        <f t="shared" si="33"/>
        <v>149936</v>
      </c>
      <c r="P298">
        <f t="shared" si="34"/>
        <v>80</v>
      </c>
    </row>
    <row r="299" spans="1:16" x14ac:dyDescent="0.25">
      <c r="A299">
        <v>962</v>
      </c>
      <c r="B299">
        <v>60</v>
      </c>
      <c r="C299" t="s">
        <v>12</v>
      </c>
      <c r="D299" s="3">
        <v>98537</v>
      </c>
      <c r="E299">
        <v>71</v>
      </c>
      <c r="F299">
        <v>9</v>
      </c>
      <c r="G299">
        <v>45</v>
      </c>
      <c r="H299" t="s">
        <v>16</v>
      </c>
      <c r="I299">
        <v>725.67</v>
      </c>
      <c r="J299" t="str">
        <f t="shared" si="28"/>
        <v>Medium</v>
      </c>
      <c r="K299" s="4" t="e">
        <f t="shared" si="29"/>
        <v>#N/A</v>
      </c>
      <c r="L299" t="e">
        <f t="shared" si="30"/>
        <v>#N/A</v>
      </c>
      <c r="M299" s="3">
        <f t="shared" si="31"/>
        <v>98537</v>
      </c>
      <c r="N299">
        <f t="shared" si="32"/>
        <v>71</v>
      </c>
      <c r="O299" s="3" t="e">
        <f t="shared" si="33"/>
        <v>#N/A</v>
      </c>
      <c r="P299" t="e">
        <f t="shared" si="34"/>
        <v>#N/A</v>
      </c>
    </row>
    <row r="300" spans="1:16" x14ac:dyDescent="0.25">
      <c r="A300">
        <v>973</v>
      </c>
      <c r="B300">
        <v>43</v>
      </c>
      <c r="C300" t="s">
        <v>12</v>
      </c>
      <c r="D300" s="3">
        <v>130645</v>
      </c>
      <c r="E300">
        <v>34</v>
      </c>
      <c r="F300">
        <v>10</v>
      </c>
      <c r="G300">
        <v>5</v>
      </c>
      <c r="H300" t="s">
        <v>16</v>
      </c>
      <c r="I300">
        <v>833.69</v>
      </c>
      <c r="J300" t="str">
        <f t="shared" si="28"/>
        <v>High</v>
      </c>
      <c r="K300" s="4" t="e">
        <f t="shared" si="29"/>
        <v>#N/A</v>
      </c>
      <c r="L300" t="e">
        <f t="shared" si="30"/>
        <v>#N/A</v>
      </c>
      <c r="M300" s="3" t="e">
        <f t="shared" si="31"/>
        <v>#N/A</v>
      </c>
      <c r="N300" t="e">
        <f t="shared" si="32"/>
        <v>#N/A</v>
      </c>
      <c r="O300" s="3">
        <f t="shared" si="33"/>
        <v>130645</v>
      </c>
      <c r="P300">
        <f t="shared" si="34"/>
        <v>34</v>
      </c>
    </row>
    <row r="301" spans="1:16" x14ac:dyDescent="0.25">
      <c r="A301">
        <v>977</v>
      </c>
      <c r="B301">
        <v>37</v>
      </c>
      <c r="C301" t="s">
        <v>12</v>
      </c>
      <c r="D301" s="3">
        <v>100314</v>
      </c>
      <c r="E301">
        <v>71</v>
      </c>
      <c r="F301">
        <v>5</v>
      </c>
      <c r="G301">
        <v>19</v>
      </c>
      <c r="H301" t="s">
        <v>16</v>
      </c>
      <c r="I301">
        <v>692.74</v>
      </c>
      <c r="J301" t="str">
        <f t="shared" si="28"/>
        <v>High</v>
      </c>
      <c r="K301" s="4" t="e">
        <f t="shared" si="29"/>
        <v>#N/A</v>
      </c>
      <c r="L301" t="e">
        <f t="shared" si="30"/>
        <v>#N/A</v>
      </c>
      <c r="M301" s="3" t="e">
        <f t="shared" si="31"/>
        <v>#N/A</v>
      </c>
      <c r="N301" t="e">
        <f t="shared" si="32"/>
        <v>#N/A</v>
      </c>
      <c r="O301" s="3">
        <f t="shared" si="33"/>
        <v>100314</v>
      </c>
      <c r="P301">
        <f t="shared" si="34"/>
        <v>71</v>
      </c>
    </row>
    <row r="302" spans="1:16" x14ac:dyDescent="0.25">
      <c r="A302">
        <v>988</v>
      </c>
      <c r="B302">
        <v>26</v>
      </c>
      <c r="C302" t="s">
        <v>12</v>
      </c>
      <c r="D302" s="3">
        <v>148451</v>
      </c>
      <c r="E302">
        <v>78</v>
      </c>
      <c r="F302">
        <v>5</v>
      </c>
      <c r="G302">
        <v>14</v>
      </c>
      <c r="H302" t="s">
        <v>16</v>
      </c>
      <c r="I302">
        <v>99.19</v>
      </c>
      <c r="J302" t="str">
        <f t="shared" si="28"/>
        <v>High</v>
      </c>
      <c r="K302" s="4" t="e">
        <f t="shared" si="29"/>
        <v>#N/A</v>
      </c>
      <c r="L302" t="e">
        <f t="shared" si="30"/>
        <v>#N/A</v>
      </c>
      <c r="M302" s="3" t="e">
        <f t="shared" si="31"/>
        <v>#N/A</v>
      </c>
      <c r="N302" t="e">
        <f t="shared" si="32"/>
        <v>#N/A</v>
      </c>
      <c r="O302" s="3">
        <f t="shared" si="33"/>
        <v>148451</v>
      </c>
      <c r="P302">
        <f t="shared" si="34"/>
        <v>78</v>
      </c>
    </row>
    <row r="303" spans="1:16" x14ac:dyDescent="0.25">
      <c r="A303">
        <v>16</v>
      </c>
      <c r="B303">
        <v>53</v>
      </c>
      <c r="C303" t="s">
        <v>12</v>
      </c>
      <c r="D303" s="3">
        <v>129284</v>
      </c>
      <c r="E303">
        <v>17</v>
      </c>
      <c r="F303">
        <v>6</v>
      </c>
      <c r="G303">
        <v>26</v>
      </c>
      <c r="H303" t="s">
        <v>17</v>
      </c>
      <c r="I303">
        <v>225.4</v>
      </c>
      <c r="J303" t="str">
        <f t="shared" si="28"/>
        <v>High</v>
      </c>
      <c r="K303" s="4" t="e">
        <f t="shared" si="29"/>
        <v>#N/A</v>
      </c>
      <c r="L303" t="e">
        <f t="shared" si="30"/>
        <v>#N/A</v>
      </c>
      <c r="M303" s="3" t="e">
        <f t="shared" si="31"/>
        <v>#N/A</v>
      </c>
      <c r="N303" t="e">
        <f t="shared" si="32"/>
        <v>#N/A</v>
      </c>
      <c r="O303" s="3">
        <f t="shared" si="33"/>
        <v>129284</v>
      </c>
      <c r="P303">
        <f t="shared" si="34"/>
        <v>17</v>
      </c>
    </row>
    <row r="304" spans="1:16" x14ac:dyDescent="0.25">
      <c r="A304">
        <v>17</v>
      </c>
      <c r="B304">
        <v>57</v>
      </c>
      <c r="C304" t="s">
        <v>12</v>
      </c>
      <c r="D304" s="3">
        <v>102535</v>
      </c>
      <c r="E304">
        <v>29</v>
      </c>
      <c r="F304">
        <v>5</v>
      </c>
      <c r="G304">
        <v>13</v>
      </c>
      <c r="H304" t="s">
        <v>17</v>
      </c>
      <c r="I304">
        <v>378.47</v>
      </c>
      <c r="J304" t="str">
        <f t="shared" si="28"/>
        <v>High</v>
      </c>
      <c r="K304" s="4" t="e">
        <f t="shared" si="29"/>
        <v>#N/A</v>
      </c>
      <c r="L304" t="e">
        <f t="shared" si="30"/>
        <v>#N/A</v>
      </c>
      <c r="M304" s="3" t="e">
        <f t="shared" si="31"/>
        <v>#N/A</v>
      </c>
      <c r="N304" t="e">
        <f t="shared" si="32"/>
        <v>#N/A</v>
      </c>
      <c r="O304" s="3">
        <f t="shared" si="33"/>
        <v>102535</v>
      </c>
      <c r="P304">
        <f t="shared" si="34"/>
        <v>29</v>
      </c>
    </row>
    <row r="305" spans="1:16" x14ac:dyDescent="0.25">
      <c r="A305">
        <v>42</v>
      </c>
      <c r="B305">
        <v>52</v>
      </c>
      <c r="C305" t="s">
        <v>12</v>
      </c>
      <c r="D305" s="3">
        <v>115529</v>
      </c>
      <c r="E305">
        <v>70</v>
      </c>
      <c r="F305">
        <v>2</v>
      </c>
      <c r="G305">
        <v>34</v>
      </c>
      <c r="H305" t="s">
        <v>17</v>
      </c>
      <c r="I305">
        <v>192.66</v>
      </c>
      <c r="J305" t="str">
        <f t="shared" si="28"/>
        <v>High</v>
      </c>
      <c r="K305" s="4" t="e">
        <f t="shared" si="29"/>
        <v>#N/A</v>
      </c>
      <c r="L305" t="e">
        <f t="shared" si="30"/>
        <v>#N/A</v>
      </c>
      <c r="M305" s="3" t="e">
        <f t="shared" si="31"/>
        <v>#N/A</v>
      </c>
      <c r="N305" t="e">
        <f t="shared" si="32"/>
        <v>#N/A</v>
      </c>
      <c r="O305" s="3">
        <f t="shared" si="33"/>
        <v>115529</v>
      </c>
      <c r="P305">
        <f t="shared" si="34"/>
        <v>70</v>
      </c>
    </row>
    <row r="306" spans="1:16" x14ac:dyDescent="0.25">
      <c r="A306">
        <v>85</v>
      </c>
      <c r="B306">
        <v>19</v>
      </c>
      <c r="C306" t="s">
        <v>12</v>
      </c>
      <c r="D306" s="3">
        <v>101100</v>
      </c>
      <c r="E306">
        <v>43</v>
      </c>
      <c r="F306">
        <v>3</v>
      </c>
      <c r="G306">
        <v>14</v>
      </c>
      <c r="H306" t="s">
        <v>17</v>
      </c>
      <c r="I306">
        <v>392.36</v>
      </c>
      <c r="J306" t="str">
        <f t="shared" si="28"/>
        <v>High</v>
      </c>
      <c r="K306" s="4" t="e">
        <f t="shared" si="29"/>
        <v>#N/A</v>
      </c>
      <c r="L306" t="e">
        <f t="shared" si="30"/>
        <v>#N/A</v>
      </c>
      <c r="M306" s="3" t="e">
        <f t="shared" si="31"/>
        <v>#N/A</v>
      </c>
      <c r="N306" t="e">
        <f t="shared" si="32"/>
        <v>#N/A</v>
      </c>
      <c r="O306" s="3">
        <f t="shared" si="33"/>
        <v>101100</v>
      </c>
      <c r="P306">
        <f t="shared" si="34"/>
        <v>43</v>
      </c>
    </row>
    <row r="307" spans="1:16" x14ac:dyDescent="0.25">
      <c r="A307">
        <v>96</v>
      </c>
      <c r="B307">
        <v>23</v>
      </c>
      <c r="C307" t="s">
        <v>12</v>
      </c>
      <c r="D307" s="3">
        <v>108480</v>
      </c>
      <c r="E307">
        <v>46</v>
      </c>
      <c r="F307">
        <v>10</v>
      </c>
      <c r="G307">
        <v>21</v>
      </c>
      <c r="H307" t="s">
        <v>17</v>
      </c>
      <c r="I307">
        <v>377.31</v>
      </c>
      <c r="J307" t="str">
        <f t="shared" si="28"/>
        <v>High</v>
      </c>
      <c r="K307" s="4" t="e">
        <f t="shared" si="29"/>
        <v>#N/A</v>
      </c>
      <c r="L307" t="e">
        <f t="shared" si="30"/>
        <v>#N/A</v>
      </c>
      <c r="M307" s="3" t="e">
        <f t="shared" si="31"/>
        <v>#N/A</v>
      </c>
      <c r="N307" t="e">
        <f t="shared" si="32"/>
        <v>#N/A</v>
      </c>
      <c r="O307" s="3">
        <f t="shared" si="33"/>
        <v>108480</v>
      </c>
      <c r="P307">
        <f t="shared" si="34"/>
        <v>46</v>
      </c>
    </row>
    <row r="308" spans="1:16" x14ac:dyDescent="0.25">
      <c r="A308">
        <v>98</v>
      </c>
      <c r="B308">
        <v>49</v>
      </c>
      <c r="C308" t="s">
        <v>12</v>
      </c>
      <c r="D308" s="3">
        <v>46695</v>
      </c>
      <c r="E308">
        <v>99</v>
      </c>
      <c r="F308">
        <v>9</v>
      </c>
      <c r="G308">
        <v>26</v>
      </c>
      <c r="H308" t="s">
        <v>17</v>
      </c>
      <c r="I308">
        <v>674.7</v>
      </c>
      <c r="J308" t="str">
        <f t="shared" si="28"/>
        <v>Low</v>
      </c>
      <c r="K308" s="4">
        <f t="shared" si="29"/>
        <v>46695</v>
      </c>
      <c r="L308">
        <f t="shared" si="30"/>
        <v>99</v>
      </c>
      <c r="M308" s="3" t="e">
        <f t="shared" si="31"/>
        <v>#N/A</v>
      </c>
      <c r="N308" t="e">
        <f t="shared" si="32"/>
        <v>#N/A</v>
      </c>
      <c r="O308" s="3" t="e">
        <f t="shared" si="33"/>
        <v>#N/A</v>
      </c>
      <c r="P308" t="e">
        <f t="shared" si="34"/>
        <v>#N/A</v>
      </c>
    </row>
    <row r="309" spans="1:16" x14ac:dyDescent="0.25">
      <c r="A309">
        <v>103</v>
      </c>
      <c r="B309">
        <v>19</v>
      </c>
      <c r="C309" t="s">
        <v>12</v>
      </c>
      <c r="D309" s="3">
        <v>75430</v>
      </c>
      <c r="E309">
        <v>50</v>
      </c>
      <c r="F309">
        <v>7</v>
      </c>
      <c r="G309">
        <v>32</v>
      </c>
      <c r="H309" t="s">
        <v>17</v>
      </c>
      <c r="I309">
        <v>532.51</v>
      </c>
      <c r="J309" t="str">
        <f t="shared" si="28"/>
        <v>Medium</v>
      </c>
      <c r="K309" s="4" t="e">
        <f t="shared" si="29"/>
        <v>#N/A</v>
      </c>
      <c r="L309" t="e">
        <f t="shared" si="30"/>
        <v>#N/A</v>
      </c>
      <c r="M309" s="3">
        <f t="shared" si="31"/>
        <v>75430</v>
      </c>
      <c r="N309">
        <f t="shared" si="32"/>
        <v>50</v>
      </c>
      <c r="O309" s="3" t="e">
        <f t="shared" si="33"/>
        <v>#N/A</v>
      </c>
      <c r="P309" t="e">
        <f t="shared" si="34"/>
        <v>#N/A</v>
      </c>
    </row>
    <row r="310" spans="1:16" x14ac:dyDescent="0.25">
      <c r="A310">
        <v>112</v>
      </c>
      <c r="B310">
        <v>64</v>
      </c>
      <c r="C310" t="s">
        <v>12</v>
      </c>
      <c r="D310" s="3">
        <v>87006</v>
      </c>
      <c r="E310">
        <v>85</v>
      </c>
      <c r="F310">
        <v>7</v>
      </c>
      <c r="G310">
        <v>20</v>
      </c>
      <c r="H310" t="s">
        <v>17</v>
      </c>
      <c r="I310">
        <v>930.73</v>
      </c>
      <c r="J310" t="str">
        <f t="shared" si="28"/>
        <v>Medium</v>
      </c>
      <c r="K310" s="4" t="e">
        <f t="shared" si="29"/>
        <v>#N/A</v>
      </c>
      <c r="L310" t="e">
        <f t="shared" si="30"/>
        <v>#N/A</v>
      </c>
      <c r="M310" s="3">
        <f t="shared" si="31"/>
        <v>87006</v>
      </c>
      <c r="N310">
        <f t="shared" si="32"/>
        <v>85</v>
      </c>
      <c r="O310" s="3" t="e">
        <f t="shared" si="33"/>
        <v>#N/A</v>
      </c>
      <c r="P310" t="e">
        <f t="shared" si="34"/>
        <v>#N/A</v>
      </c>
    </row>
    <row r="311" spans="1:16" x14ac:dyDescent="0.25">
      <c r="A311">
        <v>150</v>
      </c>
      <c r="B311">
        <v>54</v>
      </c>
      <c r="C311" t="s">
        <v>12</v>
      </c>
      <c r="D311" s="3">
        <v>100745</v>
      </c>
      <c r="E311">
        <v>29</v>
      </c>
      <c r="F311">
        <v>6</v>
      </c>
      <c r="G311">
        <v>42</v>
      </c>
      <c r="H311" t="s">
        <v>17</v>
      </c>
      <c r="I311">
        <v>335.15</v>
      </c>
      <c r="J311" t="str">
        <f t="shared" si="28"/>
        <v>High</v>
      </c>
      <c r="K311" s="4" t="e">
        <f t="shared" si="29"/>
        <v>#N/A</v>
      </c>
      <c r="L311" t="e">
        <f t="shared" si="30"/>
        <v>#N/A</v>
      </c>
      <c r="M311" s="3" t="e">
        <f t="shared" si="31"/>
        <v>#N/A</v>
      </c>
      <c r="N311" t="e">
        <f t="shared" si="32"/>
        <v>#N/A</v>
      </c>
      <c r="O311" s="3">
        <f t="shared" si="33"/>
        <v>100745</v>
      </c>
      <c r="P311">
        <f t="shared" si="34"/>
        <v>29</v>
      </c>
    </row>
    <row r="312" spans="1:16" x14ac:dyDescent="0.25">
      <c r="A312">
        <v>194</v>
      </c>
      <c r="B312">
        <v>69</v>
      </c>
      <c r="C312" t="s">
        <v>12</v>
      </c>
      <c r="D312" s="3">
        <v>74519</v>
      </c>
      <c r="E312">
        <v>95</v>
      </c>
      <c r="F312">
        <v>10</v>
      </c>
      <c r="G312">
        <v>42</v>
      </c>
      <c r="H312" t="s">
        <v>17</v>
      </c>
      <c r="I312">
        <v>931.51</v>
      </c>
      <c r="J312" t="str">
        <f t="shared" si="28"/>
        <v>Medium</v>
      </c>
      <c r="K312" s="4" t="e">
        <f t="shared" si="29"/>
        <v>#N/A</v>
      </c>
      <c r="L312" t="e">
        <f t="shared" si="30"/>
        <v>#N/A</v>
      </c>
      <c r="M312" s="3">
        <f t="shared" si="31"/>
        <v>74519</v>
      </c>
      <c r="N312">
        <f t="shared" si="32"/>
        <v>95</v>
      </c>
      <c r="O312" s="3" t="e">
        <f t="shared" si="33"/>
        <v>#N/A</v>
      </c>
      <c r="P312" t="e">
        <f t="shared" si="34"/>
        <v>#N/A</v>
      </c>
    </row>
    <row r="313" spans="1:16" x14ac:dyDescent="0.25">
      <c r="A313">
        <v>219</v>
      </c>
      <c r="B313">
        <v>57</v>
      </c>
      <c r="C313" t="s">
        <v>12</v>
      </c>
      <c r="D313" s="3">
        <v>33009</v>
      </c>
      <c r="E313">
        <v>82</v>
      </c>
      <c r="F313">
        <v>9</v>
      </c>
      <c r="G313">
        <v>24</v>
      </c>
      <c r="H313" t="s">
        <v>17</v>
      </c>
      <c r="I313">
        <v>563.64</v>
      </c>
      <c r="J313" t="str">
        <f t="shared" si="28"/>
        <v>Low</v>
      </c>
      <c r="K313" s="4">
        <f t="shared" si="29"/>
        <v>33009</v>
      </c>
      <c r="L313">
        <f t="shared" si="30"/>
        <v>82</v>
      </c>
      <c r="M313" s="3" t="e">
        <f t="shared" si="31"/>
        <v>#N/A</v>
      </c>
      <c r="N313" t="e">
        <f t="shared" si="32"/>
        <v>#N/A</v>
      </c>
      <c r="O313" s="3" t="e">
        <f t="shared" si="33"/>
        <v>#N/A</v>
      </c>
      <c r="P313" t="e">
        <f t="shared" si="34"/>
        <v>#N/A</v>
      </c>
    </row>
    <row r="314" spans="1:16" x14ac:dyDescent="0.25">
      <c r="A314">
        <v>221</v>
      </c>
      <c r="B314">
        <v>62</v>
      </c>
      <c r="C314" t="s">
        <v>12</v>
      </c>
      <c r="D314" s="3">
        <v>82623</v>
      </c>
      <c r="E314">
        <v>51</v>
      </c>
      <c r="F314">
        <v>8</v>
      </c>
      <c r="G314">
        <v>37</v>
      </c>
      <c r="H314" t="s">
        <v>17</v>
      </c>
      <c r="I314">
        <v>155.13999999999999</v>
      </c>
      <c r="J314" t="str">
        <f t="shared" si="28"/>
        <v>Medium</v>
      </c>
      <c r="K314" s="4" t="e">
        <f t="shared" si="29"/>
        <v>#N/A</v>
      </c>
      <c r="L314" t="e">
        <f t="shared" si="30"/>
        <v>#N/A</v>
      </c>
      <c r="M314" s="3">
        <f t="shared" si="31"/>
        <v>82623</v>
      </c>
      <c r="N314">
        <f t="shared" si="32"/>
        <v>51</v>
      </c>
      <c r="O314" s="3" t="e">
        <f t="shared" si="33"/>
        <v>#N/A</v>
      </c>
      <c r="P314" t="e">
        <f t="shared" si="34"/>
        <v>#N/A</v>
      </c>
    </row>
    <row r="315" spans="1:16" x14ac:dyDescent="0.25">
      <c r="A315">
        <v>265</v>
      </c>
      <c r="B315">
        <v>63</v>
      </c>
      <c r="C315" t="s">
        <v>12</v>
      </c>
      <c r="D315" s="3">
        <v>142287</v>
      </c>
      <c r="E315">
        <v>77</v>
      </c>
      <c r="F315">
        <v>10</v>
      </c>
      <c r="G315">
        <v>44</v>
      </c>
      <c r="H315" t="s">
        <v>17</v>
      </c>
      <c r="I315">
        <v>785.29</v>
      </c>
      <c r="J315" t="str">
        <f t="shared" si="28"/>
        <v>High</v>
      </c>
      <c r="K315" s="4" t="e">
        <f t="shared" si="29"/>
        <v>#N/A</v>
      </c>
      <c r="L315" t="e">
        <f t="shared" si="30"/>
        <v>#N/A</v>
      </c>
      <c r="M315" s="3" t="e">
        <f t="shared" si="31"/>
        <v>#N/A</v>
      </c>
      <c r="N315" t="e">
        <f t="shared" si="32"/>
        <v>#N/A</v>
      </c>
      <c r="O315" s="3">
        <f t="shared" si="33"/>
        <v>142287</v>
      </c>
      <c r="P315">
        <f t="shared" si="34"/>
        <v>77</v>
      </c>
    </row>
    <row r="316" spans="1:16" x14ac:dyDescent="0.25">
      <c r="A316">
        <v>278</v>
      </c>
      <c r="B316">
        <v>63</v>
      </c>
      <c r="C316" t="s">
        <v>12</v>
      </c>
      <c r="D316" s="3">
        <v>48225</v>
      </c>
      <c r="E316">
        <v>24</v>
      </c>
      <c r="F316">
        <v>6</v>
      </c>
      <c r="G316">
        <v>14</v>
      </c>
      <c r="H316" t="s">
        <v>17</v>
      </c>
      <c r="I316">
        <v>764.05</v>
      </c>
      <c r="J316" t="str">
        <f t="shared" si="28"/>
        <v>Low</v>
      </c>
      <c r="K316" s="4">
        <f t="shared" si="29"/>
        <v>48225</v>
      </c>
      <c r="L316">
        <f t="shared" si="30"/>
        <v>24</v>
      </c>
      <c r="M316" s="3" t="e">
        <f t="shared" si="31"/>
        <v>#N/A</v>
      </c>
      <c r="N316" t="e">
        <f t="shared" si="32"/>
        <v>#N/A</v>
      </c>
      <c r="O316" s="3" t="e">
        <f t="shared" si="33"/>
        <v>#N/A</v>
      </c>
      <c r="P316" t="e">
        <f t="shared" si="34"/>
        <v>#N/A</v>
      </c>
    </row>
    <row r="317" spans="1:16" x14ac:dyDescent="0.25">
      <c r="A317">
        <v>282</v>
      </c>
      <c r="B317">
        <v>34</v>
      </c>
      <c r="C317" t="s">
        <v>12</v>
      </c>
      <c r="D317" s="3">
        <v>68250</v>
      </c>
      <c r="E317">
        <v>9</v>
      </c>
      <c r="F317">
        <v>10</v>
      </c>
      <c r="G317">
        <v>26</v>
      </c>
      <c r="H317" t="s">
        <v>17</v>
      </c>
      <c r="I317">
        <v>835.06</v>
      </c>
      <c r="J317" t="str">
        <f t="shared" si="28"/>
        <v>Medium</v>
      </c>
      <c r="K317" s="4" t="e">
        <f t="shared" si="29"/>
        <v>#N/A</v>
      </c>
      <c r="L317" t="e">
        <f t="shared" si="30"/>
        <v>#N/A</v>
      </c>
      <c r="M317" s="3">
        <f t="shared" si="31"/>
        <v>68250</v>
      </c>
      <c r="N317">
        <f t="shared" si="32"/>
        <v>9</v>
      </c>
      <c r="O317" s="3" t="e">
        <f t="shared" si="33"/>
        <v>#N/A</v>
      </c>
      <c r="P317" t="e">
        <f t="shared" si="34"/>
        <v>#N/A</v>
      </c>
    </row>
    <row r="318" spans="1:16" x14ac:dyDescent="0.25">
      <c r="A318">
        <v>286</v>
      </c>
      <c r="B318">
        <v>51</v>
      </c>
      <c r="C318" t="s">
        <v>12</v>
      </c>
      <c r="D318" s="3">
        <v>124670</v>
      </c>
      <c r="E318">
        <v>66</v>
      </c>
      <c r="F318">
        <v>2</v>
      </c>
      <c r="G318">
        <v>43</v>
      </c>
      <c r="H318" t="s">
        <v>17</v>
      </c>
      <c r="I318">
        <v>184.8</v>
      </c>
      <c r="J318" t="str">
        <f t="shared" si="28"/>
        <v>High</v>
      </c>
      <c r="K318" s="4" t="e">
        <f t="shared" si="29"/>
        <v>#N/A</v>
      </c>
      <c r="L318" t="e">
        <f t="shared" si="30"/>
        <v>#N/A</v>
      </c>
      <c r="M318" s="3" t="e">
        <f t="shared" si="31"/>
        <v>#N/A</v>
      </c>
      <c r="N318" t="e">
        <f t="shared" si="32"/>
        <v>#N/A</v>
      </c>
      <c r="O318" s="3">
        <f t="shared" si="33"/>
        <v>124670</v>
      </c>
      <c r="P318">
        <f t="shared" si="34"/>
        <v>66</v>
      </c>
    </row>
    <row r="319" spans="1:16" x14ac:dyDescent="0.25">
      <c r="A319">
        <v>287</v>
      </c>
      <c r="B319">
        <v>31</v>
      </c>
      <c r="C319" t="s">
        <v>12</v>
      </c>
      <c r="D319" s="3">
        <v>119460</v>
      </c>
      <c r="E319">
        <v>69</v>
      </c>
      <c r="F319">
        <v>2</v>
      </c>
      <c r="G319">
        <v>22</v>
      </c>
      <c r="H319" t="s">
        <v>17</v>
      </c>
      <c r="I319">
        <v>486.21</v>
      </c>
      <c r="J319" t="str">
        <f t="shared" si="28"/>
        <v>High</v>
      </c>
      <c r="K319" s="4" t="e">
        <f t="shared" si="29"/>
        <v>#N/A</v>
      </c>
      <c r="L319" t="e">
        <f t="shared" si="30"/>
        <v>#N/A</v>
      </c>
      <c r="M319" s="3" t="e">
        <f t="shared" si="31"/>
        <v>#N/A</v>
      </c>
      <c r="N319" t="e">
        <f t="shared" si="32"/>
        <v>#N/A</v>
      </c>
      <c r="O319" s="3">
        <f t="shared" si="33"/>
        <v>119460</v>
      </c>
      <c r="P319">
        <f t="shared" si="34"/>
        <v>69</v>
      </c>
    </row>
    <row r="320" spans="1:16" x14ac:dyDescent="0.25">
      <c r="A320">
        <v>320</v>
      </c>
      <c r="B320">
        <v>34</v>
      </c>
      <c r="C320" t="s">
        <v>12</v>
      </c>
      <c r="D320" s="3">
        <v>31668</v>
      </c>
      <c r="E320">
        <v>43</v>
      </c>
      <c r="F320">
        <v>5</v>
      </c>
      <c r="G320">
        <v>40</v>
      </c>
      <c r="H320" t="s">
        <v>17</v>
      </c>
      <c r="I320">
        <v>117.01</v>
      </c>
      <c r="J320" t="str">
        <f t="shared" si="28"/>
        <v>Low</v>
      </c>
      <c r="K320" s="4">
        <f t="shared" si="29"/>
        <v>31668</v>
      </c>
      <c r="L320">
        <f t="shared" si="30"/>
        <v>43</v>
      </c>
      <c r="M320" s="3" t="e">
        <f t="shared" si="31"/>
        <v>#N/A</v>
      </c>
      <c r="N320" t="e">
        <f t="shared" si="32"/>
        <v>#N/A</v>
      </c>
      <c r="O320" s="3" t="e">
        <f t="shared" si="33"/>
        <v>#N/A</v>
      </c>
      <c r="P320" t="e">
        <f t="shared" si="34"/>
        <v>#N/A</v>
      </c>
    </row>
    <row r="321" spans="1:16" x14ac:dyDescent="0.25">
      <c r="A321">
        <v>327</v>
      </c>
      <c r="B321">
        <v>50</v>
      </c>
      <c r="C321" t="s">
        <v>12</v>
      </c>
      <c r="D321" s="3">
        <v>36022</v>
      </c>
      <c r="E321">
        <v>11</v>
      </c>
      <c r="F321">
        <v>6</v>
      </c>
      <c r="G321">
        <v>49</v>
      </c>
      <c r="H321" t="s">
        <v>17</v>
      </c>
      <c r="I321">
        <v>801.59</v>
      </c>
      <c r="J321" t="str">
        <f t="shared" si="28"/>
        <v>Low</v>
      </c>
      <c r="K321" s="4">
        <f t="shared" si="29"/>
        <v>36022</v>
      </c>
      <c r="L321">
        <f t="shared" si="30"/>
        <v>11</v>
      </c>
      <c r="M321" s="3" t="e">
        <f t="shared" si="31"/>
        <v>#N/A</v>
      </c>
      <c r="N321" t="e">
        <f t="shared" si="32"/>
        <v>#N/A</v>
      </c>
      <c r="O321" s="3" t="e">
        <f t="shared" si="33"/>
        <v>#N/A</v>
      </c>
      <c r="P321" t="e">
        <f t="shared" si="34"/>
        <v>#N/A</v>
      </c>
    </row>
    <row r="322" spans="1:16" x14ac:dyDescent="0.25">
      <c r="A322">
        <v>345</v>
      </c>
      <c r="B322">
        <v>33</v>
      </c>
      <c r="C322" t="s">
        <v>12</v>
      </c>
      <c r="D322" s="3">
        <v>112118</v>
      </c>
      <c r="E322">
        <v>27</v>
      </c>
      <c r="F322">
        <v>10</v>
      </c>
      <c r="G322">
        <v>9</v>
      </c>
      <c r="H322" t="s">
        <v>17</v>
      </c>
      <c r="I322">
        <v>535.28</v>
      </c>
      <c r="J322" t="str">
        <f t="shared" ref="J322:J385" si="35">IF(D322&lt;50000,"Low",IF(D322&lt;100000,"Medium","High"))</f>
        <v>High</v>
      </c>
      <c r="K322" s="4" t="e">
        <f t="shared" ref="K322:K385" si="36">IF($J322="Low",$D322,NA())</f>
        <v>#N/A</v>
      </c>
      <c r="L322" t="e">
        <f t="shared" ref="L322:L385" si="37">IF($J322="Low",$E322,NA())</f>
        <v>#N/A</v>
      </c>
      <c r="M322" s="3" t="e">
        <f t="shared" ref="M322:M385" si="38">IF($J322="Medium",$D322,NA())</f>
        <v>#N/A</v>
      </c>
      <c r="N322" t="e">
        <f t="shared" ref="N322:N385" si="39">IF($J322="Medium",$E322,NA())</f>
        <v>#N/A</v>
      </c>
      <c r="O322" s="3">
        <f t="shared" ref="O322:O385" si="40">IF($J322="High",$D322,NA())</f>
        <v>112118</v>
      </c>
      <c r="P322">
        <f t="shared" ref="P322:P385" si="41">IF($J322="High",$E322,NA())</f>
        <v>27</v>
      </c>
    </row>
    <row r="323" spans="1:16" x14ac:dyDescent="0.25">
      <c r="A323">
        <v>402</v>
      </c>
      <c r="B323">
        <v>63</v>
      </c>
      <c r="C323" t="s">
        <v>12</v>
      </c>
      <c r="D323" s="3">
        <v>149062</v>
      </c>
      <c r="E323">
        <v>66</v>
      </c>
      <c r="F323">
        <v>9</v>
      </c>
      <c r="G323">
        <v>7</v>
      </c>
      <c r="H323" t="s">
        <v>17</v>
      </c>
      <c r="I323">
        <v>441.11</v>
      </c>
      <c r="J323" t="str">
        <f t="shared" si="35"/>
        <v>High</v>
      </c>
      <c r="K323" s="4" t="e">
        <f t="shared" si="36"/>
        <v>#N/A</v>
      </c>
      <c r="L323" t="e">
        <f t="shared" si="37"/>
        <v>#N/A</v>
      </c>
      <c r="M323" s="3" t="e">
        <f t="shared" si="38"/>
        <v>#N/A</v>
      </c>
      <c r="N323" t="e">
        <f t="shared" si="39"/>
        <v>#N/A</v>
      </c>
      <c r="O323" s="3">
        <f t="shared" si="40"/>
        <v>149062</v>
      </c>
      <c r="P323">
        <f t="shared" si="41"/>
        <v>66</v>
      </c>
    </row>
    <row r="324" spans="1:16" x14ac:dyDescent="0.25">
      <c r="A324">
        <v>441</v>
      </c>
      <c r="B324">
        <v>46</v>
      </c>
      <c r="C324" t="s">
        <v>12</v>
      </c>
      <c r="D324" s="3">
        <v>68970</v>
      </c>
      <c r="E324">
        <v>50</v>
      </c>
      <c r="F324">
        <v>9</v>
      </c>
      <c r="G324">
        <v>46</v>
      </c>
      <c r="H324" t="s">
        <v>17</v>
      </c>
      <c r="I324">
        <v>392.35</v>
      </c>
      <c r="J324" t="str">
        <f t="shared" si="35"/>
        <v>Medium</v>
      </c>
      <c r="K324" s="4" t="e">
        <f t="shared" si="36"/>
        <v>#N/A</v>
      </c>
      <c r="L324" t="e">
        <f t="shared" si="37"/>
        <v>#N/A</v>
      </c>
      <c r="M324" s="3">
        <f t="shared" si="38"/>
        <v>68970</v>
      </c>
      <c r="N324">
        <f t="shared" si="39"/>
        <v>50</v>
      </c>
      <c r="O324" s="3" t="e">
        <f t="shared" si="40"/>
        <v>#N/A</v>
      </c>
      <c r="P324" t="e">
        <f t="shared" si="41"/>
        <v>#N/A</v>
      </c>
    </row>
    <row r="325" spans="1:16" x14ac:dyDescent="0.25">
      <c r="A325">
        <v>463</v>
      </c>
      <c r="B325">
        <v>53</v>
      </c>
      <c r="C325" t="s">
        <v>12</v>
      </c>
      <c r="D325" s="3">
        <v>37569</v>
      </c>
      <c r="E325">
        <v>18</v>
      </c>
      <c r="F325">
        <v>8</v>
      </c>
      <c r="G325">
        <v>50</v>
      </c>
      <c r="H325" t="s">
        <v>17</v>
      </c>
      <c r="I325">
        <v>634.91999999999996</v>
      </c>
      <c r="J325" t="str">
        <f t="shared" si="35"/>
        <v>Low</v>
      </c>
      <c r="K325" s="4">
        <f t="shared" si="36"/>
        <v>37569</v>
      </c>
      <c r="L325">
        <f t="shared" si="37"/>
        <v>18</v>
      </c>
      <c r="M325" s="3" t="e">
        <f t="shared" si="38"/>
        <v>#N/A</v>
      </c>
      <c r="N325" t="e">
        <f t="shared" si="39"/>
        <v>#N/A</v>
      </c>
      <c r="O325" s="3" t="e">
        <f t="shared" si="40"/>
        <v>#N/A</v>
      </c>
      <c r="P325" t="e">
        <f t="shared" si="41"/>
        <v>#N/A</v>
      </c>
    </row>
    <row r="326" spans="1:16" x14ac:dyDescent="0.25">
      <c r="A326">
        <v>468</v>
      </c>
      <c r="B326">
        <v>54</v>
      </c>
      <c r="C326" t="s">
        <v>12</v>
      </c>
      <c r="D326" s="3">
        <v>32276</v>
      </c>
      <c r="E326">
        <v>73</v>
      </c>
      <c r="F326">
        <v>2</v>
      </c>
      <c r="G326">
        <v>44</v>
      </c>
      <c r="H326" t="s">
        <v>17</v>
      </c>
      <c r="I326">
        <v>554.58000000000004</v>
      </c>
      <c r="J326" t="str">
        <f t="shared" si="35"/>
        <v>Low</v>
      </c>
      <c r="K326" s="4">
        <f t="shared" si="36"/>
        <v>32276</v>
      </c>
      <c r="L326">
        <f t="shared" si="37"/>
        <v>73</v>
      </c>
      <c r="M326" s="3" t="e">
        <f t="shared" si="38"/>
        <v>#N/A</v>
      </c>
      <c r="N326" t="e">
        <f t="shared" si="39"/>
        <v>#N/A</v>
      </c>
      <c r="O326" s="3" t="e">
        <f t="shared" si="40"/>
        <v>#N/A</v>
      </c>
      <c r="P326" t="e">
        <f t="shared" si="41"/>
        <v>#N/A</v>
      </c>
    </row>
    <row r="327" spans="1:16" x14ac:dyDescent="0.25">
      <c r="A327">
        <v>500</v>
      </c>
      <c r="B327">
        <v>47</v>
      </c>
      <c r="C327" t="s">
        <v>12</v>
      </c>
      <c r="D327" s="3">
        <v>69168</v>
      </c>
      <c r="E327">
        <v>16</v>
      </c>
      <c r="F327">
        <v>7</v>
      </c>
      <c r="G327">
        <v>42</v>
      </c>
      <c r="H327" t="s">
        <v>17</v>
      </c>
      <c r="I327">
        <v>638.96</v>
      </c>
      <c r="J327" t="str">
        <f t="shared" si="35"/>
        <v>Medium</v>
      </c>
      <c r="K327" s="4" t="e">
        <f t="shared" si="36"/>
        <v>#N/A</v>
      </c>
      <c r="L327" t="e">
        <f t="shared" si="37"/>
        <v>#N/A</v>
      </c>
      <c r="M327" s="3">
        <f t="shared" si="38"/>
        <v>69168</v>
      </c>
      <c r="N327">
        <f t="shared" si="39"/>
        <v>16</v>
      </c>
      <c r="O327" s="3" t="e">
        <f t="shared" si="40"/>
        <v>#N/A</v>
      </c>
      <c r="P327" t="e">
        <f t="shared" si="41"/>
        <v>#N/A</v>
      </c>
    </row>
    <row r="328" spans="1:16" x14ac:dyDescent="0.25">
      <c r="A328">
        <v>501</v>
      </c>
      <c r="B328">
        <v>42</v>
      </c>
      <c r="C328" t="s">
        <v>12</v>
      </c>
      <c r="D328" s="3">
        <v>129999</v>
      </c>
      <c r="E328">
        <v>73</v>
      </c>
      <c r="F328">
        <v>5</v>
      </c>
      <c r="G328">
        <v>2</v>
      </c>
      <c r="H328" t="s">
        <v>17</v>
      </c>
      <c r="I328">
        <v>942.97</v>
      </c>
      <c r="J328" t="str">
        <f t="shared" si="35"/>
        <v>High</v>
      </c>
      <c r="K328" s="4" t="e">
        <f t="shared" si="36"/>
        <v>#N/A</v>
      </c>
      <c r="L328" t="e">
        <f t="shared" si="37"/>
        <v>#N/A</v>
      </c>
      <c r="M328" s="3" t="e">
        <f t="shared" si="38"/>
        <v>#N/A</v>
      </c>
      <c r="N328" t="e">
        <f t="shared" si="39"/>
        <v>#N/A</v>
      </c>
      <c r="O328" s="3">
        <f t="shared" si="40"/>
        <v>129999</v>
      </c>
      <c r="P328">
        <f t="shared" si="41"/>
        <v>73</v>
      </c>
    </row>
    <row r="329" spans="1:16" x14ac:dyDescent="0.25">
      <c r="A329">
        <v>526</v>
      </c>
      <c r="B329">
        <v>52</v>
      </c>
      <c r="C329" t="s">
        <v>12</v>
      </c>
      <c r="D329" s="3">
        <v>133701</v>
      </c>
      <c r="E329">
        <v>64</v>
      </c>
      <c r="F329">
        <v>1</v>
      </c>
      <c r="G329">
        <v>34</v>
      </c>
      <c r="H329" t="s">
        <v>17</v>
      </c>
      <c r="I329">
        <v>534.25</v>
      </c>
      <c r="J329" t="str">
        <f t="shared" si="35"/>
        <v>High</v>
      </c>
      <c r="K329" s="4" t="e">
        <f t="shared" si="36"/>
        <v>#N/A</v>
      </c>
      <c r="L329" t="e">
        <f t="shared" si="37"/>
        <v>#N/A</v>
      </c>
      <c r="M329" s="3" t="e">
        <f t="shared" si="38"/>
        <v>#N/A</v>
      </c>
      <c r="N329" t="e">
        <f t="shared" si="39"/>
        <v>#N/A</v>
      </c>
      <c r="O329" s="3">
        <f t="shared" si="40"/>
        <v>133701</v>
      </c>
      <c r="P329">
        <f t="shared" si="41"/>
        <v>64</v>
      </c>
    </row>
    <row r="330" spans="1:16" x14ac:dyDescent="0.25">
      <c r="A330">
        <v>552</v>
      </c>
      <c r="B330">
        <v>20</v>
      </c>
      <c r="C330" t="s">
        <v>12</v>
      </c>
      <c r="D330" s="3">
        <v>51199</v>
      </c>
      <c r="E330">
        <v>100</v>
      </c>
      <c r="F330">
        <v>5</v>
      </c>
      <c r="G330">
        <v>5</v>
      </c>
      <c r="H330" t="s">
        <v>17</v>
      </c>
      <c r="I330">
        <v>889.83</v>
      </c>
      <c r="J330" t="str">
        <f t="shared" si="35"/>
        <v>Medium</v>
      </c>
      <c r="K330" s="4" t="e">
        <f t="shared" si="36"/>
        <v>#N/A</v>
      </c>
      <c r="L330" t="e">
        <f t="shared" si="37"/>
        <v>#N/A</v>
      </c>
      <c r="M330" s="3">
        <f t="shared" si="38"/>
        <v>51199</v>
      </c>
      <c r="N330">
        <f t="shared" si="39"/>
        <v>100</v>
      </c>
      <c r="O330" s="3" t="e">
        <f t="shared" si="40"/>
        <v>#N/A</v>
      </c>
      <c r="P330" t="e">
        <f t="shared" si="41"/>
        <v>#N/A</v>
      </c>
    </row>
    <row r="331" spans="1:16" x14ac:dyDescent="0.25">
      <c r="A331">
        <v>566</v>
      </c>
      <c r="B331">
        <v>29</v>
      </c>
      <c r="C331" t="s">
        <v>12</v>
      </c>
      <c r="D331" s="3">
        <v>60262</v>
      </c>
      <c r="E331">
        <v>56</v>
      </c>
      <c r="F331">
        <v>4</v>
      </c>
      <c r="G331">
        <v>27</v>
      </c>
      <c r="H331" t="s">
        <v>17</v>
      </c>
      <c r="I331">
        <v>452.32</v>
      </c>
      <c r="J331" t="str">
        <f t="shared" si="35"/>
        <v>Medium</v>
      </c>
      <c r="K331" s="4" t="e">
        <f t="shared" si="36"/>
        <v>#N/A</v>
      </c>
      <c r="L331" t="e">
        <f t="shared" si="37"/>
        <v>#N/A</v>
      </c>
      <c r="M331" s="3">
        <f t="shared" si="38"/>
        <v>60262</v>
      </c>
      <c r="N331">
        <f t="shared" si="39"/>
        <v>56</v>
      </c>
      <c r="O331" s="3" t="e">
        <f t="shared" si="40"/>
        <v>#N/A</v>
      </c>
      <c r="P331" t="e">
        <f t="shared" si="41"/>
        <v>#N/A</v>
      </c>
    </row>
    <row r="332" spans="1:16" x14ac:dyDescent="0.25">
      <c r="A332">
        <v>575</v>
      </c>
      <c r="B332">
        <v>49</v>
      </c>
      <c r="C332" t="s">
        <v>12</v>
      </c>
      <c r="D332" s="3">
        <v>55027</v>
      </c>
      <c r="E332">
        <v>62</v>
      </c>
      <c r="F332">
        <v>2</v>
      </c>
      <c r="G332">
        <v>1</v>
      </c>
      <c r="H332" t="s">
        <v>17</v>
      </c>
      <c r="I332">
        <v>962.9</v>
      </c>
      <c r="J332" t="str">
        <f t="shared" si="35"/>
        <v>Medium</v>
      </c>
      <c r="K332" s="4" t="e">
        <f t="shared" si="36"/>
        <v>#N/A</v>
      </c>
      <c r="L332" t="e">
        <f t="shared" si="37"/>
        <v>#N/A</v>
      </c>
      <c r="M332" s="3">
        <f t="shared" si="38"/>
        <v>55027</v>
      </c>
      <c r="N332">
        <f t="shared" si="39"/>
        <v>62</v>
      </c>
      <c r="O332" s="3" t="e">
        <f t="shared" si="40"/>
        <v>#N/A</v>
      </c>
      <c r="P332" t="e">
        <f t="shared" si="41"/>
        <v>#N/A</v>
      </c>
    </row>
    <row r="333" spans="1:16" x14ac:dyDescent="0.25">
      <c r="A333">
        <v>581</v>
      </c>
      <c r="B333">
        <v>46</v>
      </c>
      <c r="C333" t="s">
        <v>12</v>
      </c>
      <c r="D333" s="3">
        <v>129568</v>
      </c>
      <c r="E333">
        <v>56</v>
      </c>
      <c r="F333">
        <v>10</v>
      </c>
      <c r="G333">
        <v>27</v>
      </c>
      <c r="H333" t="s">
        <v>17</v>
      </c>
      <c r="I333">
        <v>766.26</v>
      </c>
      <c r="J333" t="str">
        <f t="shared" si="35"/>
        <v>High</v>
      </c>
      <c r="K333" s="4" t="e">
        <f t="shared" si="36"/>
        <v>#N/A</v>
      </c>
      <c r="L333" t="e">
        <f t="shared" si="37"/>
        <v>#N/A</v>
      </c>
      <c r="M333" s="3" t="e">
        <f t="shared" si="38"/>
        <v>#N/A</v>
      </c>
      <c r="N333" t="e">
        <f t="shared" si="39"/>
        <v>#N/A</v>
      </c>
      <c r="O333" s="3">
        <f t="shared" si="40"/>
        <v>129568</v>
      </c>
      <c r="P333">
        <f t="shared" si="41"/>
        <v>56</v>
      </c>
    </row>
    <row r="334" spans="1:16" x14ac:dyDescent="0.25">
      <c r="A334">
        <v>584</v>
      </c>
      <c r="B334">
        <v>30</v>
      </c>
      <c r="C334" t="s">
        <v>12</v>
      </c>
      <c r="D334" s="3">
        <v>114808</v>
      </c>
      <c r="E334">
        <v>23</v>
      </c>
      <c r="F334">
        <v>9</v>
      </c>
      <c r="G334">
        <v>6</v>
      </c>
      <c r="H334" t="s">
        <v>17</v>
      </c>
      <c r="I334">
        <v>74.08</v>
      </c>
      <c r="J334" t="str">
        <f t="shared" si="35"/>
        <v>High</v>
      </c>
      <c r="K334" s="4" t="e">
        <f t="shared" si="36"/>
        <v>#N/A</v>
      </c>
      <c r="L334" t="e">
        <f t="shared" si="37"/>
        <v>#N/A</v>
      </c>
      <c r="M334" s="3" t="e">
        <f t="shared" si="38"/>
        <v>#N/A</v>
      </c>
      <c r="N334" t="e">
        <f t="shared" si="39"/>
        <v>#N/A</v>
      </c>
      <c r="O334" s="3">
        <f t="shared" si="40"/>
        <v>114808</v>
      </c>
      <c r="P334">
        <f t="shared" si="41"/>
        <v>23</v>
      </c>
    </row>
    <row r="335" spans="1:16" x14ac:dyDescent="0.25">
      <c r="A335">
        <v>658</v>
      </c>
      <c r="B335">
        <v>61</v>
      </c>
      <c r="C335" t="s">
        <v>12</v>
      </c>
      <c r="D335" s="3">
        <v>145578</v>
      </c>
      <c r="E335">
        <v>79</v>
      </c>
      <c r="F335">
        <v>2</v>
      </c>
      <c r="G335">
        <v>34</v>
      </c>
      <c r="H335" t="s">
        <v>17</v>
      </c>
      <c r="I335">
        <v>762.06</v>
      </c>
      <c r="J335" t="str">
        <f t="shared" si="35"/>
        <v>High</v>
      </c>
      <c r="K335" s="4" t="e">
        <f t="shared" si="36"/>
        <v>#N/A</v>
      </c>
      <c r="L335" t="e">
        <f t="shared" si="37"/>
        <v>#N/A</v>
      </c>
      <c r="M335" s="3" t="e">
        <f t="shared" si="38"/>
        <v>#N/A</v>
      </c>
      <c r="N335" t="e">
        <f t="shared" si="39"/>
        <v>#N/A</v>
      </c>
      <c r="O335" s="3">
        <f t="shared" si="40"/>
        <v>145578</v>
      </c>
      <c r="P335">
        <f t="shared" si="41"/>
        <v>79</v>
      </c>
    </row>
    <row r="336" spans="1:16" x14ac:dyDescent="0.25">
      <c r="A336">
        <v>669</v>
      </c>
      <c r="B336">
        <v>52</v>
      </c>
      <c r="C336" t="s">
        <v>12</v>
      </c>
      <c r="D336" s="3">
        <v>87717</v>
      </c>
      <c r="E336">
        <v>79</v>
      </c>
      <c r="F336">
        <v>6</v>
      </c>
      <c r="G336">
        <v>44</v>
      </c>
      <c r="H336" t="s">
        <v>17</v>
      </c>
      <c r="I336">
        <v>95.17</v>
      </c>
      <c r="J336" t="str">
        <f t="shared" si="35"/>
        <v>Medium</v>
      </c>
      <c r="K336" s="4" t="e">
        <f t="shared" si="36"/>
        <v>#N/A</v>
      </c>
      <c r="L336" t="e">
        <f t="shared" si="37"/>
        <v>#N/A</v>
      </c>
      <c r="M336" s="3">
        <f t="shared" si="38"/>
        <v>87717</v>
      </c>
      <c r="N336">
        <f t="shared" si="39"/>
        <v>79</v>
      </c>
      <c r="O336" s="3" t="e">
        <f t="shared" si="40"/>
        <v>#N/A</v>
      </c>
      <c r="P336" t="e">
        <f t="shared" si="41"/>
        <v>#N/A</v>
      </c>
    </row>
    <row r="337" spans="1:16" x14ac:dyDescent="0.25">
      <c r="A337">
        <v>684</v>
      </c>
      <c r="B337">
        <v>42</v>
      </c>
      <c r="C337" t="s">
        <v>12</v>
      </c>
      <c r="D337" s="3">
        <v>56378</v>
      </c>
      <c r="E337">
        <v>8</v>
      </c>
      <c r="F337">
        <v>9</v>
      </c>
      <c r="G337">
        <v>18</v>
      </c>
      <c r="H337" t="s">
        <v>17</v>
      </c>
      <c r="I337">
        <v>880.45</v>
      </c>
      <c r="J337" t="str">
        <f t="shared" si="35"/>
        <v>Medium</v>
      </c>
      <c r="K337" s="4" t="e">
        <f t="shared" si="36"/>
        <v>#N/A</v>
      </c>
      <c r="L337" t="e">
        <f t="shared" si="37"/>
        <v>#N/A</v>
      </c>
      <c r="M337" s="3">
        <f t="shared" si="38"/>
        <v>56378</v>
      </c>
      <c r="N337">
        <f t="shared" si="39"/>
        <v>8</v>
      </c>
      <c r="O337" s="3" t="e">
        <f t="shared" si="40"/>
        <v>#N/A</v>
      </c>
      <c r="P337" t="e">
        <f t="shared" si="41"/>
        <v>#N/A</v>
      </c>
    </row>
    <row r="338" spans="1:16" x14ac:dyDescent="0.25">
      <c r="A338">
        <v>686</v>
      </c>
      <c r="B338">
        <v>30</v>
      </c>
      <c r="C338" t="s">
        <v>12</v>
      </c>
      <c r="D338" s="3">
        <v>115674</v>
      </c>
      <c r="E338">
        <v>78</v>
      </c>
      <c r="F338">
        <v>2</v>
      </c>
      <c r="G338">
        <v>48</v>
      </c>
      <c r="H338" t="s">
        <v>17</v>
      </c>
      <c r="I338">
        <v>621.73</v>
      </c>
      <c r="J338" t="str">
        <f t="shared" si="35"/>
        <v>High</v>
      </c>
      <c r="K338" s="4" t="e">
        <f t="shared" si="36"/>
        <v>#N/A</v>
      </c>
      <c r="L338" t="e">
        <f t="shared" si="37"/>
        <v>#N/A</v>
      </c>
      <c r="M338" s="3" t="e">
        <f t="shared" si="38"/>
        <v>#N/A</v>
      </c>
      <c r="N338" t="e">
        <f t="shared" si="39"/>
        <v>#N/A</v>
      </c>
      <c r="O338" s="3">
        <f t="shared" si="40"/>
        <v>115674</v>
      </c>
      <c r="P338">
        <f t="shared" si="41"/>
        <v>78</v>
      </c>
    </row>
    <row r="339" spans="1:16" x14ac:dyDescent="0.25">
      <c r="A339">
        <v>705</v>
      </c>
      <c r="B339">
        <v>42</v>
      </c>
      <c r="C339" t="s">
        <v>12</v>
      </c>
      <c r="D339" s="3">
        <v>49140</v>
      </c>
      <c r="E339">
        <v>23</v>
      </c>
      <c r="F339">
        <v>9</v>
      </c>
      <c r="G339">
        <v>35</v>
      </c>
      <c r="H339" t="s">
        <v>17</v>
      </c>
      <c r="I339">
        <v>400.23</v>
      </c>
      <c r="J339" t="str">
        <f t="shared" si="35"/>
        <v>Low</v>
      </c>
      <c r="K339" s="4">
        <f t="shared" si="36"/>
        <v>49140</v>
      </c>
      <c r="L339">
        <f t="shared" si="37"/>
        <v>23</v>
      </c>
      <c r="M339" s="3" t="e">
        <f t="shared" si="38"/>
        <v>#N/A</v>
      </c>
      <c r="N339" t="e">
        <f t="shared" si="39"/>
        <v>#N/A</v>
      </c>
      <c r="O339" s="3" t="e">
        <f t="shared" si="40"/>
        <v>#N/A</v>
      </c>
      <c r="P339" t="e">
        <f t="shared" si="41"/>
        <v>#N/A</v>
      </c>
    </row>
    <row r="340" spans="1:16" x14ac:dyDescent="0.25">
      <c r="A340">
        <v>708</v>
      </c>
      <c r="B340">
        <v>68</v>
      </c>
      <c r="C340" t="s">
        <v>12</v>
      </c>
      <c r="D340" s="3">
        <v>47482</v>
      </c>
      <c r="E340">
        <v>100</v>
      </c>
      <c r="F340">
        <v>9</v>
      </c>
      <c r="G340">
        <v>49</v>
      </c>
      <c r="H340" t="s">
        <v>17</v>
      </c>
      <c r="I340">
        <v>170.56</v>
      </c>
      <c r="J340" t="str">
        <f t="shared" si="35"/>
        <v>Low</v>
      </c>
      <c r="K340" s="4">
        <f t="shared" si="36"/>
        <v>47482</v>
      </c>
      <c r="L340">
        <f t="shared" si="37"/>
        <v>100</v>
      </c>
      <c r="M340" s="3" t="e">
        <f t="shared" si="38"/>
        <v>#N/A</v>
      </c>
      <c r="N340" t="e">
        <f t="shared" si="39"/>
        <v>#N/A</v>
      </c>
      <c r="O340" s="3" t="e">
        <f t="shared" si="40"/>
        <v>#N/A</v>
      </c>
      <c r="P340" t="e">
        <f t="shared" si="41"/>
        <v>#N/A</v>
      </c>
    </row>
    <row r="341" spans="1:16" x14ac:dyDescent="0.25">
      <c r="A341">
        <v>717</v>
      </c>
      <c r="B341">
        <v>47</v>
      </c>
      <c r="C341" t="s">
        <v>12</v>
      </c>
      <c r="D341" s="3">
        <v>136278</v>
      </c>
      <c r="E341">
        <v>76</v>
      </c>
      <c r="F341">
        <v>10</v>
      </c>
      <c r="G341">
        <v>48</v>
      </c>
      <c r="H341" t="s">
        <v>17</v>
      </c>
      <c r="I341">
        <v>233.64</v>
      </c>
      <c r="J341" t="str">
        <f t="shared" si="35"/>
        <v>High</v>
      </c>
      <c r="K341" s="4" t="e">
        <f t="shared" si="36"/>
        <v>#N/A</v>
      </c>
      <c r="L341" t="e">
        <f t="shared" si="37"/>
        <v>#N/A</v>
      </c>
      <c r="M341" s="3" t="e">
        <f t="shared" si="38"/>
        <v>#N/A</v>
      </c>
      <c r="N341" t="e">
        <f t="shared" si="39"/>
        <v>#N/A</v>
      </c>
      <c r="O341" s="3">
        <f t="shared" si="40"/>
        <v>136278</v>
      </c>
      <c r="P341">
        <f t="shared" si="41"/>
        <v>76</v>
      </c>
    </row>
    <row r="342" spans="1:16" x14ac:dyDescent="0.25">
      <c r="A342">
        <v>737</v>
      </c>
      <c r="B342">
        <v>28</v>
      </c>
      <c r="C342" t="s">
        <v>12</v>
      </c>
      <c r="D342" s="3">
        <v>104971</v>
      </c>
      <c r="E342">
        <v>74</v>
      </c>
      <c r="F342">
        <v>4</v>
      </c>
      <c r="G342">
        <v>10</v>
      </c>
      <c r="H342" t="s">
        <v>17</v>
      </c>
      <c r="I342">
        <v>297.17</v>
      </c>
      <c r="J342" t="str">
        <f t="shared" si="35"/>
        <v>High</v>
      </c>
      <c r="K342" s="4" t="e">
        <f t="shared" si="36"/>
        <v>#N/A</v>
      </c>
      <c r="L342" t="e">
        <f t="shared" si="37"/>
        <v>#N/A</v>
      </c>
      <c r="M342" s="3" t="e">
        <f t="shared" si="38"/>
        <v>#N/A</v>
      </c>
      <c r="N342" t="e">
        <f t="shared" si="39"/>
        <v>#N/A</v>
      </c>
      <c r="O342" s="3">
        <f t="shared" si="40"/>
        <v>104971</v>
      </c>
      <c r="P342">
        <f t="shared" si="41"/>
        <v>74</v>
      </c>
    </row>
    <row r="343" spans="1:16" x14ac:dyDescent="0.25">
      <c r="A343">
        <v>755</v>
      </c>
      <c r="B343">
        <v>61</v>
      </c>
      <c r="C343" t="s">
        <v>12</v>
      </c>
      <c r="D343" s="3">
        <v>59583</v>
      </c>
      <c r="E343">
        <v>11</v>
      </c>
      <c r="F343">
        <v>8</v>
      </c>
      <c r="G343">
        <v>27</v>
      </c>
      <c r="H343" t="s">
        <v>17</v>
      </c>
      <c r="I343">
        <v>744.56</v>
      </c>
      <c r="J343" t="str">
        <f t="shared" si="35"/>
        <v>Medium</v>
      </c>
      <c r="K343" s="4" t="e">
        <f t="shared" si="36"/>
        <v>#N/A</v>
      </c>
      <c r="L343" t="e">
        <f t="shared" si="37"/>
        <v>#N/A</v>
      </c>
      <c r="M343" s="3">
        <f t="shared" si="38"/>
        <v>59583</v>
      </c>
      <c r="N343">
        <f t="shared" si="39"/>
        <v>11</v>
      </c>
      <c r="O343" s="3" t="e">
        <f t="shared" si="40"/>
        <v>#N/A</v>
      </c>
      <c r="P343" t="e">
        <f t="shared" si="41"/>
        <v>#N/A</v>
      </c>
    </row>
    <row r="344" spans="1:16" x14ac:dyDescent="0.25">
      <c r="A344">
        <v>799</v>
      </c>
      <c r="B344">
        <v>25</v>
      </c>
      <c r="C344" t="s">
        <v>12</v>
      </c>
      <c r="D344" s="3">
        <v>107042</v>
      </c>
      <c r="E344">
        <v>27</v>
      </c>
      <c r="F344">
        <v>1</v>
      </c>
      <c r="G344">
        <v>32</v>
      </c>
      <c r="H344" t="s">
        <v>17</v>
      </c>
      <c r="I344">
        <v>648.79</v>
      </c>
      <c r="J344" t="str">
        <f t="shared" si="35"/>
        <v>High</v>
      </c>
      <c r="K344" s="4" t="e">
        <f t="shared" si="36"/>
        <v>#N/A</v>
      </c>
      <c r="L344" t="e">
        <f t="shared" si="37"/>
        <v>#N/A</v>
      </c>
      <c r="M344" s="3" t="e">
        <f t="shared" si="38"/>
        <v>#N/A</v>
      </c>
      <c r="N344" t="e">
        <f t="shared" si="39"/>
        <v>#N/A</v>
      </c>
      <c r="O344" s="3">
        <f t="shared" si="40"/>
        <v>107042</v>
      </c>
      <c r="P344">
        <f t="shared" si="41"/>
        <v>27</v>
      </c>
    </row>
    <row r="345" spans="1:16" x14ac:dyDescent="0.25">
      <c r="A345">
        <v>807</v>
      </c>
      <c r="B345">
        <v>24</v>
      </c>
      <c r="C345" t="s">
        <v>12</v>
      </c>
      <c r="D345" s="3">
        <v>68172</v>
      </c>
      <c r="E345">
        <v>6</v>
      </c>
      <c r="F345">
        <v>1</v>
      </c>
      <c r="G345">
        <v>28</v>
      </c>
      <c r="H345" t="s">
        <v>17</v>
      </c>
      <c r="I345">
        <v>445.3</v>
      </c>
      <c r="J345" t="str">
        <f t="shared" si="35"/>
        <v>Medium</v>
      </c>
      <c r="K345" s="4" t="e">
        <f t="shared" si="36"/>
        <v>#N/A</v>
      </c>
      <c r="L345" t="e">
        <f t="shared" si="37"/>
        <v>#N/A</v>
      </c>
      <c r="M345" s="3">
        <f t="shared" si="38"/>
        <v>68172</v>
      </c>
      <c r="N345">
        <f t="shared" si="39"/>
        <v>6</v>
      </c>
      <c r="O345" s="3" t="e">
        <f t="shared" si="40"/>
        <v>#N/A</v>
      </c>
      <c r="P345" t="e">
        <f t="shared" si="41"/>
        <v>#N/A</v>
      </c>
    </row>
    <row r="346" spans="1:16" x14ac:dyDescent="0.25">
      <c r="A346">
        <v>834</v>
      </c>
      <c r="B346">
        <v>38</v>
      </c>
      <c r="C346" t="s">
        <v>12</v>
      </c>
      <c r="D346" s="3">
        <v>101111</v>
      </c>
      <c r="E346">
        <v>98</v>
      </c>
      <c r="F346">
        <v>8</v>
      </c>
      <c r="G346">
        <v>35</v>
      </c>
      <c r="H346" t="s">
        <v>17</v>
      </c>
      <c r="I346">
        <v>738.01</v>
      </c>
      <c r="J346" t="str">
        <f t="shared" si="35"/>
        <v>High</v>
      </c>
      <c r="K346" s="4" t="e">
        <f t="shared" si="36"/>
        <v>#N/A</v>
      </c>
      <c r="L346" t="e">
        <f t="shared" si="37"/>
        <v>#N/A</v>
      </c>
      <c r="M346" s="3" t="e">
        <f t="shared" si="38"/>
        <v>#N/A</v>
      </c>
      <c r="N346" t="e">
        <f t="shared" si="39"/>
        <v>#N/A</v>
      </c>
      <c r="O346" s="3">
        <f t="shared" si="40"/>
        <v>101111</v>
      </c>
      <c r="P346">
        <f t="shared" si="41"/>
        <v>98</v>
      </c>
    </row>
    <row r="347" spans="1:16" x14ac:dyDescent="0.25">
      <c r="A347">
        <v>841</v>
      </c>
      <c r="B347">
        <v>40</v>
      </c>
      <c r="C347" t="s">
        <v>12</v>
      </c>
      <c r="D347" s="3">
        <v>125996</v>
      </c>
      <c r="E347">
        <v>64</v>
      </c>
      <c r="F347">
        <v>6</v>
      </c>
      <c r="G347">
        <v>15</v>
      </c>
      <c r="H347" t="s">
        <v>17</v>
      </c>
      <c r="I347">
        <v>583.95000000000005</v>
      </c>
      <c r="J347" t="str">
        <f t="shared" si="35"/>
        <v>High</v>
      </c>
      <c r="K347" s="4" t="e">
        <f t="shared" si="36"/>
        <v>#N/A</v>
      </c>
      <c r="L347" t="e">
        <f t="shared" si="37"/>
        <v>#N/A</v>
      </c>
      <c r="M347" s="3" t="e">
        <f t="shared" si="38"/>
        <v>#N/A</v>
      </c>
      <c r="N347" t="e">
        <f t="shared" si="39"/>
        <v>#N/A</v>
      </c>
      <c r="O347" s="3">
        <f t="shared" si="40"/>
        <v>125996</v>
      </c>
      <c r="P347">
        <f t="shared" si="41"/>
        <v>64</v>
      </c>
    </row>
    <row r="348" spans="1:16" x14ac:dyDescent="0.25">
      <c r="A348">
        <v>858</v>
      </c>
      <c r="B348">
        <v>67</v>
      </c>
      <c r="C348" t="s">
        <v>12</v>
      </c>
      <c r="D348" s="3">
        <v>115470</v>
      </c>
      <c r="E348">
        <v>56</v>
      </c>
      <c r="F348">
        <v>4</v>
      </c>
      <c r="G348">
        <v>6</v>
      </c>
      <c r="H348" t="s">
        <v>17</v>
      </c>
      <c r="I348">
        <v>151.74</v>
      </c>
      <c r="J348" t="str">
        <f t="shared" si="35"/>
        <v>High</v>
      </c>
      <c r="K348" s="4" t="e">
        <f t="shared" si="36"/>
        <v>#N/A</v>
      </c>
      <c r="L348" t="e">
        <f t="shared" si="37"/>
        <v>#N/A</v>
      </c>
      <c r="M348" s="3" t="e">
        <f t="shared" si="38"/>
        <v>#N/A</v>
      </c>
      <c r="N348" t="e">
        <f t="shared" si="39"/>
        <v>#N/A</v>
      </c>
      <c r="O348" s="3">
        <f t="shared" si="40"/>
        <v>115470</v>
      </c>
      <c r="P348">
        <f t="shared" si="41"/>
        <v>56</v>
      </c>
    </row>
    <row r="349" spans="1:16" x14ac:dyDescent="0.25">
      <c r="A349">
        <v>862</v>
      </c>
      <c r="B349">
        <v>20</v>
      </c>
      <c r="C349" t="s">
        <v>12</v>
      </c>
      <c r="D349" s="3">
        <v>79899</v>
      </c>
      <c r="E349">
        <v>64</v>
      </c>
      <c r="F349">
        <v>7</v>
      </c>
      <c r="G349">
        <v>46</v>
      </c>
      <c r="H349" t="s">
        <v>17</v>
      </c>
      <c r="I349">
        <v>129.9</v>
      </c>
      <c r="J349" t="str">
        <f t="shared" si="35"/>
        <v>Medium</v>
      </c>
      <c r="K349" s="4" t="e">
        <f t="shared" si="36"/>
        <v>#N/A</v>
      </c>
      <c r="L349" t="e">
        <f t="shared" si="37"/>
        <v>#N/A</v>
      </c>
      <c r="M349" s="3">
        <f t="shared" si="38"/>
        <v>79899</v>
      </c>
      <c r="N349">
        <f t="shared" si="39"/>
        <v>64</v>
      </c>
      <c r="O349" s="3" t="e">
        <f t="shared" si="40"/>
        <v>#N/A</v>
      </c>
      <c r="P349" t="e">
        <f t="shared" si="41"/>
        <v>#N/A</v>
      </c>
    </row>
    <row r="350" spans="1:16" x14ac:dyDescent="0.25">
      <c r="A350">
        <v>882</v>
      </c>
      <c r="B350">
        <v>61</v>
      </c>
      <c r="C350" t="s">
        <v>12</v>
      </c>
      <c r="D350" s="3">
        <v>49557</v>
      </c>
      <c r="E350">
        <v>22</v>
      </c>
      <c r="F350">
        <v>6</v>
      </c>
      <c r="G350">
        <v>12</v>
      </c>
      <c r="H350" t="s">
        <v>17</v>
      </c>
      <c r="I350">
        <v>678.13</v>
      </c>
      <c r="J350" t="str">
        <f t="shared" si="35"/>
        <v>Low</v>
      </c>
      <c r="K350" s="4">
        <f t="shared" si="36"/>
        <v>49557</v>
      </c>
      <c r="L350">
        <f t="shared" si="37"/>
        <v>22</v>
      </c>
      <c r="M350" s="3" t="e">
        <f t="shared" si="38"/>
        <v>#N/A</v>
      </c>
      <c r="N350" t="e">
        <f t="shared" si="39"/>
        <v>#N/A</v>
      </c>
      <c r="O350" s="3" t="e">
        <f t="shared" si="40"/>
        <v>#N/A</v>
      </c>
      <c r="P350" t="e">
        <f t="shared" si="41"/>
        <v>#N/A</v>
      </c>
    </row>
    <row r="351" spans="1:16" x14ac:dyDescent="0.25">
      <c r="A351">
        <v>912</v>
      </c>
      <c r="B351">
        <v>54</v>
      </c>
      <c r="C351" t="s">
        <v>12</v>
      </c>
      <c r="D351" s="3">
        <v>69676</v>
      </c>
      <c r="E351">
        <v>9</v>
      </c>
      <c r="F351">
        <v>7</v>
      </c>
      <c r="G351">
        <v>30</v>
      </c>
      <c r="H351" t="s">
        <v>17</v>
      </c>
      <c r="I351">
        <v>932.68</v>
      </c>
      <c r="J351" t="str">
        <f t="shared" si="35"/>
        <v>Medium</v>
      </c>
      <c r="K351" s="4" t="e">
        <f t="shared" si="36"/>
        <v>#N/A</v>
      </c>
      <c r="L351" t="e">
        <f t="shared" si="37"/>
        <v>#N/A</v>
      </c>
      <c r="M351" s="3">
        <f t="shared" si="38"/>
        <v>69676</v>
      </c>
      <c r="N351">
        <f t="shared" si="39"/>
        <v>9</v>
      </c>
      <c r="O351" s="3" t="e">
        <f t="shared" si="40"/>
        <v>#N/A</v>
      </c>
      <c r="P351" t="e">
        <f t="shared" si="41"/>
        <v>#N/A</v>
      </c>
    </row>
    <row r="352" spans="1:16" x14ac:dyDescent="0.25">
      <c r="A352">
        <v>922</v>
      </c>
      <c r="B352">
        <v>58</v>
      </c>
      <c r="C352" t="s">
        <v>12</v>
      </c>
      <c r="D352" s="3">
        <v>105157</v>
      </c>
      <c r="E352">
        <v>51</v>
      </c>
      <c r="F352">
        <v>3</v>
      </c>
      <c r="G352">
        <v>27</v>
      </c>
      <c r="H352" t="s">
        <v>17</v>
      </c>
      <c r="I352">
        <v>344.39</v>
      </c>
      <c r="J352" t="str">
        <f t="shared" si="35"/>
        <v>High</v>
      </c>
      <c r="K352" s="4" t="e">
        <f t="shared" si="36"/>
        <v>#N/A</v>
      </c>
      <c r="L352" t="e">
        <f t="shared" si="37"/>
        <v>#N/A</v>
      </c>
      <c r="M352" s="3" t="e">
        <f t="shared" si="38"/>
        <v>#N/A</v>
      </c>
      <c r="N352" t="e">
        <f t="shared" si="39"/>
        <v>#N/A</v>
      </c>
      <c r="O352" s="3">
        <f t="shared" si="40"/>
        <v>105157</v>
      </c>
      <c r="P352">
        <f t="shared" si="41"/>
        <v>51</v>
      </c>
    </row>
    <row r="353" spans="1:16" x14ac:dyDescent="0.25">
      <c r="A353">
        <v>928</v>
      </c>
      <c r="B353">
        <v>28</v>
      </c>
      <c r="C353" t="s">
        <v>12</v>
      </c>
      <c r="D353" s="3">
        <v>134592</v>
      </c>
      <c r="E353">
        <v>43</v>
      </c>
      <c r="F353">
        <v>10</v>
      </c>
      <c r="G353">
        <v>25</v>
      </c>
      <c r="H353" t="s">
        <v>17</v>
      </c>
      <c r="I353">
        <v>557.04</v>
      </c>
      <c r="J353" t="str">
        <f t="shared" si="35"/>
        <v>High</v>
      </c>
      <c r="K353" s="4" t="e">
        <f t="shared" si="36"/>
        <v>#N/A</v>
      </c>
      <c r="L353" t="e">
        <f t="shared" si="37"/>
        <v>#N/A</v>
      </c>
      <c r="M353" s="3" t="e">
        <f t="shared" si="38"/>
        <v>#N/A</v>
      </c>
      <c r="N353" t="e">
        <f t="shared" si="39"/>
        <v>#N/A</v>
      </c>
      <c r="O353" s="3">
        <f t="shared" si="40"/>
        <v>134592</v>
      </c>
      <c r="P353">
        <f t="shared" si="41"/>
        <v>43</v>
      </c>
    </row>
    <row r="354" spans="1:16" x14ac:dyDescent="0.25">
      <c r="A354">
        <v>941</v>
      </c>
      <c r="B354">
        <v>54</v>
      </c>
      <c r="C354" t="s">
        <v>12</v>
      </c>
      <c r="D354" s="3">
        <v>33706</v>
      </c>
      <c r="E354">
        <v>64</v>
      </c>
      <c r="F354">
        <v>9</v>
      </c>
      <c r="G354">
        <v>1</v>
      </c>
      <c r="H354" t="s">
        <v>17</v>
      </c>
      <c r="I354">
        <v>371.93</v>
      </c>
      <c r="J354" t="str">
        <f t="shared" si="35"/>
        <v>Low</v>
      </c>
      <c r="K354" s="4">
        <f t="shared" si="36"/>
        <v>33706</v>
      </c>
      <c r="L354">
        <f t="shared" si="37"/>
        <v>64</v>
      </c>
      <c r="M354" s="3" t="e">
        <f t="shared" si="38"/>
        <v>#N/A</v>
      </c>
      <c r="N354" t="e">
        <f t="shared" si="39"/>
        <v>#N/A</v>
      </c>
      <c r="O354" s="3" t="e">
        <f t="shared" si="40"/>
        <v>#N/A</v>
      </c>
      <c r="P354" t="e">
        <f t="shared" si="41"/>
        <v>#N/A</v>
      </c>
    </row>
    <row r="355" spans="1:16" x14ac:dyDescent="0.25">
      <c r="A355">
        <v>945</v>
      </c>
      <c r="B355">
        <v>65</v>
      </c>
      <c r="C355" t="s">
        <v>12</v>
      </c>
      <c r="D355" s="3">
        <v>42779</v>
      </c>
      <c r="E355">
        <v>81</v>
      </c>
      <c r="F355">
        <v>5</v>
      </c>
      <c r="G355">
        <v>38</v>
      </c>
      <c r="H355" t="s">
        <v>17</v>
      </c>
      <c r="I355">
        <v>594.91999999999996</v>
      </c>
      <c r="J355" t="str">
        <f t="shared" si="35"/>
        <v>Low</v>
      </c>
      <c r="K355" s="4">
        <f t="shared" si="36"/>
        <v>42779</v>
      </c>
      <c r="L355">
        <f t="shared" si="37"/>
        <v>81</v>
      </c>
      <c r="M355" s="3" t="e">
        <f t="shared" si="38"/>
        <v>#N/A</v>
      </c>
      <c r="N355" t="e">
        <f t="shared" si="39"/>
        <v>#N/A</v>
      </c>
      <c r="O355" s="3" t="e">
        <f t="shared" si="40"/>
        <v>#N/A</v>
      </c>
      <c r="P355" t="e">
        <f t="shared" si="41"/>
        <v>#N/A</v>
      </c>
    </row>
    <row r="356" spans="1:16" x14ac:dyDescent="0.25">
      <c r="A356">
        <v>972</v>
      </c>
      <c r="B356">
        <v>41</v>
      </c>
      <c r="C356" t="s">
        <v>12</v>
      </c>
      <c r="D356" s="3">
        <v>120294</v>
      </c>
      <c r="E356">
        <v>79</v>
      </c>
      <c r="F356">
        <v>5</v>
      </c>
      <c r="G356">
        <v>44</v>
      </c>
      <c r="H356" t="s">
        <v>17</v>
      </c>
      <c r="I356">
        <v>942.03</v>
      </c>
      <c r="J356" t="str">
        <f t="shared" si="35"/>
        <v>High</v>
      </c>
      <c r="K356" s="4" t="e">
        <f t="shared" si="36"/>
        <v>#N/A</v>
      </c>
      <c r="L356" t="e">
        <f t="shared" si="37"/>
        <v>#N/A</v>
      </c>
      <c r="M356" s="3" t="e">
        <f t="shared" si="38"/>
        <v>#N/A</v>
      </c>
      <c r="N356" t="e">
        <f t="shared" si="39"/>
        <v>#N/A</v>
      </c>
      <c r="O356" s="3">
        <f t="shared" si="40"/>
        <v>120294</v>
      </c>
      <c r="P356">
        <f t="shared" si="41"/>
        <v>79</v>
      </c>
    </row>
    <row r="357" spans="1:16" x14ac:dyDescent="0.25">
      <c r="A357">
        <v>995</v>
      </c>
      <c r="B357">
        <v>60</v>
      </c>
      <c r="C357" t="s">
        <v>12</v>
      </c>
      <c r="D357" s="3">
        <v>71923</v>
      </c>
      <c r="E357">
        <v>25</v>
      </c>
      <c r="F357">
        <v>2</v>
      </c>
      <c r="G357">
        <v>40</v>
      </c>
      <c r="H357" t="s">
        <v>17</v>
      </c>
      <c r="I357">
        <v>986.97</v>
      </c>
      <c r="J357" t="str">
        <f t="shared" si="35"/>
        <v>Medium</v>
      </c>
      <c r="K357" s="4" t="e">
        <f t="shared" si="36"/>
        <v>#N/A</v>
      </c>
      <c r="L357" t="e">
        <f t="shared" si="37"/>
        <v>#N/A</v>
      </c>
      <c r="M357" s="3">
        <f t="shared" si="38"/>
        <v>71923</v>
      </c>
      <c r="N357">
        <f t="shared" si="39"/>
        <v>25</v>
      </c>
      <c r="O357" s="3" t="e">
        <f t="shared" si="40"/>
        <v>#N/A</v>
      </c>
      <c r="P357" t="e">
        <f t="shared" si="41"/>
        <v>#N/A</v>
      </c>
    </row>
    <row r="358" spans="1:16" x14ac:dyDescent="0.25">
      <c r="A358">
        <v>996</v>
      </c>
      <c r="B358">
        <v>57</v>
      </c>
      <c r="C358" t="s">
        <v>12</v>
      </c>
      <c r="D358" s="3">
        <v>112170</v>
      </c>
      <c r="E358">
        <v>57</v>
      </c>
      <c r="F358">
        <v>6</v>
      </c>
      <c r="G358">
        <v>1</v>
      </c>
      <c r="H358" t="s">
        <v>17</v>
      </c>
      <c r="I358">
        <v>313.64</v>
      </c>
      <c r="J358" t="str">
        <f t="shared" si="35"/>
        <v>High</v>
      </c>
      <c r="K358" s="4" t="e">
        <f t="shared" si="36"/>
        <v>#N/A</v>
      </c>
      <c r="L358" t="e">
        <f t="shared" si="37"/>
        <v>#N/A</v>
      </c>
      <c r="M358" s="3" t="e">
        <f t="shared" si="38"/>
        <v>#N/A</v>
      </c>
      <c r="N358" t="e">
        <f t="shared" si="39"/>
        <v>#N/A</v>
      </c>
      <c r="O358" s="3">
        <f t="shared" si="40"/>
        <v>112170</v>
      </c>
      <c r="P358">
        <f t="shared" si="41"/>
        <v>57</v>
      </c>
    </row>
    <row r="359" spans="1:16" x14ac:dyDescent="0.25">
      <c r="A359">
        <v>4</v>
      </c>
      <c r="B359">
        <v>40</v>
      </c>
      <c r="C359" t="s">
        <v>45</v>
      </c>
      <c r="D359" s="3">
        <v>47099</v>
      </c>
      <c r="E359">
        <v>74</v>
      </c>
      <c r="F359">
        <v>9</v>
      </c>
      <c r="G359">
        <v>5</v>
      </c>
      <c r="H359" t="s">
        <v>13</v>
      </c>
      <c r="I359">
        <v>991.93</v>
      </c>
      <c r="J359" t="str">
        <f t="shared" si="35"/>
        <v>Low</v>
      </c>
      <c r="K359" s="4">
        <f t="shared" si="36"/>
        <v>47099</v>
      </c>
      <c r="L359">
        <f t="shared" si="37"/>
        <v>74</v>
      </c>
      <c r="M359" s="3" t="e">
        <f t="shared" si="38"/>
        <v>#N/A</v>
      </c>
      <c r="N359" t="e">
        <f t="shared" si="39"/>
        <v>#N/A</v>
      </c>
      <c r="O359" s="3" t="e">
        <f t="shared" si="40"/>
        <v>#N/A</v>
      </c>
      <c r="P359" t="e">
        <f t="shared" si="41"/>
        <v>#N/A</v>
      </c>
    </row>
    <row r="360" spans="1:16" x14ac:dyDescent="0.25">
      <c r="A360">
        <v>6</v>
      </c>
      <c r="B360">
        <v>31</v>
      </c>
      <c r="C360" t="s">
        <v>45</v>
      </c>
      <c r="D360" s="3">
        <v>57305</v>
      </c>
      <c r="E360">
        <v>24</v>
      </c>
      <c r="F360">
        <v>3</v>
      </c>
      <c r="G360">
        <v>30</v>
      </c>
      <c r="H360" t="s">
        <v>13</v>
      </c>
      <c r="I360">
        <v>86.85</v>
      </c>
      <c r="J360" t="str">
        <f t="shared" si="35"/>
        <v>Medium</v>
      </c>
      <c r="K360" s="4" t="e">
        <f t="shared" si="36"/>
        <v>#N/A</v>
      </c>
      <c r="L360" t="e">
        <f t="shared" si="37"/>
        <v>#N/A</v>
      </c>
      <c r="M360" s="3">
        <f t="shared" si="38"/>
        <v>57305</v>
      </c>
      <c r="N360">
        <f t="shared" si="39"/>
        <v>24</v>
      </c>
      <c r="O360" s="3" t="e">
        <f t="shared" si="40"/>
        <v>#N/A</v>
      </c>
      <c r="P360" t="e">
        <f t="shared" si="41"/>
        <v>#N/A</v>
      </c>
    </row>
    <row r="361" spans="1:16" x14ac:dyDescent="0.25">
      <c r="A361">
        <v>7</v>
      </c>
      <c r="B361">
        <v>19</v>
      </c>
      <c r="C361" t="s">
        <v>45</v>
      </c>
      <c r="D361" s="3">
        <v>54319</v>
      </c>
      <c r="E361">
        <v>68</v>
      </c>
      <c r="F361">
        <v>5</v>
      </c>
      <c r="G361">
        <v>43</v>
      </c>
      <c r="H361" t="s">
        <v>17</v>
      </c>
      <c r="I361">
        <v>191.72</v>
      </c>
      <c r="J361" t="str">
        <f t="shared" si="35"/>
        <v>Medium</v>
      </c>
      <c r="K361" s="4" t="e">
        <f t="shared" si="36"/>
        <v>#N/A</v>
      </c>
      <c r="L361" t="e">
        <f t="shared" si="37"/>
        <v>#N/A</v>
      </c>
      <c r="M361" s="3">
        <f t="shared" si="38"/>
        <v>54319</v>
      </c>
      <c r="N361">
        <f t="shared" si="39"/>
        <v>68</v>
      </c>
      <c r="O361" s="3" t="e">
        <f t="shared" si="40"/>
        <v>#N/A</v>
      </c>
      <c r="P361" t="e">
        <f t="shared" si="41"/>
        <v>#N/A</v>
      </c>
    </row>
    <row r="362" spans="1:16" x14ac:dyDescent="0.25">
      <c r="A362">
        <v>11</v>
      </c>
      <c r="B362">
        <v>23</v>
      </c>
      <c r="C362" t="s">
        <v>45</v>
      </c>
      <c r="D362" s="3">
        <v>69659</v>
      </c>
      <c r="E362">
        <v>16</v>
      </c>
      <c r="F362">
        <v>7</v>
      </c>
      <c r="G362">
        <v>24</v>
      </c>
      <c r="H362" t="s">
        <v>17</v>
      </c>
      <c r="I362">
        <v>434.97</v>
      </c>
      <c r="J362" t="str">
        <f t="shared" si="35"/>
        <v>Medium</v>
      </c>
      <c r="K362" s="4" t="e">
        <f t="shared" si="36"/>
        <v>#N/A</v>
      </c>
      <c r="L362" t="e">
        <f t="shared" si="37"/>
        <v>#N/A</v>
      </c>
      <c r="M362" s="3">
        <f t="shared" si="38"/>
        <v>69659</v>
      </c>
      <c r="N362">
        <f t="shared" si="39"/>
        <v>16</v>
      </c>
      <c r="O362" s="3" t="e">
        <f t="shared" si="40"/>
        <v>#N/A</v>
      </c>
      <c r="P362" t="e">
        <f t="shared" si="41"/>
        <v>#N/A</v>
      </c>
    </row>
    <row r="363" spans="1:16" x14ac:dyDescent="0.25">
      <c r="A363">
        <v>12</v>
      </c>
      <c r="B363">
        <v>68</v>
      </c>
      <c r="C363" t="s">
        <v>45</v>
      </c>
      <c r="D363" s="3">
        <v>30058</v>
      </c>
      <c r="E363">
        <v>91</v>
      </c>
      <c r="F363">
        <v>1</v>
      </c>
      <c r="G363">
        <v>49</v>
      </c>
      <c r="H363" t="s">
        <v>16</v>
      </c>
      <c r="I363">
        <v>889.94</v>
      </c>
      <c r="J363" t="str">
        <f t="shared" si="35"/>
        <v>Low</v>
      </c>
      <c r="K363" s="4">
        <f t="shared" si="36"/>
        <v>30058</v>
      </c>
      <c r="L363">
        <f t="shared" si="37"/>
        <v>91</v>
      </c>
      <c r="M363" s="3" t="e">
        <f t="shared" si="38"/>
        <v>#N/A</v>
      </c>
      <c r="N363" t="e">
        <f t="shared" si="39"/>
        <v>#N/A</v>
      </c>
      <c r="O363" s="3" t="e">
        <f t="shared" si="40"/>
        <v>#N/A</v>
      </c>
      <c r="P363" t="e">
        <f t="shared" si="41"/>
        <v>#N/A</v>
      </c>
    </row>
    <row r="364" spans="1:16" x14ac:dyDescent="0.25">
      <c r="A364">
        <v>24</v>
      </c>
      <c r="B364">
        <v>41</v>
      </c>
      <c r="C364" t="s">
        <v>45</v>
      </c>
      <c r="D364" s="3">
        <v>81758</v>
      </c>
      <c r="E364">
        <v>87</v>
      </c>
      <c r="F364">
        <v>7</v>
      </c>
      <c r="G364">
        <v>9</v>
      </c>
      <c r="H364" t="s">
        <v>17</v>
      </c>
      <c r="I364">
        <v>482.2</v>
      </c>
      <c r="J364" t="str">
        <f t="shared" si="35"/>
        <v>Medium</v>
      </c>
      <c r="K364" s="4" t="e">
        <f t="shared" si="36"/>
        <v>#N/A</v>
      </c>
      <c r="L364" t="e">
        <f t="shared" si="37"/>
        <v>#N/A</v>
      </c>
      <c r="M364" s="3">
        <f t="shared" si="38"/>
        <v>81758</v>
      </c>
      <c r="N364">
        <f t="shared" si="39"/>
        <v>87</v>
      </c>
      <c r="O364" s="3" t="e">
        <f t="shared" si="40"/>
        <v>#N/A</v>
      </c>
      <c r="P364" t="e">
        <f t="shared" si="41"/>
        <v>#N/A</v>
      </c>
    </row>
    <row r="365" spans="1:16" x14ac:dyDescent="0.25">
      <c r="A365">
        <v>26</v>
      </c>
      <c r="B365">
        <v>33</v>
      </c>
      <c r="C365" t="s">
        <v>45</v>
      </c>
      <c r="D365" s="3">
        <v>141757</v>
      </c>
      <c r="E365">
        <v>60</v>
      </c>
      <c r="F365">
        <v>10</v>
      </c>
      <c r="G365">
        <v>39</v>
      </c>
      <c r="H365" t="s">
        <v>16</v>
      </c>
      <c r="I365">
        <v>83.27</v>
      </c>
      <c r="J365" t="str">
        <f t="shared" si="35"/>
        <v>High</v>
      </c>
      <c r="K365" s="4" t="e">
        <f t="shared" si="36"/>
        <v>#N/A</v>
      </c>
      <c r="L365" t="e">
        <f t="shared" si="37"/>
        <v>#N/A</v>
      </c>
      <c r="M365" s="3" t="e">
        <f t="shared" si="38"/>
        <v>#N/A</v>
      </c>
      <c r="N365" t="e">
        <f t="shared" si="39"/>
        <v>#N/A</v>
      </c>
      <c r="O365" s="3">
        <f t="shared" si="40"/>
        <v>141757</v>
      </c>
      <c r="P365">
        <f t="shared" si="41"/>
        <v>60</v>
      </c>
    </row>
    <row r="366" spans="1:16" x14ac:dyDescent="0.25">
      <c r="A366">
        <v>31</v>
      </c>
      <c r="B366">
        <v>36</v>
      </c>
      <c r="C366" t="s">
        <v>45</v>
      </c>
      <c r="D366" s="3">
        <v>76756</v>
      </c>
      <c r="E366">
        <v>16</v>
      </c>
      <c r="F366">
        <v>8</v>
      </c>
      <c r="G366">
        <v>27</v>
      </c>
      <c r="H366" t="s">
        <v>17</v>
      </c>
      <c r="I366">
        <v>970.06</v>
      </c>
      <c r="J366" t="str">
        <f t="shared" si="35"/>
        <v>Medium</v>
      </c>
      <c r="K366" s="4" t="e">
        <f t="shared" si="36"/>
        <v>#N/A</v>
      </c>
      <c r="L366" t="e">
        <f t="shared" si="37"/>
        <v>#N/A</v>
      </c>
      <c r="M366" s="3">
        <f t="shared" si="38"/>
        <v>76756</v>
      </c>
      <c r="N366">
        <f t="shared" si="39"/>
        <v>16</v>
      </c>
      <c r="O366" s="3" t="e">
        <f t="shared" si="40"/>
        <v>#N/A</v>
      </c>
      <c r="P366" t="e">
        <f t="shared" si="41"/>
        <v>#N/A</v>
      </c>
    </row>
    <row r="367" spans="1:16" x14ac:dyDescent="0.25">
      <c r="A367">
        <v>34</v>
      </c>
      <c r="B367">
        <v>44</v>
      </c>
      <c r="C367" t="s">
        <v>45</v>
      </c>
      <c r="D367" s="3">
        <v>86593</v>
      </c>
      <c r="E367">
        <v>89</v>
      </c>
      <c r="F367">
        <v>4</v>
      </c>
      <c r="G367">
        <v>37</v>
      </c>
      <c r="H367" t="s">
        <v>16</v>
      </c>
      <c r="I367">
        <v>76.95</v>
      </c>
      <c r="J367" t="str">
        <f t="shared" si="35"/>
        <v>Medium</v>
      </c>
      <c r="K367" s="4" t="e">
        <f t="shared" si="36"/>
        <v>#N/A</v>
      </c>
      <c r="L367" t="e">
        <f t="shared" si="37"/>
        <v>#N/A</v>
      </c>
      <c r="M367" s="3">
        <f t="shared" si="38"/>
        <v>86593</v>
      </c>
      <c r="N367">
        <f t="shared" si="39"/>
        <v>89</v>
      </c>
      <c r="O367" s="3" t="e">
        <f t="shared" si="40"/>
        <v>#N/A</v>
      </c>
      <c r="P367" t="e">
        <f t="shared" si="41"/>
        <v>#N/A</v>
      </c>
    </row>
    <row r="368" spans="1:16" x14ac:dyDescent="0.25">
      <c r="A368">
        <v>44</v>
      </c>
      <c r="B368">
        <v>28</v>
      </c>
      <c r="C368" t="s">
        <v>45</v>
      </c>
      <c r="D368" s="3">
        <v>62405</v>
      </c>
      <c r="E368">
        <v>79</v>
      </c>
      <c r="F368">
        <v>5</v>
      </c>
      <c r="G368">
        <v>50</v>
      </c>
      <c r="H368" t="s">
        <v>13</v>
      </c>
      <c r="I368">
        <v>956.73</v>
      </c>
      <c r="J368" t="str">
        <f t="shared" si="35"/>
        <v>Medium</v>
      </c>
      <c r="K368" s="4" t="e">
        <f t="shared" si="36"/>
        <v>#N/A</v>
      </c>
      <c r="L368" t="e">
        <f t="shared" si="37"/>
        <v>#N/A</v>
      </c>
      <c r="M368" s="3">
        <f t="shared" si="38"/>
        <v>62405</v>
      </c>
      <c r="N368">
        <f t="shared" si="39"/>
        <v>79</v>
      </c>
      <c r="O368" s="3" t="e">
        <f t="shared" si="40"/>
        <v>#N/A</v>
      </c>
      <c r="P368" t="e">
        <f t="shared" si="41"/>
        <v>#N/A</v>
      </c>
    </row>
    <row r="369" spans="1:16" x14ac:dyDescent="0.25">
      <c r="A369">
        <v>46</v>
      </c>
      <c r="B369">
        <v>49</v>
      </c>
      <c r="C369" t="s">
        <v>45</v>
      </c>
      <c r="D369" s="3">
        <v>94531</v>
      </c>
      <c r="E369">
        <v>28</v>
      </c>
      <c r="F369">
        <v>5</v>
      </c>
      <c r="G369">
        <v>42</v>
      </c>
      <c r="H369" t="s">
        <v>17</v>
      </c>
      <c r="I369">
        <v>214.93</v>
      </c>
      <c r="J369" t="str">
        <f t="shared" si="35"/>
        <v>Medium</v>
      </c>
      <c r="K369" s="4" t="e">
        <f t="shared" si="36"/>
        <v>#N/A</v>
      </c>
      <c r="L369" t="e">
        <f t="shared" si="37"/>
        <v>#N/A</v>
      </c>
      <c r="M369" s="3">
        <f t="shared" si="38"/>
        <v>94531</v>
      </c>
      <c r="N369">
        <f t="shared" si="39"/>
        <v>28</v>
      </c>
      <c r="O369" s="3" t="e">
        <f t="shared" si="40"/>
        <v>#N/A</v>
      </c>
      <c r="P369" t="e">
        <f t="shared" si="41"/>
        <v>#N/A</v>
      </c>
    </row>
    <row r="370" spans="1:16" x14ac:dyDescent="0.25">
      <c r="A370">
        <v>53</v>
      </c>
      <c r="B370">
        <v>45</v>
      </c>
      <c r="C370" t="s">
        <v>45</v>
      </c>
      <c r="D370" s="3">
        <v>134241</v>
      </c>
      <c r="E370">
        <v>73</v>
      </c>
      <c r="F370">
        <v>9</v>
      </c>
      <c r="G370">
        <v>16</v>
      </c>
      <c r="H370" t="s">
        <v>16</v>
      </c>
      <c r="I370">
        <v>893.44</v>
      </c>
      <c r="J370" t="str">
        <f t="shared" si="35"/>
        <v>High</v>
      </c>
      <c r="K370" s="4" t="e">
        <f t="shared" si="36"/>
        <v>#N/A</v>
      </c>
      <c r="L370" t="e">
        <f t="shared" si="37"/>
        <v>#N/A</v>
      </c>
      <c r="M370" s="3" t="e">
        <f t="shared" si="38"/>
        <v>#N/A</v>
      </c>
      <c r="N370" t="e">
        <f t="shared" si="39"/>
        <v>#N/A</v>
      </c>
      <c r="O370" s="3">
        <f t="shared" si="40"/>
        <v>134241</v>
      </c>
      <c r="P370">
        <f t="shared" si="41"/>
        <v>73</v>
      </c>
    </row>
    <row r="371" spans="1:16" x14ac:dyDescent="0.25">
      <c r="A371">
        <v>62</v>
      </c>
      <c r="B371">
        <v>30</v>
      </c>
      <c r="C371" t="s">
        <v>45</v>
      </c>
      <c r="D371" s="3">
        <v>89149</v>
      </c>
      <c r="E371">
        <v>87</v>
      </c>
      <c r="F371">
        <v>10</v>
      </c>
      <c r="G371">
        <v>36</v>
      </c>
      <c r="H371" t="s">
        <v>17</v>
      </c>
      <c r="I371">
        <v>174.41</v>
      </c>
      <c r="J371" t="str">
        <f t="shared" si="35"/>
        <v>Medium</v>
      </c>
      <c r="K371" s="4" t="e">
        <f t="shared" si="36"/>
        <v>#N/A</v>
      </c>
      <c r="L371" t="e">
        <f t="shared" si="37"/>
        <v>#N/A</v>
      </c>
      <c r="M371" s="3">
        <f t="shared" si="38"/>
        <v>89149</v>
      </c>
      <c r="N371">
        <f t="shared" si="39"/>
        <v>87</v>
      </c>
      <c r="O371" s="3" t="e">
        <f t="shared" si="40"/>
        <v>#N/A</v>
      </c>
      <c r="P371" t="e">
        <f t="shared" si="41"/>
        <v>#N/A</v>
      </c>
    </row>
    <row r="372" spans="1:16" x14ac:dyDescent="0.25">
      <c r="A372">
        <v>72</v>
      </c>
      <c r="B372">
        <v>58</v>
      </c>
      <c r="C372" t="s">
        <v>45</v>
      </c>
      <c r="D372" s="3">
        <v>56120</v>
      </c>
      <c r="E372">
        <v>30</v>
      </c>
      <c r="F372">
        <v>3</v>
      </c>
      <c r="G372">
        <v>50</v>
      </c>
      <c r="H372" t="s">
        <v>16</v>
      </c>
      <c r="I372">
        <v>880.23</v>
      </c>
      <c r="J372" t="str">
        <f t="shared" si="35"/>
        <v>Medium</v>
      </c>
      <c r="K372" s="4" t="e">
        <f t="shared" si="36"/>
        <v>#N/A</v>
      </c>
      <c r="L372" t="e">
        <f t="shared" si="37"/>
        <v>#N/A</v>
      </c>
      <c r="M372" s="3">
        <f t="shared" si="38"/>
        <v>56120</v>
      </c>
      <c r="N372">
        <f t="shared" si="39"/>
        <v>30</v>
      </c>
      <c r="O372" s="3" t="e">
        <f t="shared" si="40"/>
        <v>#N/A</v>
      </c>
      <c r="P372" t="e">
        <f t="shared" si="41"/>
        <v>#N/A</v>
      </c>
    </row>
    <row r="373" spans="1:16" x14ac:dyDescent="0.25">
      <c r="A373">
        <v>75</v>
      </c>
      <c r="B373">
        <v>58</v>
      </c>
      <c r="C373" t="s">
        <v>45</v>
      </c>
      <c r="D373" s="3">
        <v>143037</v>
      </c>
      <c r="E373">
        <v>56</v>
      </c>
      <c r="F373">
        <v>8</v>
      </c>
      <c r="G373">
        <v>42</v>
      </c>
      <c r="H373" t="s">
        <v>16</v>
      </c>
      <c r="I373">
        <v>57.57</v>
      </c>
      <c r="J373" t="str">
        <f t="shared" si="35"/>
        <v>High</v>
      </c>
      <c r="K373" s="4" t="e">
        <f t="shared" si="36"/>
        <v>#N/A</v>
      </c>
      <c r="L373" t="e">
        <f t="shared" si="37"/>
        <v>#N/A</v>
      </c>
      <c r="M373" s="3" t="e">
        <f t="shared" si="38"/>
        <v>#N/A</v>
      </c>
      <c r="N373" t="e">
        <f t="shared" si="39"/>
        <v>#N/A</v>
      </c>
      <c r="O373" s="3">
        <f t="shared" si="40"/>
        <v>143037</v>
      </c>
      <c r="P373">
        <f t="shared" si="41"/>
        <v>56</v>
      </c>
    </row>
    <row r="374" spans="1:16" x14ac:dyDescent="0.25">
      <c r="A374">
        <v>78</v>
      </c>
      <c r="B374">
        <v>32</v>
      </c>
      <c r="C374" t="s">
        <v>45</v>
      </c>
      <c r="D374" s="3">
        <v>44048</v>
      </c>
      <c r="E374">
        <v>20</v>
      </c>
      <c r="F374">
        <v>7</v>
      </c>
      <c r="G374">
        <v>10</v>
      </c>
      <c r="H374" t="s">
        <v>17</v>
      </c>
      <c r="I374">
        <v>41.55</v>
      </c>
      <c r="J374" t="str">
        <f t="shared" si="35"/>
        <v>Low</v>
      </c>
      <c r="K374" s="4">
        <f t="shared" si="36"/>
        <v>44048</v>
      </c>
      <c r="L374">
        <f t="shared" si="37"/>
        <v>20</v>
      </c>
      <c r="M374" s="3" t="e">
        <f t="shared" si="38"/>
        <v>#N/A</v>
      </c>
      <c r="N374" t="e">
        <f t="shared" si="39"/>
        <v>#N/A</v>
      </c>
      <c r="O374" s="3" t="e">
        <f t="shared" si="40"/>
        <v>#N/A</v>
      </c>
      <c r="P374" t="e">
        <f t="shared" si="41"/>
        <v>#N/A</v>
      </c>
    </row>
    <row r="375" spans="1:16" x14ac:dyDescent="0.25">
      <c r="A375">
        <v>79</v>
      </c>
      <c r="B375">
        <v>30</v>
      </c>
      <c r="C375" t="s">
        <v>45</v>
      </c>
      <c r="D375" s="3">
        <v>95501</v>
      </c>
      <c r="E375">
        <v>27</v>
      </c>
      <c r="F375">
        <v>3</v>
      </c>
      <c r="G375">
        <v>14</v>
      </c>
      <c r="H375" t="s">
        <v>16</v>
      </c>
      <c r="I375">
        <v>476.25</v>
      </c>
      <c r="J375" t="str">
        <f t="shared" si="35"/>
        <v>Medium</v>
      </c>
      <c r="K375" s="4" t="e">
        <f t="shared" si="36"/>
        <v>#N/A</v>
      </c>
      <c r="L375" t="e">
        <f t="shared" si="37"/>
        <v>#N/A</v>
      </c>
      <c r="M375" s="3">
        <f t="shared" si="38"/>
        <v>95501</v>
      </c>
      <c r="N375">
        <f t="shared" si="39"/>
        <v>27</v>
      </c>
      <c r="O375" s="3" t="e">
        <f t="shared" si="40"/>
        <v>#N/A</v>
      </c>
      <c r="P375" t="e">
        <f t="shared" si="41"/>
        <v>#N/A</v>
      </c>
    </row>
    <row r="376" spans="1:16" x14ac:dyDescent="0.25">
      <c r="A376">
        <v>86</v>
      </c>
      <c r="B376">
        <v>31</v>
      </c>
      <c r="C376" t="s">
        <v>45</v>
      </c>
      <c r="D376" s="3">
        <v>61849</v>
      </c>
      <c r="E376">
        <v>24</v>
      </c>
      <c r="F376">
        <v>6</v>
      </c>
      <c r="G376">
        <v>31</v>
      </c>
      <c r="H376" t="s">
        <v>13</v>
      </c>
      <c r="I376">
        <v>120.8</v>
      </c>
      <c r="J376" t="str">
        <f t="shared" si="35"/>
        <v>Medium</v>
      </c>
      <c r="K376" s="4" t="e">
        <f t="shared" si="36"/>
        <v>#N/A</v>
      </c>
      <c r="L376" t="e">
        <f t="shared" si="37"/>
        <v>#N/A</v>
      </c>
      <c r="M376" s="3">
        <f t="shared" si="38"/>
        <v>61849</v>
      </c>
      <c r="N376">
        <f t="shared" si="39"/>
        <v>24</v>
      </c>
      <c r="O376" s="3" t="e">
        <f t="shared" si="40"/>
        <v>#N/A</v>
      </c>
      <c r="P376" t="e">
        <f t="shared" si="41"/>
        <v>#N/A</v>
      </c>
    </row>
    <row r="377" spans="1:16" x14ac:dyDescent="0.25">
      <c r="A377">
        <v>89</v>
      </c>
      <c r="B377">
        <v>18</v>
      </c>
      <c r="C377" t="s">
        <v>45</v>
      </c>
      <c r="D377" s="3">
        <v>105470</v>
      </c>
      <c r="E377">
        <v>8</v>
      </c>
      <c r="F377">
        <v>7</v>
      </c>
      <c r="G377">
        <v>4</v>
      </c>
      <c r="H377" t="s">
        <v>17</v>
      </c>
      <c r="I377">
        <v>746.18</v>
      </c>
      <c r="J377" t="str">
        <f t="shared" si="35"/>
        <v>High</v>
      </c>
      <c r="K377" s="4" t="e">
        <f t="shared" si="36"/>
        <v>#N/A</v>
      </c>
      <c r="L377" t="e">
        <f t="shared" si="37"/>
        <v>#N/A</v>
      </c>
      <c r="M377" s="3" t="e">
        <f t="shared" si="38"/>
        <v>#N/A</v>
      </c>
      <c r="N377" t="e">
        <f t="shared" si="39"/>
        <v>#N/A</v>
      </c>
      <c r="O377" s="3">
        <f t="shared" si="40"/>
        <v>105470</v>
      </c>
      <c r="P377">
        <f t="shared" si="41"/>
        <v>8</v>
      </c>
    </row>
    <row r="378" spans="1:16" x14ac:dyDescent="0.25">
      <c r="A378">
        <v>90</v>
      </c>
      <c r="B378">
        <v>45</v>
      </c>
      <c r="C378" t="s">
        <v>45</v>
      </c>
      <c r="D378" s="3">
        <v>63381</v>
      </c>
      <c r="E378">
        <v>80</v>
      </c>
      <c r="F378">
        <v>4</v>
      </c>
      <c r="G378">
        <v>8</v>
      </c>
      <c r="H378" t="s">
        <v>13</v>
      </c>
      <c r="I378">
        <v>754.24</v>
      </c>
      <c r="J378" t="str">
        <f t="shared" si="35"/>
        <v>Medium</v>
      </c>
      <c r="K378" s="4" t="e">
        <f t="shared" si="36"/>
        <v>#N/A</v>
      </c>
      <c r="L378" t="e">
        <f t="shared" si="37"/>
        <v>#N/A</v>
      </c>
      <c r="M378" s="3">
        <f t="shared" si="38"/>
        <v>63381</v>
      </c>
      <c r="N378">
        <f t="shared" si="39"/>
        <v>80</v>
      </c>
      <c r="O378" s="3" t="e">
        <f t="shared" si="40"/>
        <v>#N/A</v>
      </c>
      <c r="P378" t="e">
        <f t="shared" si="41"/>
        <v>#N/A</v>
      </c>
    </row>
    <row r="379" spans="1:16" x14ac:dyDescent="0.25">
      <c r="A379">
        <v>91</v>
      </c>
      <c r="B379">
        <v>32</v>
      </c>
      <c r="C379" t="s">
        <v>45</v>
      </c>
      <c r="D379" s="3">
        <v>92089</v>
      </c>
      <c r="E379">
        <v>16</v>
      </c>
      <c r="F379">
        <v>1</v>
      </c>
      <c r="G379">
        <v>47</v>
      </c>
      <c r="H379" t="s">
        <v>13</v>
      </c>
      <c r="I379">
        <v>209.86</v>
      </c>
      <c r="J379" t="str">
        <f t="shared" si="35"/>
        <v>Medium</v>
      </c>
      <c r="K379" s="4" t="e">
        <f t="shared" si="36"/>
        <v>#N/A</v>
      </c>
      <c r="L379" t="e">
        <f t="shared" si="37"/>
        <v>#N/A</v>
      </c>
      <c r="M379" s="3">
        <f t="shared" si="38"/>
        <v>92089</v>
      </c>
      <c r="N379">
        <f t="shared" si="39"/>
        <v>16</v>
      </c>
      <c r="O379" s="3" t="e">
        <f t="shared" si="40"/>
        <v>#N/A</v>
      </c>
      <c r="P379" t="e">
        <f t="shared" si="41"/>
        <v>#N/A</v>
      </c>
    </row>
    <row r="380" spans="1:16" x14ac:dyDescent="0.25">
      <c r="A380">
        <v>92</v>
      </c>
      <c r="B380">
        <v>39</v>
      </c>
      <c r="C380" t="s">
        <v>45</v>
      </c>
      <c r="D380" s="3">
        <v>104031</v>
      </c>
      <c r="E380">
        <v>67</v>
      </c>
      <c r="F380">
        <v>6</v>
      </c>
      <c r="G380">
        <v>28</v>
      </c>
      <c r="H380" t="s">
        <v>13</v>
      </c>
      <c r="I380">
        <v>930.36</v>
      </c>
      <c r="J380" t="str">
        <f t="shared" si="35"/>
        <v>High</v>
      </c>
      <c r="K380" s="4" t="e">
        <f t="shared" si="36"/>
        <v>#N/A</v>
      </c>
      <c r="L380" t="e">
        <f t="shared" si="37"/>
        <v>#N/A</v>
      </c>
      <c r="M380" s="3" t="e">
        <f t="shared" si="38"/>
        <v>#N/A</v>
      </c>
      <c r="N380" t="e">
        <f t="shared" si="39"/>
        <v>#N/A</v>
      </c>
      <c r="O380" s="3">
        <f t="shared" si="40"/>
        <v>104031</v>
      </c>
      <c r="P380">
        <f t="shared" si="41"/>
        <v>67</v>
      </c>
    </row>
    <row r="381" spans="1:16" x14ac:dyDescent="0.25">
      <c r="A381">
        <v>94</v>
      </c>
      <c r="B381">
        <v>46</v>
      </c>
      <c r="C381" t="s">
        <v>45</v>
      </c>
      <c r="D381" s="3">
        <v>113116</v>
      </c>
      <c r="E381">
        <v>7</v>
      </c>
      <c r="F381">
        <v>10</v>
      </c>
      <c r="G381">
        <v>13</v>
      </c>
      <c r="H381" t="s">
        <v>17</v>
      </c>
      <c r="I381">
        <v>190.55</v>
      </c>
      <c r="J381" t="str">
        <f t="shared" si="35"/>
        <v>High</v>
      </c>
      <c r="K381" s="4" t="e">
        <f t="shared" si="36"/>
        <v>#N/A</v>
      </c>
      <c r="L381" t="e">
        <f t="shared" si="37"/>
        <v>#N/A</v>
      </c>
      <c r="M381" s="3" t="e">
        <f t="shared" si="38"/>
        <v>#N/A</v>
      </c>
      <c r="N381" t="e">
        <f t="shared" si="39"/>
        <v>#N/A</v>
      </c>
      <c r="O381" s="3">
        <f t="shared" si="40"/>
        <v>113116</v>
      </c>
      <c r="P381">
        <f t="shared" si="41"/>
        <v>7</v>
      </c>
    </row>
    <row r="382" spans="1:16" x14ac:dyDescent="0.25">
      <c r="A382">
        <v>105</v>
      </c>
      <c r="B382">
        <v>20</v>
      </c>
      <c r="C382" t="s">
        <v>45</v>
      </c>
      <c r="D382" s="3">
        <v>34982</v>
      </c>
      <c r="E382">
        <v>7</v>
      </c>
      <c r="F382">
        <v>2</v>
      </c>
      <c r="G382">
        <v>45</v>
      </c>
      <c r="H382" t="s">
        <v>17</v>
      </c>
      <c r="I382">
        <v>597.15</v>
      </c>
      <c r="J382" t="str">
        <f t="shared" si="35"/>
        <v>Low</v>
      </c>
      <c r="K382" s="4">
        <f t="shared" si="36"/>
        <v>34982</v>
      </c>
      <c r="L382">
        <f t="shared" si="37"/>
        <v>7</v>
      </c>
      <c r="M382" s="3" t="e">
        <f t="shared" si="38"/>
        <v>#N/A</v>
      </c>
      <c r="N382" t="e">
        <f t="shared" si="39"/>
        <v>#N/A</v>
      </c>
      <c r="O382" s="3" t="e">
        <f t="shared" si="40"/>
        <v>#N/A</v>
      </c>
      <c r="P382" t="e">
        <f t="shared" si="41"/>
        <v>#N/A</v>
      </c>
    </row>
    <row r="383" spans="1:16" x14ac:dyDescent="0.25">
      <c r="A383">
        <v>125</v>
      </c>
      <c r="B383">
        <v>66</v>
      </c>
      <c r="C383" t="s">
        <v>45</v>
      </c>
      <c r="D383" s="3">
        <v>69362</v>
      </c>
      <c r="E383">
        <v>58</v>
      </c>
      <c r="F383">
        <v>1</v>
      </c>
      <c r="G383">
        <v>23</v>
      </c>
      <c r="H383" t="s">
        <v>17</v>
      </c>
      <c r="I383">
        <v>960.08</v>
      </c>
      <c r="J383" t="str">
        <f t="shared" si="35"/>
        <v>Medium</v>
      </c>
      <c r="K383" s="4" t="e">
        <f t="shared" si="36"/>
        <v>#N/A</v>
      </c>
      <c r="L383" t="e">
        <f t="shared" si="37"/>
        <v>#N/A</v>
      </c>
      <c r="M383" s="3">
        <f t="shared" si="38"/>
        <v>69362</v>
      </c>
      <c r="N383">
        <f t="shared" si="39"/>
        <v>58</v>
      </c>
      <c r="O383" s="3" t="e">
        <f t="shared" si="40"/>
        <v>#N/A</v>
      </c>
      <c r="P383" t="e">
        <f t="shared" si="41"/>
        <v>#N/A</v>
      </c>
    </row>
    <row r="384" spans="1:16" x14ac:dyDescent="0.25">
      <c r="A384">
        <v>133</v>
      </c>
      <c r="B384">
        <v>25</v>
      </c>
      <c r="C384" t="s">
        <v>45</v>
      </c>
      <c r="D384" s="3">
        <v>94016</v>
      </c>
      <c r="E384">
        <v>85</v>
      </c>
      <c r="F384">
        <v>8</v>
      </c>
      <c r="G384">
        <v>49</v>
      </c>
      <c r="H384" t="s">
        <v>16</v>
      </c>
      <c r="I384">
        <v>764.28</v>
      </c>
      <c r="J384" t="str">
        <f t="shared" si="35"/>
        <v>Medium</v>
      </c>
      <c r="K384" s="4" t="e">
        <f t="shared" si="36"/>
        <v>#N/A</v>
      </c>
      <c r="L384" t="e">
        <f t="shared" si="37"/>
        <v>#N/A</v>
      </c>
      <c r="M384" s="3">
        <f t="shared" si="38"/>
        <v>94016</v>
      </c>
      <c r="N384">
        <f t="shared" si="39"/>
        <v>85</v>
      </c>
      <c r="O384" s="3" t="e">
        <f t="shared" si="40"/>
        <v>#N/A</v>
      </c>
      <c r="P384" t="e">
        <f t="shared" si="41"/>
        <v>#N/A</v>
      </c>
    </row>
    <row r="385" spans="1:16" x14ac:dyDescent="0.25">
      <c r="A385">
        <v>143</v>
      </c>
      <c r="B385">
        <v>55</v>
      </c>
      <c r="C385" t="s">
        <v>45</v>
      </c>
      <c r="D385" s="3">
        <v>101084</v>
      </c>
      <c r="E385">
        <v>73</v>
      </c>
      <c r="F385">
        <v>9</v>
      </c>
      <c r="G385">
        <v>24</v>
      </c>
      <c r="H385" t="s">
        <v>16</v>
      </c>
      <c r="I385">
        <v>624.80999999999995</v>
      </c>
      <c r="J385" t="str">
        <f t="shared" si="35"/>
        <v>High</v>
      </c>
      <c r="K385" s="4" t="e">
        <f t="shared" si="36"/>
        <v>#N/A</v>
      </c>
      <c r="L385" t="e">
        <f t="shared" si="37"/>
        <v>#N/A</v>
      </c>
      <c r="M385" s="3" t="e">
        <f t="shared" si="38"/>
        <v>#N/A</v>
      </c>
      <c r="N385" t="e">
        <f t="shared" si="39"/>
        <v>#N/A</v>
      </c>
      <c r="O385" s="3">
        <f t="shared" si="40"/>
        <v>101084</v>
      </c>
      <c r="P385">
        <f t="shared" si="41"/>
        <v>73</v>
      </c>
    </row>
    <row r="386" spans="1:16" x14ac:dyDescent="0.25">
      <c r="A386">
        <v>149</v>
      </c>
      <c r="B386">
        <v>34</v>
      </c>
      <c r="C386" t="s">
        <v>45</v>
      </c>
      <c r="D386" s="3">
        <v>79949</v>
      </c>
      <c r="E386">
        <v>89</v>
      </c>
      <c r="F386">
        <v>3</v>
      </c>
      <c r="G386">
        <v>19</v>
      </c>
      <c r="H386" t="s">
        <v>16</v>
      </c>
      <c r="I386">
        <v>273.33999999999997</v>
      </c>
      <c r="J386" t="str">
        <f t="shared" ref="J386:J449" si="42">IF(D386&lt;50000,"Low",IF(D386&lt;100000,"Medium","High"))</f>
        <v>Medium</v>
      </c>
      <c r="K386" s="4" t="e">
        <f t="shared" ref="K386:K449" si="43">IF($J386="Low",$D386,NA())</f>
        <v>#N/A</v>
      </c>
      <c r="L386" t="e">
        <f t="shared" ref="L386:L449" si="44">IF($J386="Low",$E386,NA())</f>
        <v>#N/A</v>
      </c>
      <c r="M386" s="3">
        <f t="shared" ref="M386:M449" si="45">IF($J386="Medium",$D386,NA())</f>
        <v>79949</v>
      </c>
      <c r="N386">
        <f t="shared" ref="N386:N449" si="46">IF($J386="Medium",$E386,NA())</f>
        <v>89</v>
      </c>
      <c r="O386" s="3" t="e">
        <f t="shared" ref="O386:O449" si="47">IF($J386="High",$D386,NA())</f>
        <v>#N/A</v>
      </c>
      <c r="P386" t="e">
        <f t="shared" ref="P386:P449" si="48">IF($J386="High",$E386,NA())</f>
        <v>#N/A</v>
      </c>
    </row>
    <row r="387" spans="1:16" x14ac:dyDescent="0.25">
      <c r="A387">
        <v>158</v>
      </c>
      <c r="B387">
        <v>61</v>
      </c>
      <c r="C387" t="s">
        <v>45</v>
      </c>
      <c r="D387" s="3">
        <v>46738</v>
      </c>
      <c r="E387">
        <v>36</v>
      </c>
      <c r="F387">
        <v>3</v>
      </c>
      <c r="G387">
        <v>26</v>
      </c>
      <c r="H387" t="s">
        <v>16</v>
      </c>
      <c r="I387">
        <v>393.6</v>
      </c>
      <c r="J387" t="str">
        <f t="shared" si="42"/>
        <v>Low</v>
      </c>
      <c r="K387" s="4">
        <f t="shared" si="43"/>
        <v>46738</v>
      </c>
      <c r="L387">
        <f t="shared" si="44"/>
        <v>36</v>
      </c>
      <c r="M387" s="3" t="e">
        <f t="shared" si="45"/>
        <v>#N/A</v>
      </c>
      <c r="N387" t="e">
        <f t="shared" si="46"/>
        <v>#N/A</v>
      </c>
      <c r="O387" s="3" t="e">
        <f t="shared" si="47"/>
        <v>#N/A</v>
      </c>
      <c r="P387" t="e">
        <f t="shared" si="48"/>
        <v>#N/A</v>
      </c>
    </row>
    <row r="388" spans="1:16" x14ac:dyDescent="0.25">
      <c r="A388">
        <v>159</v>
      </c>
      <c r="B388">
        <v>58</v>
      </c>
      <c r="C388" t="s">
        <v>45</v>
      </c>
      <c r="D388" s="3">
        <v>107818</v>
      </c>
      <c r="E388">
        <v>70</v>
      </c>
      <c r="F388">
        <v>5</v>
      </c>
      <c r="G388">
        <v>24</v>
      </c>
      <c r="H388" t="s">
        <v>13</v>
      </c>
      <c r="I388">
        <v>722.18</v>
      </c>
      <c r="J388" t="str">
        <f t="shared" si="42"/>
        <v>High</v>
      </c>
      <c r="K388" s="4" t="e">
        <f t="shared" si="43"/>
        <v>#N/A</v>
      </c>
      <c r="L388" t="e">
        <f t="shared" si="44"/>
        <v>#N/A</v>
      </c>
      <c r="M388" s="3" t="e">
        <f t="shared" si="45"/>
        <v>#N/A</v>
      </c>
      <c r="N388" t="e">
        <f t="shared" si="46"/>
        <v>#N/A</v>
      </c>
      <c r="O388" s="3">
        <f t="shared" si="47"/>
        <v>107818</v>
      </c>
      <c r="P388">
        <f t="shared" si="48"/>
        <v>70</v>
      </c>
    </row>
    <row r="389" spans="1:16" x14ac:dyDescent="0.25">
      <c r="A389">
        <v>160</v>
      </c>
      <c r="B389">
        <v>36</v>
      </c>
      <c r="C389" t="s">
        <v>45</v>
      </c>
      <c r="D389" s="3">
        <v>83511</v>
      </c>
      <c r="E389">
        <v>28</v>
      </c>
      <c r="F389">
        <v>5</v>
      </c>
      <c r="G389">
        <v>49</v>
      </c>
      <c r="H389" t="s">
        <v>13</v>
      </c>
      <c r="I389">
        <v>367.97</v>
      </c>
      <c r="J389" t="str">
        <f t="shared" si="42"/>
        <v>Medium</v>
      </c>
      <c r="K389" s="4" t="e">
        <f t="shared" si="43"/>
        <v>#N/A</v>
      </c>
      <c r="L389" t="e">
        <f t="shared" si="44"/>
        <v>#N/A</v>
      </c>
      <c r="M389" s="3">
        <f t="shared" si="45"/>
        <v>83511</v>
      </c>
      <c r="N389">
        <f t="shared" si="46"/>
        <v>28</v>
      </c>
      <c r="O389" s="3" t="e">
        <f t="shared" si="47"/>
        <v>#N/A</v>
      </c>
      <c r="P389" t="e">
        <f t="shared" si="48"/>
        <v>#N/A</v>
      </c>
    </row>
    <row r="390" spans="1:16" x14ac:dyDescent="0.25">
      <c r="A390">
        <v>165</v>
      </c>
      <c r="B390">
        <v>64</v>
      </c>
      <c r="C390" t="s">
        <v>45</v>
      </c>
      <c r="D390" s="3">
        <v>96494</v>
      </c>
      <c r="E390">
        <v>10</v>
      </c>
      <c r="F390">
        <v>4</v>
      </c>
      <c r="G390">
        <v>47</v>
      </c>
      <c r="H390" t="s">
        <v>13</v>
      </c>
      <c r="I390">
        <v>184.45</v>
      </c>
      <c r="J390" t="str">
        <f t="shared" si="42"/>
        <v>Medium</v>
      </c>
      <c r="K390" s="4" t="e">
        <f t="shared" si="43"/>
        <v>#N/A</v>
      </c>
      <c r="L390" t="e">
        <f t="shared" si="44"/>
        <v>#N/A</v>
      </c>
      <c r="M390" s="3">
        <f t="shared" si="45"/>
        <v>96494</v>
      </c>
      <c r="N390">
        <f t="shared" si="46"/>
        <v>10</v>
      </c>
      <c r="O390" s="3" t="e">
        <f t="shared" si="47"/>
        <v>#N/A</v>
      </c>
      <c r="P390" t="e">
        <f t="shared" si="48"/>
        <v>#N/A</v>
      </c>
    </row>
    <row r="391" spans="1:16" x14ac:dyDescent="0.25">
      <c r="A391">
        <v>167</v>
      </c>
      <c r="B391">
        <v>18</v>
      </c>
      <c r="C391" t="s">
        <v>45</v>
      </c>
      <c r="D391" s="3">
        <v>46707</v>
      </c>
      <c r="E391">
        <v>61</v>
      </c>
      <c r="F391">
        <v>10</v>
      </c>
      <c r="G391">
        <v>16</v>
      </c>
      <c r="H391" t="s">
        <v>17</v>
      </c>
      <c r="I391">
        <v>18.600000000000001</v>
      </c>
      <c r="J391" t="str">
        <f t="shared" si="42"/>
        <v>Low</v>
      </c>
      <c r="K391" s="4">
        <f t="shared" si="43"/>
        <v>46707</v>
      </c>
      <c r="L391">
        <f t="shared" si="44"/>
        <v>61</v>
      </c>
      <c r="M391" s="3" t="e">
        <f t="shared" si="45"/>
        <v>#N/A</v>
      </c>
      <c r="N391" t="e">
        <f t="shared" si="46"/>
        <v>#N/A</v>
      </c>
      <c r="O391" s="3" t="e">
        <f t="shared" si="47"/>
        <v>#N/A</v>
      </c>
      <c r="P391" t="e">
        <f t="shared" si="48"/>
        <v>#N/A</v>
      </c>
    </row>
    <row r="392" spans="1:16" x14ac:dyDescent="0.25">
      <c r="A392">
        <v>168</v>
      </c>
      <c r="B392">
        <v>36</v>
      </c>
      <c r="C392" t="s">
        <v>45</v>
      </c>
      <c r="D392" s="3">
        <v>87275</v>
      </c>
      <c r="E392">
        <v>82</v>
      </c>
      <c r="F392">
        <v>9</v>
      </c>
      <c r="G392">
        <v>2</v>
      </c>
      <c r="H392" t="s">
        <v>17</v>
      </c>
      <c r="I392">
        <v>14.52</v>
      </c>
      <c r="J392" t="str">
        <f t="shared" si="42"/>
        <v>Medium</v>
      </c>
      <c r="K392" s="4" t="e">
        <f t="shared" si="43"/>
        <v>#N/A</v>
      </c>
      <c r="L392" t="e">
        <f t="shared" si="44"/>
        <v>#N/A</v>
      </c>
      <c r="M392" s="3">
        <f t="shared" si="45"/>
        <v>87275</v>
      </c>
      <c r="N392">
        <f t="shared" si="46"/>
        <v>82</v>
      </c>
      <c r="O392" s="3" t="e">
        <f t="shared" si="47"/>
        <v>#N/A</v>
      </c>
      <c r="P392" t="e">
        <f t="shared" si="48"/>
        <v>#N/A</v>
      </c>
    </row>
    <row r="393" spans="1:16" x14ac:dyDescent="0.25">
      <c r="A393">
        <v>174</v>
      </c>
      <c r="B393">
        <v>47</v>
      </c>
      <c r="C393" t="s">
        <v>45</v>
      </c>
      <c r="D393" s="3">
        <v>66932</v>
      </c>
      <c r="E393">
        <v>89</v>
      </c>
      <c r="F393">
        <v>5</v>
      </c>
      <c r="G393">
        <v>9</v>
      </c>
      <c r="H393" t="s">
        <v>13</v>
      </c>
      <c r="I393">
        <v>861.66</v>
      </c>
      <c r="J393" t="str">
        <f t="shared" si="42"/>
        <v>Medium</v>
      </c>
      <c r="K393" s="4" t="e">
        <f t="shared" si="43"/>
        <v>#N/A</v>
      </c>
      <c r="L393" t="e">
        <f t="shared" si="44"/>
        <v>#N/A</v>
      </c>
      <c r="M393" s="3">
        <f t="shared" si="45"/>
        <v>66932</v>
      </c>
      <c r="N393">
        <f t="shared" si="46"/>
        <v>89</v>
      </c>
      <c r="O393" s="3" t="e">
        <f t="shared" si="47"/>
        <v>#N/A</v>
      </c>
      <c r="P393" t="e">
        <f t="shared" si="48"/>
        <v>#N/A</v>
      </c>
    </row>
    <row r="394" spans="1:16" x14ac:dyDescent="0.25">
      <c r="A394">
        <v>186</v>
      </c>
      <c r="B394">
        <v>40</v>
      </c>
      <c r="C394" t="s">
        <v>45</v>
      </c>
      <c r="D394" s="3">
        <v>124138</v>
      </c>
      <c r="E394">
        <v>84</v>
      </c>
      <c r="F394">
        <v>10</v>
      </c>
      <c r="G394">
        <v>41</v>
      </c>
      <c r="H394" t="s">
        <v>16</v>
      </c>
      <c r="I394">
        <v>426.62</v>
      </c>
      <c r="J394" t="str">
        <f t="shared" si="42"/>
        <v>High</v>
      </c>
      <c r="K394" s="4" t="e">
        <f t="shared" si="43"/>
        <v>#N/A</v>
      </c>
      <c r="L394" t="e">
        <f t="shared" si="44"/>
        <v>#N/A</v>
      </c>
      <c r="M394" s="3" t="e">
        <f t="shared" si="45"/>
        <v>#N/A</v>
      </c>
      <c r="N394" t="e">
        <f t="shared" si="46"/>
        <v>#N/A</v>
      </c>
      <c r="O394" s="3">
        <f t="shared" si="47"/>
        <v>124138</v>
      </c>
      <c r="P394">
        <f t="shared" si="48"/>
        <v>84</v>
      </c>
    </row>
    <row r="395" spans="1:16" x14ac:dyDescent="0.25">
      <c r="A395">
        <v>203</v>
      </c>
      <c r="B395">
        <v>66</v>
      </c>
      <c r="C395" t="s">
        <v>45</v>
      </c>
      <c r="D395" s="3">
        <v>106631</v>
      </c>
      <c r="E395">
        <v>41</v>
      </c>
      <c r="F395">
        <v>6</v>
      </c>
      <c r="G395">
        <v>9</v>
      </c>
      <c r="H395" t="s">
        <v>13</v>
      </c>
      <c r="I395">
        <v>354.46</v>
      </c>
      <c r="J395" t="str">
        <f t="shared" si="42"/>
        <v>High</v>
      </c>
      <c r="K395" s="4" t="e">
        <f t="shared" si="43"/>
        <v>#N/A</v>
      </c>
      <c r="L395" t="e">
        <f t="shared" si="44"/>
        <v>#N/A</v>
      </c>
      <c r="M395" s="3" t="e">
        <f t="shared" si="45"/>
        <v>#N/A</v>
      </c>
      <c r="N395" t="e">
        <f t="shared" si="46"/>
        <v>#N/A</v>
      </c>
      <c r="O395" s="3">
        <f t="shared" si="47"/>
        <v>106631</v>
      </c>
      <c r="P395">
        <f t="shared" si="48"/>
        <v>41</v>
      </c>
    </row>
    <row r="396" spans="1:16" x14ac:dyDescent="0.25">
      <c r="A396">
        <v>212</v>
      </c>
      <c r="B396">
        <v>18</v>
      </c>
      <c r="C396" t="s">
        <v>45</v>
      </c>
      <c r="D396" s="3">
        <v>54421</v>
      </c>
      <c r="E396">
        <v>20</v>
      </c>
      <c r="F396">
        <v>1</v>
      </c>
      <c r="G396">
        <v>41</v>
      </c>
      <c r="H396" t="s">
        <v>13</v>
      </c>
      <c r="I396">
        <v>215.95</v>
      </c>
      <c r="J396" t="str">
        <f t="shared" si="42"/>
        <v>Medium</v>
      </c>
      <c r="K396" s="4" t="e">
        <f t="shared" si="43"/>
        <v>#N/A</v>
      </c>
      <c r="L396" t="e">
        <f t="shared" si="44"/>
        <v>#N/A</v>
      </c>
      <c r="M396" s="3">
        <f t="shared" si="45"/>
        <v>54421</v>
      </c>
      <c r="N396">
        <f t="shared" si="46"/>
        <v>20</v>
      </c>
      <c r="O396" s="3" t="e">
        <f t="shared" si="47"/>
        <v>#N/A</v>
      </c>
      <c r="P396" t="e">
        <f t="shared" si="48"/>
        <v>#N/A</v>
      </c>
    </row>
    <row r="397" spans="1:16" x14ac:dyDescent="0.25">
      <c r="A397">
        <v>222</v>
      </c>
      <c r="B397">
        <v>67</v>
      </c>
      <c r="C397" t="s">
        <v>45</v>
      </c>
      <c r="D397" s="3">
        <v>64134</v>
      </c>
      <c r="E397">
        <v>3</v>
      </c>
      <c r="F397">
        <v>2</v>
      </c>
      <c r="G397">
        <v>26</v>
      </c>
      <c r="H397" t="s">
        <v>17</v>
      </c>
      <c r="I397">
        <v>868.18</v>
      </c>
      <c r="J397" t="str">
        <f t="shared" si="42"/>
        <v>Medium</v>
      </c>
      <c r="K397" s="4" t="e">
        <f t="shared" si="43"/>
        <v>#N/A</v>
      </c>
      <c r="L397" t="e">
        <f t="shared" si="44"/>
        <v>#N/A</v>
      </c>
      <c r="M397" s="3">
        <f t="shared" si="45"/>
        <v>64134</v>
      </c>
      <c r="N397">
        <f t="shared" si="46"/>
        <v>3</v>
      </c>
      <c r="O397" s="3" t="e">
        <f t="shared" si="47"/>
        <v>#N/A</v>
      </c>
      <c r="P397" t="e">
        <f t="shared" si="48"/>
        <v>#N/A</v>
      </c>
    </row>
    <row r="398" spans="1:16" x14ac:dyDescent="0.25">
      <c r="A398">
        <v>229</v>
      </c>
      <c r="B398">
        <v>19</v>
      </c>
      <c r="C398" t="s">
        <v>45</v>
      </c>
      <c r="D398" s="3">
        <v>52470</v>
      </c>
      <c r="E398">
        <v>90</v>
      </c>
      <c r="F398">
        <v>5</v>
      </c>
      <c r="G398">
        <v>35</v>
      </c>
      <c r="H398" t="s">
        <v>16</v>
      </c>
      <c r="I398">
        <v>515.99</v>
      </c>
      <c r="J398" t="str">
        <f t="shared" si="42"/>
        <v>Medium</v>
      </c>
      <c r="K398" s="4" t="e">
        <f t="shared" si="43"/>
        <v>#N/A</v>
      </c>
      <c r="L398" t="e">
        <f t="shared" si="44"/>
        <v>#N/A</v>
      </c>
      <c r="M398" s="3">
        <f t="shared" si="45"/>
        <v>52470</v>
      </c>
      <c r="N398">
        <f t="shared" si="46"/>
        <v>90</v>
      </c>
      <c r="O398" s="3" t="e">
        <f t="shared" si="47"/>
        <v>#N/A</v>
      </c>
      <c r="P398" t="e">
        <f t="shared" si="48"/>
        <v>#N/A</v>
      </c>
    </row>
    <row r="399" spans="1:16" x14ac:dyDescent="0.25">
      <c r="A399">
        <v>238</v>
      </c>
      <c r="B399">
        <v>64</v>
      </c>
      <c r="C399" t="s">
        <v>45</v>
      </c>
      <c r="D399" s="3">
        <v>148368</v>
      </c>
      <c r="E399">
        <v>19</v>
      </c>
      <c r="F399">
        <v>4</v>
      </c>
      <c r="G399">
        <v>23</v>
      </c>
      <c r="H399" t="s">
        <v>16</v>
      </c>
      <c r="I399">
        <v>949.32</v>
      </c>
      <c r="J399" t="str">
        <f t="shared" si="42"/>
        <v>High</v>
      </c>
      <c r="K399" s="4" t="e">
        <f t="shared" si="43"/>
        <v>#N/A</v>
      </c>
      <c r="L399" t="e">
        <f t="shared" si="44"/>
        <v>#N/A</v>
      </c>
      <c r="M399" s="3" t="e">
        <f t="shared" si="45"/>
        <v>#N/A</v>
      </c>
      <c r="N399" t="e">
        <f t="shared" si="46"/>
        <v>#N/A</v>
      </c>
      <c r="O399" s="3">
        <f t="shared" si="47"/>
        <v>148368</v>
      </c>
      <c r="P399">
        <f t="shared" si="48"/>
        <v>19</v>
      </c>
    </row>
    <row r="400" spans="1:16" x14ac:dyDescent="0.25">
      <c r="A400">
        <v>245</v>
      </c>
      <c r="B400">
        <v>28</v>
      </c>
      <c r="C400" t="s">
        <v>45</v>
      </c>
      <c r="D400" s="3">
        <v>134414</v>
      </c>
      <c r="E400">
        <v>19</v>
      </c>
      <c r="F400">
        <v>5</v>
      </c>
      <c r="G400">
        <v>15</v>
      </c>
      <c r="H400" t="s">
        <v>13</v>
      </c>
      <c r="I400">
        <v>922.01</v>
      </c>
      <c r="J400" t="str">
        <f t="shared" si="42"/>
        <v>High</v>
      </c>
      <c r="K400" s="4" t="e">
        <f t="shared" si="43"/>
        <v>#N/A</v>
      </c>
      <c r="L400" t="e">
        <f t="shared" si="44"/>
        <v>#N/A</v>
      </c>
      <c r="M400" s="3" t="e">
        <f t="shared" si="45"/>
        <v>#N/A</v>
      </c>
      <c r="N400" t="e">
        <f t="shared" si="46"/>
        <v>#N/A</v>
      </c>
      <c r="O400" s="3">
        <f t="shared" si="47"/>
        <v>134414</v>
      </c>
      <c r="P400">
        <f t="shared" si="48"/>
        <v>19</v>
      </c>
    </row>
    <row r="401" spans="1:16" x14ac:dyDescent="0.25">
      <c r="A401">
        <v>252</v>
      </c>
      <c r="B401">
        <v>25</v>
      </c>
      <c r="C401" t="s">
        <v>45</v>
      </c>
      <c r="D401" s="3">
        <v>105185</v>
      </c>
      <c r="E401">
        <v>70</v>
      </c>
      <c r="F401">
        <v>2</v>
      </c>
      <c r="G401">
        <v>37</v>
      </c>
      <c r="H401" t="s">
        <v>16</v>
      </c>
      <c r="I401">
        <v>556.23</v>
      </c>
      <c r="J401" t="str">
        <f t="shared" si="42"/>
        <v>High</v>
      </c>
      <c r="K401" s="4" t="e">
        <f t="shared" si="43"/>
        <v>#N/A</v>
      </c>
      <c r="L401" t="e">
        <f t="shared" si="44"/>
        <v>#N/A</v>
      </c>
      <c r="M401" s="3" t="e">
        <f t="shared" si="45"/>
        <v>#N/A</v>
      </c>
      <c r="N401" t="e">
        <f t="shared" si="46"/>
        <v>#N/A</v>
      </c>
      <c r="O401" s="3">
        <f t="shared" si="47"/>
        <v>105185</v>
      </c>
      <c r="P401">
        <f t="shared" si="48"/>
        <v>70</v>
      </c>
    </row>
    <row r="402" spans="1:16" x14ac:dyDescent="0.25">
      <c r="A402">
        <v>253</v>
      </c>
      <c r="B402">
        <v>49</v>
      </c>
      <c r="C402" t="s">
        <v>45</v>
      </c>
      <c r="D402" s="3">
        <v>129014</v>
      </c>
      <c r="E402">
        <v>25</v>
      </c>
      <c r="F402">
        <v>7</v>
      </c>
      <c r="G402">
        <v>21</v>
      </c>
      <c r="H402" t="s">
        <v>16</v>
      </c>
      <c r="I402">
        <v>271.52</v>
      </c>
      <c r="J402" t="str">
        <f t="shared" si="42"/>
        <v>High</v>
      </c>
      <c r="K402" s="4" t="e">
        <f t="shared" si="43"/>
        <v>#N/A</v>
      </c>
      <c r="L402" t="e">
        <f t="shared" si="44"/>
        <v>#N/A</v>
      </c>
      <c r="M402" s="3" t="e">
        <f t="shared" si="45"/>
        <v>#N/A</v>
      </c>
      <c r="N402" t="e">
        <f t="shared" si="46"/>
        <v>#N/A</v>
      </c>
      <c r="O402" s="3">
        <f t="shared" si="47"/>
        <v>129014</v>
      </c>
      <c r="P402">
        <f t="shared" si="48"/>
        <v>25</v>
      </c>
    </row>
    <row r="403" spans="1:16" x14ac:dyDescent="0.25">
      <c r="A403">
        <v>254</v>
      </c>
      <c r="B403">
        <v>66</v>
      </c>
      <c r="C403" t="s">
        <v>45</v>
      </c>
      <c r="D403" s="3">
        <v>112847</v>
      </c>
      <c r="E403">
        <v>98</v>
      </c>
      <c r="F403">
        <v>9</v>
      </c>
      <c r="G403">
        <v>44</v>
      </c>
      <c r="H403" t="s">
        <v>13</v>
      </c>
      <c r="I403">
        <v>827.44</v>
      </c>
      <c r="J403" t="str">
        <f t="shared" si="42"/>
        <v>High</v>
      </c>
      <c r="K403" s="4" t="e">
        <f t="shared" si="43"/>
        <v>#N/A</v>
      </c>
      <c r="L403" t="e">
        <f t="shared" si="44"/>
        <v>#N/A</v>
      </c>
      <c r="M403" s="3" t="e">
        <f t="shared" si="45"/>
        <v>#N/A</v>
      </c>
      <c r="N403" t="e">
        <f t="shared" si="46"/>
        <v>#N/A</v>
      </c>
      <c r="O403" s="3">
        <f t="shared" si="47"/>
        <v>112847</v>
      </c>
      <c r="P403">
        <f t="shared" si="48"/>
        <v>98</v>
      </c>
    </row>
    <row r="404" spans="1:16" x14ac:dyDescent="0.25">
      <c r="A404">
        <v>255</v>
      </c>
      <c r="B404">
        <v>27</v>
      </c>
      <c r="C404" t="s">
        <v>45</v>
      </c>
      <c r="D404" s="3">
        <v>139589</v>
      </c>
      <c r="E404">
        <v>69</v>
      </c>
      <c r="F404">
        <v>8</v>
      </c>
      <c r="G404">
        <v>22</v>
      </c>
      <c r="H404" t="s">
        <v>17</v>
      </c>
      <c r="I404">
        <v>150.58000000000001</v>
      </c>
      <c r="J404" t="str">
        <f t="shared" si="42"/>
        <v>High</v>
      </c>
      <c r="K404" s="4" t="e">
        <f t="shared" si="43"/>
        <v>#N/A</v>
      </c>
      <c r="L404" t="e">
        <f t="shared" si="44"/>
        <v>#N/A</v>
      </c>
      <c r="M404" s="3" t="e">
        <f t="shared" si="45"/>
        <v>#N/A</v>
      </c>
      <c r="N404" t="e">
        <f t="shared" si="46"/>
        <v>#N/A</v>
      </c>
      <c r="O404" s="3">
        <f t="shared" si="47"/>
        <v>139589</v>
      </c>
      <c r="P404">
        <f t="shared" si="48"/>
        <v>69</v>
      </c>
    </row>
    <row r="405" spans="1:16" x14ac:dyDescent="0.25">
      <c r="A405">
        <v>256</v>
      </c>
      <c r="B405">
        <v>46</v>
      </c>
      <c r="C405" t="s">
        <v>45</v>
      </c>
      <c r="D405" s="3">
        <v>38785</v>
      </c>
      <c r="E405">
        <v>55</v>
      </c>
      <c r="F405">
        <v>9</v>
      </c>
      <c r="G405">
        <v>22</v>
      </c>
      <c r="H405" t="s">
        <v>17</v>
      </c>
      <c r="I405">
        <v>486.25</v>
      </c>
      <c r="J405" t="str">
        <f t="shared" si="42"/>
        <v>Low</v>
      </c>
      <c r="K405" s="4">
        <f t="shared" si="43"/>
        <v>38785</v>
      </c>
      <c r="L405">
        <f t="shared" si="44"/>
        <v>55</v>
      </c>
      <c r="M405" s="3" t="e">
        <f t="shared" si="45"/>
        <v>#N/A</v>
      </c>
      <c r="N405" t="e">
        <f t="shared" si="46"/>
        <v>#N/A</v>
      </c>
      <c r="O405" s="3" t="e">
        <f t="shared" si="47"/>
        <v>#N/A</v>
      </c>
      <c r="P405" t="e">
        <f t="shared" si="48"/>
        <v>#N/A</v>
      </c>
    </row>
    <row r="406" spans="1:16" x14ac:dyDescent="0.25">
      <c r="A406">
        <v>266</v>
      </c>
      <c r="B406">
        <v>53</v>
      </c>
      <c r="C406" t="s">
        <v>45</v>
      </c>
      <c r="D406" s="3">
        <v>84616</v>
      </c>
      <c r="E406">
        <v>68</v>
      </c>
      <c r="F406">
        <v>10</v>
      </c>
      <c r="G406">
        <v>8</v>
      </c>
      <c r="H406" t="s">
        <v>13</v>
      </c>
      <c r="I406">
        <v>543.30999999999995</v>
      </c>
      <c r="J406" t="str">
        <f t="shared" si="42"/>
        <v>Medium</v>
      </c>
      <c r="K406" s="4" t="e">
        <f t="shared" si="43"/>
        <v>#N/A</v>
      </c>
      <c r="L406" t="e">
        <f t="shared" si="44"/>
        <v>#N/A</v>
      </c>
      <c r="M406" s="3">
        <f t="shared" si="45"/>
        <v>84616</v>
      </c>
      <c r="N406">
        <f t="shared" si="46"/>
        <v>68</v>
      </c>
      <c r="O406" s="3" t="e">
        <f t="shared" si="47"/>
        <v>#N/A</v>
      </c>
      <c r="P406" t="e">
        <f t="shared" si="48"/>
        <v>#N/A</v>
      </c>
    </row>
    <row r="407" spans="1:16" x14ac:dyDescent="0.25">
      <c r="A407">
        <v>268</v>
      </c>
      <c r="B407">
        <v>23</v>
      </c>
      <c r="C407" t="s">
        <v>45</v>
      </c>
      <c r="D407" s="3">
        <v>101024</v>
      </c>
      <c r="E407">
        <v>29</v>
      </c>
      <c r="F407">
        <v>3</v>
      </c>
      <c r="G407">
        <v>41</v>
      </c>
      <c r="H407" t="s">
        <v>16</v>
      </c>
      <c r="I407">
        <v>484.85</v>
      </c>
      <c r="J407" t="str">
        <f t="shared" si="42"/>
        <v>High</v>
      </c>
      <c r="K407" s="4" t="e">
        <f t="shared" si="43"/>
        <v>#N/A</v>
      </c>
      <c r="L407" t="e">
        <f t="shared" si="44"/>
        <v>#N/A</v>
      </c>
      <c r="M407" s="3" t="e">
        <f t="shared" si="45"/>
        <v>#N/A</v>
      </c>
      <c r="N407" t="e">
        <f t="shared" si="46"/>
        <v>#N/A</v>
      </c>
      <c r="O407" s="3">
        <f t="shared" si="47"/>
        <v>101024</v>
      </c>
      <c r="P407">
        <f t="shared" si="48"/>
        <v>29</v>
      </c>
    </row>
    <row r="408" spans="1:16" x14ac:dyDescent="0.25">
      <c r="A408">
        <v>273</v>
      </c>
      <c r="B408">
        <v>47</v>
      </c>
      <c r="C408" t="s">
        <v>45</v>
      </c>
      <c r="D408" s="3">
        <v>84117</v>
      </c>
      <c r="E408">
        <v>74</v>
      </c>
      <c r="F408">
        <v>9</v>
      </c>
      <c r="G408">
        <v>17</v>
      </c>
      <c r="H408" t="s">
        <v>13</v>
      </c>
      <c r="I408">
        <v>886.08</v>
      </c>
      <c r="J408" t="str">
        <f t="shared" si="42"/>
        <v>Medium</v>
      </c>
      <c r="K408" s="4" t="e">
        <f t="shared" si="43"/>
        <v>#N/A</v>
      </c>
      <c r="L408" t="e">
        <f t="shared" si="44"/>
        <v>#N/A</v>
      </c>
      <c r="M408" s="3">
        <f t="shared" si="45"/>
        <v>84117</v>
      </c>
      <c r="N408">
        <f t="shared" si="46"/>
        <v>74</v>
      </c>
      <c r="O408" s="3" t="e">
        <f t="shared" si="47"/>
        <v>#N/A</v>
      </c>
      <c r="P408" t="e">
        <f t="shared" si="48"/>
        <v>#N/A</v>
      </c>
    </row>
    <row r="409" spans="1:16" x14ac:dyDescent="0.25">
      <c r="A409">
        <v>274</v>
      </c>
      <c r="B409">
        <v>60</v>
      </c>
      <c r="C409" t="s">
        <v>45</v>
      </c>
      <c r="D409" s="3">
        <v>107232</v>
      </c>
      <c r="E409">
        <v>68</v>
      </c>
      <c r="F409">
        <v>4</v>
      </c>
      <c r="G409">
        <v>48</v>
      </c>
      <c r="H409" t="s">
        <v>17</v>
      </c>
      <c r="I409">
        <v>730.8</v>
      </c>
      <c r="J409" t="str">
        <f t="shared" si="42"/>
        <v>High</v>
      </c>
      <c r="K409" s="4" t="e">
        <f t="shared" si="43"/>
        <v>#N/A</v>
      </c>
      <c r="L409" t="e">
        <f t="shared" si="44"/>
        <v>#N/A</v>
      </c>
      <c r="M409" s="3" t="e">
        <f t="shared" si="45"/>
        <v>#N/A</v>
      </c>
      <c r="N409" t="e">
        <f t="shared" si="46"/>
        <v>#N/A</v>
      </c>
      <c r="O409" s="3">
        <f t="shared" si="47"/>
        <v>107232</v>
      </c>
      <c r="P409">
        <f t="shared" si="48"/>
        <v>68</v>
      </c>
    </row>
    <row r="410" spans="1:16" x14ac:dyDescent="0.25">
      <c r="A410">
        <v>275</v>
      </c>
      <c r="B410">
        <v>22</v>
      </c>
      <c r="C410" t="s">
        <v>45</v>
      </c>
      <c r="D410" s="3">
        <v>128623</v>
      </c>
      <c r="E410">
        <v>88</v>
      </c>
      <c r="F410">
        <v>5</v>
      </c>
      <c r="G410">
        <v>20</v>
      </c>
      <c r="H410" t="s">
        <v>17</v>
      </c>
      <c r="I410">
        <v>609.57000000000005</v>
      </c>
      <c r="J410" t="str">
        <f t="shared" si="42"/>
        <v>High</v>
      </c>
      <c r="K410" s="4" t="e">
        <f t="shared" si="43"/>
        <v>#N/A</v>
      </c>
      <c r="L410" t="e">
        <f t="shared" si="44"/>
        <v>#N/A</v>
      </c>
      <c r="M410" s="3" t="e">
        <f t="shared" si="45"/>
        <v>#N/A</v>
      </c>
      <c r="N410" t="e">
        <f t="shared" si="46"/>
        <v>#N/A</v>
      </c>
      <c r="O410" s="3">
        <f t="shared" si="47"/>
        <v>128623</v>
      </c>
      <c r="P410">
        <f t="shared" si="48"/>
        <v>88</v>
      </c>
    </row>
    <row r="411" spans="1:16" x14ac:dyDescent="0.25">
      <c r="A411">
        <v>277</v>
      </c>
      <c r="B411">
        <v>53</v>
      </c>
      <c r="C411" t="s">
        <v>45</v>
      </c>
      <c r="D411" s="3">
        <v>94392</v>
      </c>
      <c r="E411">
        <v>38</v>
      </c>
      <c r="F411">
        <v>5</v>
      </c>
      <c r="G411">
        <v>11</v>
      </c>
      <c r="H411" t="s">
        <v>17</v>
      </c>
      <c r="I411">
        <v>997.24</v>
      </c>
      <c r="J411" t="str">
        <f t="shared" si="42"/>
        <v>Medium</v>
      </c>
      <c r="K411" s="4" t="e">
        <f t="shared" si="43"/>
        <v>#N/A</v>
      </c>
      <c r="L411" t="e">
        <f t="shared" si="44"/>
        <v>#N/A</v>
      </c>
      <c r="M411" s="3">
        <f t="shared" si="45"/>
        <v>94392</v>
      </c>
      <c r="N411">
        <f t="shared" si="46"/>
        <v>38</v>
      </c>
      <c r="O411" s="3" t="e">
        <f t="shared" si="47"/>
        <v>#N/A</v>
      </c>
      <c r="P411" t="e">
        <f t="shared" si="48"/>
        <v>#N/A</v>
      </c>
    </row>
    <row r="412" spans="1:16" x14ac:dyDescent="0.25">
      <c r="A412">
        <v>281</v>
      </c>
      <c r="B412">
        <v>61</v>
      </c>
      <c r="C412" t="s">
        <v>45</v>
      </c>
      <c r="D412" s="3">
        <v>47689</v>
      </c>
      <c r="E412">
        <v>46</v>
      </c>
      <c r="F412">
        <v>4</v>
      </c>
      <c r="G412">
        <v>42</v>
      </c>
      <c r="H412" t="s">
        <v>13</v>
      </c>
      <c r="I412">
        <v>802.44</v>
      </c>
      <c r="J412" t="str">
        <f t="shared" si="42"/>
        <v>Low</v>
      </c>
      <c r="K412" s="4">
        <f t="shared" si="43"/>
        <v>47689</v>
      </c>
      <c r="L412">
        <f t="shared" si="44"/>
        <v>46</v>
      </c>
      <c r="M412" s="3" t="e">
        <f t="shared" si="45"/>
        <v>#N/A</v>
      </c>
      <c r="N412" t="e">
        <f t="shared" si="46"/>
        <v>#N/A</v>
      </c>
      <c r="O412" s="3" t="e">
        <f t="shared" si="47"/>
        <v>#N/A</v>
      </c>
      <c r="P412" t="e">
        <f t="shared" si="48"/>
        <v>#N/A</v>
      </c>
    </row>
    <row r="413" spans="1:16" x14ac:dyDescent="0.25">
      <c r="A413">
        <v>292</v>
      </c>
      <c r="B413">
        <v>62</v>
      </c>
      <c r="C413" t="s">
        <v>45</v>
      </c>
      <c r="D413" s="3">
        <v>38250</v>
      </c>
      <c r="E413">
        <v>63</v>
      </c>
      <c r="F413">
        <v>5</v>
      </c>
      <c r="G413">
        <v>22</v>
      </c>
      <c r="H413" t="s">
        <v>13</v>
      </c>
      <c r="I413">
        <v>723.93</v>
      </c>
      <c r="J413" t="str">
        <f t="shared" si="42"/>
        <v>Low</v>
      </c>
      <c r="K413" s="4">
        <f t="shared" si="43"/>
        <v>38250</v>
      </c>
      <c r="L413">
        <f t="shared" si="44"/>
        <v>63</v>
      </c>
      <c r="M413" s="3" t="e">
        <f t="shared" si="45"/>
        <v>#N/A</v>
      </c>
      <c r="N413" t="e">
        <f t="shared" si="46"/>
        <v>#N/A</v>
      </c>
      <c r="O413" s="3" t="e">
        <f t="shared" si="47"/>
        <v>#N/A</v>
      </c>
      <c r="P413" t="e">
        <f t="shared" si="48"/>
        <v>#N/A</v>
      </c>
    </row>
    <row r="414" spans="1:16" x14ac:dyDescent="0.25">
      <c r="A414">
        <v>294</v>
      </c>
      <c r="B414">
        <v>47</v>
      </c>
      <c r="C414" t="s">
        <v>45</v>
      </c>
      <c r="D414" s="3">
        <v>89077</v>
      </c>
      <c r="E414">
        <v>43</v>
      </c>
      <c r="F414">
        <v>1</v>
      </c>
      <c r="G414">
        <v>35</v>
      </c>
      <c r="H414" t="s">
        <v>17</v>
      </c>
      <c r="I414">
        <v>547.85</v>
      </c>
      <c r="J414" t="str">
        <f t="shared" si="42"/>
        <v>Medium</v>
      </c>
      <c r="K414" s="4" t="e">
        <f t="shared" si="43"/>
        <v>#N/A</v>
      </c>
      <c r="L414" t="e">
        <f t="shared" si="44"/>
        <v>#N/A</v>
      </c>
      <c r="M414" s="3">
        <f t="shared" si="45"/>
        <v>89077</v>
      </c>
      <c r="N414">
        <f t="shared" si="46"/>
        <v>43</v>
      </c>
      <c r="O414" s="3" t="e">
        <f t="shared" si="47"/>
        <v>#N/A</v>
      </c>
      <c r="P414" t="e">
        <f t="shared" si="48"/>
        <v>#N/A</v>
      </c>
    </row>
    <row r="415" spans="1:16" x14ac:dyDescent="0.25">
      <c r="A415">
        <v>300</v>
      </c>
      <c r="B415">
        <v>55</v>
      </c>
      <c r="C415" t="s">
        <v>45</v>
      </c>
      <c r="D415" s="3">
        <v>144624</v>
      </c>
      <c r="E415">
        <v>38</v>
      </c>
      <c r="F415">
        <v>2</v>
      </c>
      <c r="G415">
        <v>23</v>
      </c>
      <c r="H415" t="s">
        <v>16</v>
      </c>
      <c r="I415">
        <v>652.26</v>
      </c>
      <c r="J415" t="str">
        <f t="shared" si="42"/>
        <v>High</v>
      </c>
      <c r="K415" s="4" t="e">
        <f t="shared" si="43"/>
        <v>#N/A</v>
      </c>
      <c r="L415" t="e">
        <f t="shared" si="44"/>
        <v>#N/A</v>
      </c>
      <c r="M415" s="3" t="e">
        <f t="shared" si="45"/>
        <v>#N/A</v>
      </c>
      <c r="N415" t="e">
        <f t="shared" si="46"/>
        <v>#N/A</v>
      </c>
      <c r="O415" s="3">
        <f t="shared" si="47"/>
        <v>144624</v>
      </c>
      <c r="P415">
        <f t="shared" si="48"/>
        <v>38</v>
      </c>
    </row>
    <row r="416" spans="1:16" x14ac:dyDescent="0.25">
      <c r="A416">
        <v>302</v>
      </c>
      <c r="B416">
        <v>50</v>
      </c>
      <c r="C416" t="s">
        <v>45</v>
      </c>
      <c r="D416" s="3">
        <v>130668</v>
      </c>
      <c r="E416">
        <v>39</v>
      </c>
      <c r="F416">
        <v>5</v>
      </c>
      <c r="G416">
        <v>25</v>
      </c>
      <c r="H416" t="s">
        <v>13</v>
      </c>
      <c r="I416">
        <v>69.81</v>
      </c>
      <c r="J416" t="str">
        <f t="shared" si="42"/>
        <v>High</v>
      </c>
      <c r="K416" s="4" t="e">
        <f t="shared" si="43"/>
        <v>#N/A</v>
      </c>
      <c r="L416" t="e">
        <f t="shared" si="44"/>
        <v>#N/A</v>
      </c>
      <c r="M416" s="3" t="e">
        <f t="shared" si="45"/>
        <v>#N/A</v>
      </c>
      <c r="N416" t="e">
        <f t="shared" si="46"/>
        <v>#N/A</v>
      </c>
      <c r="O416" s="3">
        <f t="shared" si="47"/>
        <v>130668</v>
      </c>
      <c r="P416">
        <f t="shared" si="48"/>
        <v>39</v>
      </c>
    </row>
    <row r="417" spans="1:16" x14ac:dyDescent="0.25">
      <c r="A417">
        <v>307</v>
      </c>
      <c r="B417">
        <v>26</v>
      </c>
      <c r="C417" t="s">
        <v>45</v>
      </c>
      <c r="D417" s="3">
        <v>135530</v>
      </c>
      <c r="E417">
        <v>81</v>
      </c>
      <c r="F417">
        <v>2</v>
      </c>
      <c r="G417">
        <v>12</v>
      </c>
      <c r="H417" t="s">
        <v>13</v>
      </c>
      <c r="I417">
        <v>126.35</v>
      </c>
      <c r="J417" t="str">
        <f t="shared" si="42"/>
        <v>High</v>
      </c>
      <c r="K417" s="4" t="e">
        <f t="shared" si="43"/>
        <v>#N/A</v>
      </c>
      <c r="L417" t="e">
        <f t="shared" si="44"/>
        <v>#N/A</v>
      </c>
      <c r="M417" s="3" t="e">
        <f t="shared" si="45"/>
        <v>#N/A</v>
      </c>
      <c r="N417" t="e">
        <f t="shared" si="46"/>
        <v>#N/A</v>
      </c>
      <c r="O417" s="3">
        <f t="shared" si="47"/>
        <v>135530</v>
      </c>
      <c r="P417">
        <f t="shared" si="48"/>
        <v>81</v>
      </c>
    </row>
    <row r="418" spans="1:16" x14ac:dyDescent="0.25">
      <c r="A418">
        <v>319</v>
      </c>
      <c r="B418">
        <v>61</v>
      </c>
      <c r="C418" t="s">
        <v>45</v>
      </c>
      <c r="D418" s="3">
        <v>47790</v>
      </c>
      <c r="E418">
        <v>67</v>
      </c>
      <c r="F418">
        <v>9</v>
      </c>
      <c r="G418">
        <v>5</v>
      </c>
      <c r="H418" t="s">
        <v>13</v>
      </c>
      <c r="I418">
        <v>714.29</v>
      </c>
      <c r="J418" t="str">
        <f t="shared" si="42"/>
        <v>Low</v>
      </c>
      <c r="K418" s="4">
        <f t="shared" si="43"/>
        <v>47790</v>
      </c>
      <c r="L418">
        <f t="shared" si="44"/>
        <v>67</v>
      </c>
      <c r="M418" s="3" t="e">
        <f t="shared" si="45"/>
        <v>#N/A</v>
      </c>
      <c r="N418" t="e">
        <f t="shared" si="46"/>
        <v>#N/A</v>
      </c>
      <c r="O418" s="3" t="e">
        <f t="shared" si="47"/>
        <v>#N/A</v>
      </c>
      <c r="P418" t="e">
        <f t="shared" si="48"/>
        <v>#N/A</v>
      </c>
    </row>
    <row r="419" spans="1:16" x14ac:dyDescent="0.25">
      <c r="A419">
        <v>322</v>
      </c>
      <c r="B419">
        <v>46</v>
      </c>
      <c r="C419" t="s">
        <v>45</v>
      </c>
      <c r="D419" s="3">
        <v>126553</v>
      </c>
      <c r="E419">
        <v>16</v>
      </c>
      <c r="F419">
        <v>2</v>
      </c>
      <c r="G419">
        <v>22</v>
      </c>
      <c r="H419" t="s">
        <v>13</v>
      </c>
      <c r="I419">
        <v>85.56</v>
      </c>
      <c r="J419" t="str">
        <f t="shared" si="42"/>
        <v>High</v>
      </c>
      <c r="K419" s="4" t="e">
        <f t="shared" si="43"/>
        <v>#N/A</v>
      </c>
      <c r="L419" t="e">
        <f t="shared" si="44"/>
        <v>#N/A</v>
      </c>
      <c r="M419" s="3" t="e">
        <f t="shared" si="45"/>
        <v>#N/A</v>
      </c>
      <c r="N419" t="e">
        <f t="shared" si="46"/>
        <v>#N/A</v>
      </c>
      <c r="O419" s="3">
        <f t="shared" si="47"/>
        <v>126553</v>
      </c>
      <c r="P419">
        <f t="shared" si="48"/>
        <v>16</v>
      </c>
    </row>
    <row r="420" spans="1:16" x14ac:dyDescent="0.25">
      <c r="A420">
        <v>323</v>
      </c>
      <c r="B420">
        <v>55</v>
      </c>
      <c r="C420" t="s">
        <v>45</v>
      </c>
      <c r="D420" s="3">
        <v>80006</v>
      </c>
      <c r="E420">
        <v>44</v>
      </c>
      <c r="F420">
        <v>2</v>
      </c>
      <c r="G420">
        <v>49</v>
      </c>
      <c r="H420" t="s">
        <v>17</v>
      </c>
      <c r="I420">
        <v>727.51</v>
      </c>
      <c r="J420" t="str">
        <f t="shared" si="42"/>
        <v>Medium</v>
      </c>
      <c r="K420" s="4" t="e">
        <f t="shared" si="43"/>
        <v>#N/A</v>
      </c>
      <c r="L420" t="e">
        <f t="shared" si="44"/>
        <v>#N/A</v>
      </c>
      <c r="M420" s="3">
        <f t="shared" si="45"/>
        <v>80006</v>
      </c>
      <c r="N420">
        <f t="shared" si="46"/>
        <v>44</v>
      </c>
      <c r="O420" s="3" t="e">
        <f t="shared" si="47"/>
        <v>#N/A</v>
      </c>
      <c r="P420" t="e">
        <f t="shared" si="48"/>
        <v>#N/A</v>
      </c>
    </row>
    <row r="421" spans="1:16" x14ac:dyDescent="0.25">
      <c r="A421">
        <v>325</v>
      </c>
      <c r="B421">
        <v>41</v>
      </c>
      <c r="C421" t="s">
        <v>45</v>
      </c>
      <c r="D421" s="3">
        <v>71410</v>
      </c>
      <c r="E421">
        <v>69</v>
      </c>
      <c r="F421">
        <v>1</v>
      </c>
      <c r="G421">
        <v>32</v>
      </c>
      <c r="H421" t="s">
        <v>13</v>
      </c>
      <c r="I421">
        <v>456.67</v>
      </c>
      <c r="J421" t="str">
        <f t="shared" si="42"/>
        <v>Medium</v>
      </c>
      <c r="K421" s="4" t="e">
        <f t="shared" si="43"/>
        <v>#N/A</v>
      </c>
      <c r="L421" t="e">
        <f t="shared" si="44"/>
        <v>#N/A</v>
      </c>
      <c r="M421" s="3">
        <f t="shared" si="45"/>
        <v>71410</v>
      </c>
      <c r="N421">
        <f t="shared" si="46"/>
        <v>69</v>
      </c>
      <c r="O421" s="3" t="e">
        <f t="shared" si="47"/>
        <v>#N/A</v>
      </c>
      <c r="P421" t="e">
        <f t="shared" si="48"/>
        <v>#N/A</v>
      </c>
    </row>
    <row r="422" spans="1:16" x14ac:dyDescent="0.25">
      <c r="A422">
        <v>326</v>
      </c>
      <c r="B422">
        <v>59</v>
      </c>
      <c r="C422" t="s">
        <v>45</v>
      </c>
      <c r="D422" s="3">
        <v>49020</v>
      </c>
      <c r="E422">
        <v>100</v>
      </c>
      <c r="F422">
        <v>2</v>
      </c>
      <c r="G422">
        <v>42</v>
      </c>
      <c r="H422" t="s">
        <v>16</v>
      </c>
      <c r="I422">
        <v>588.17999999999995</v>
      </c>
      <c r="J422" t="str">
        <f t="shared" si="42"/>
        <v>Low</v>
      </c>
      <c r="K422" s="4">
        <f t="shared" si="43"/>
        <v>49020</v>
      </c>
      <c r="L422">
        <f t="shared" si="44"/>
        <v>100</v>
      </c>
      <c r="M422" s="3" t="e">
        <f t="shared" si="45"/>
        <v>#N/A</v>
      </c>
      <c r="N422" t="e">
        <f t="shared" si="46"/>
        <v>#N/A</v>
      </c>
      <c r="O422" s="3" t="e">
        <f t="shared" si="47"/>
        <v>#N/A</v>
      </c>
      <c r="P422" t="e">
        <f t="shared" si="48"/>
        <v>#N/A</v>
      </c>
    </row>
    <row r="423" spans="1:16" x14ac:dyDescent="0.25">
      <c r="A423">
        <v>329</v>
      </c>
      <c r="B423">
        <v>68</v>
      </c>
      <c r="C423" t="s">
        <v>45</v>
      </c>
      <c r="D423" s="3">
        <v>76921</v>
      </c>
      <c r="E423">
        <v>79</v>
      </c>
      <c r="F423">
        <v>1</v>
      </c>
      <c r="G423">
        <v>23</v>
      </c>
      <c r="H423" t="s">
        <v>16</v>
      </c>
      <c r="I423">
        <v>122.02</v>
      </c>
      <c r="J423" t="str">
        <f t="shared" si="42"/>
        <v>Medium</v>
      </c>
      <c r="K423" s="4" t="e">
        <f t="shared" si="43"/>
        <v>#N/A</v>
      </c>
      <c r="L423" t="e">
        <f t="shared" si="44"/>
        <v>#N/A</v>
      </c>
      <c r="M423" s="3">
        <f t="shared" si="45"/>
        <v>76921</v>
      </c>
      <c r="N423">
        <f t="shared" si="46"/>
        <v>79</v>
      </c>
      <c r="O423" s="3" t="e">
        <f t="shared" si="47"/>
        <v>#N/A</v>
      </c>
      <c r="P423" t="e">
        <f t="shared" si="48"/>
        <v>#N/A</v>
      </c>
    </row>
    <row r="424" spans="1:16" x14ac:dyDescent="0.25">
      <c r="A424">
        <v>334</v>
      </c>
      <c r="B424">
        <v>58</v>
      </c>
      <c r="C424" t="s">
        <v>45</v>
      </c>
      <c r="D424" s="3">
        <v>99475</v>
      </c>
      <c r="E424">
        <v>27</v>
      </c>
      <c r="F424">
        <v>9</v>
      </c>
      <c r="G424">
        <v>9</v>
      </c>
      <c r="H424" t="s">
        <v>16</v>
      </c>
      <c r="I424">
        <v>249.39</v>
      </c>
      <c r="J424" t="str">
        <f t="shared" si="42"/>
        <v>Medium</v>
      </c>
      <c r="K424" s="4" t="e">
        <f t="shared" si="43"/>
        <v>#N/A</v>
      </c>
      <c r="L424" t="e">
        <f t="shared" si="44"/>
        <v>#N/A</v>
      </c>
      <c r="M424" s="3">
        <f t="shared" si="45"/>
        <v>99475</v>
      </c>
      <c r="N424">
        <f t="shared" si="46"/>
        <v>27</v>
      </c>
      <c r="O424" s="3" t="e">
        <f t="shared" si="47"/>
        <v>#N/A</v>
      </c>
      <c r="P424" t="e">
        <f t="shared" si="48"/>
        <v>#N/A</v>
      </c>
    </row>
    <row r="425" spans="1:16" x14ac:dyDescent="0.25">
      <c r="A425">
        <v>336</v>
      </c>
      <c r="B425">
        <v>40</v>
      </c>
      <c r="C425" t="s">
        <v>45</v>
      </c>
      <c r="D425" s="3">
        <v>107488</v>
      </c>
      <c r="E425">
        <v>96</v>
      </c>
      <c r="F425">
        <v>7</v>
      </c>
      <c r="G425">
        <v>16</v>
      </c>
      <c r="H425" t="s">
        <v>16</v>
      </c>
      <c r="I425">
        <v>843.6</v>
      </c>
      <c r="J425" t="str">
        <f t="shared" si="42"/>
        <v>High</v>
      </c>
      <c r="K425" s="4" t="e">
        <f t="shared" si="43"/>
        <v>#N/A</v>
      </c>
      <c r="L425" t="e">
        <f t="shared" si="44"/>
        <v>#N/A</v>
      </c>
      <c r="M425" s="3" t="e">
        <f t="shared" si="45"/>
        <v>#N/A</v>
      </c>
      <c r="N425" t="e">
        <f t="shared" si="46"/>
        <v>#N/A</v>
      </c>
      <c r="O425" s="3">
        <f t="shared" si="47"/>
        <v>107488</v>
      </c>
      <c r="P425">
        <f t="shared" si="48"/>
        <v>96</v>
      </c>
    </row>
    <row r="426" spans="1:16" x14ac:dyDescent="0.25">
      <c r="A426">
        <v>338</v>
      </c>
      <c r="B426">
        <v>42</v>
      </c>
      <c r="C426" t="s">
        <v>45</v>
      </c>
      <c r="D426" s="3">
        <v>115381</v>
      </c>
      <c r="E426">
        <v>70</v>
      </c>
      <c r="F426">
        <v>7</v>
      </c>
      <c r="G426">
        <v>33</v>
      </c>
      <c r="H426" t="s">
        <v>13</v>
      </c>
      <c r="I426">
        <v>592.52</v>
      </c>
      <c r="J426" t="str">
        <f t="shared" si="42"/>
        <v>High</v>
      </c>
      <c r="K426" s="4" t="e">
        <f t="shared" si="43"/>
        <v>#N/A</v>
      </c>
      <c r="L426" t="e">
        <f t="shared" si="44"/>
        <v>#N/A</v>
      </c>
      <c r="M426" s="3" t="e">
        <f t="shared" si="45"/>
        <v>#N/A</v>
      </c>
      <c r="N426" t="e">
        <f t="shared" si="46"/>
        <v>#N/A</v>
      </c>
      <c r="O426" s="3">
        <f t="shared" si="47"/>
        <v>115381</v>
      </c>
      <c r="P426">
        <f t="shared" si="48"/>
        <v>70</v>
      </c>
    </row>
    <row r="427" spans="1:16" x14ac:dyDescent="0.25">
      <c r="A427">
        <v>340</v>
      </c>
      <c r="B427">
        <v>48</v>
      </c>
      <c r="C427" t="s">
        <v>45</v>
      </c>
      <c r="D427" s="3">
        <v>30374</v>
      </c>
      <c r="E427">
        <v>28</v>
      </c>
      <c r="F427">
        <v>7</v>
      </c>
      <c r="G427">
        <v>34</v>
      </c>
      <c r="H427" t="s">
        <v>16</v>
      </c>
      <c r="I427">
        <v>463.78</v>
      </c>
      <c r="J427" t="str">
        <f t="shared" si="42"/>
        <v>Low</v>
      </c>
      <c r="K427" s="4">
        <f t="shared" si="43"/>
        <v>30374</v>
      </c>
      <c r="L427">
        <f t="shared" si="44"/>
        <v>28</v>
      </c>
      <c r="M427" s="3" t="e">
        <f t="shared" si="45"/>
        <v>#N/A</v>
      </c>
      <c r="N427" t="e">
        <f t="shared" si="46"/>
        <v>#N/A</v>
      </c>
      <c r="O427" s="3" t="e">
        <f t="shared" si="47"/>
        <v>#N/A</v>
      </c>
      <c r="P427" t="e">
        <f t="shared" si="48"/>
        <v>#N/A</v>
      </c>
    </row>
    <row r="428" spans="1:16" x14ac:dyDescent="0.25">
      <c r="A428">
        <v>351</v>
      </c>
      <c r="B428">
        <v>68</v>
      </c>
      <c r="C428" t="s">
        <v>45</v>
      </c>
      <c r="D428" s="3">
        <v>122661</v>
      </c>
      <c r="E428">
        <v>16</v>
      </c>
      <c r="F428">
        <v>4</v>
      </c>
      <c r="G428">
        <v>48</v>
      </c>
      <c r="H428" t="s">
        <v>16</v>
      </c>
      <c r="I428">
        <v>85.44</v>
      </c>
      <c r="J428" t="str">
        <f t="shared" si="42"/>
        <v>High</v>
      </c>
      <c r="K428" s="4" t="e">
        <f t="shared" si="43"/>
        <v>#N/A</v>
      </c>
      <c r="L428" t="e">
        <f t="shared" si="44"/>
        <v>#N/A</v>
      </c>
      <c r="M428" s="3" t="e">
        <f t="shared" si="45"/>
        <v>#N/A</v>
      </c>
      <c r="N428" t="e">
        <f t="shared" si="46"/>
        <v>#N/A</v>
      </c>
      <c r="O428" s="3">
        <f t="shared" si="47"/>
        <v>122661</v>
      </c>
      <c r="P428">
        <f t="shared" si="48"/>
        <v>16</v>
      </c>
    </row>
    <row r="429" spans="1:16" x14ac:dyDescent="0.25">
      <c r="A429">
        <v>353</v>
      </c>
      <c r="B429">
        <v>61</v>
      </c>
      <c r="C429" t="s">
        <v>45</v>
      </c>
      <c r="D429" s="3">
        <v>120516</v>
      </c>
      <c r="E429">
        <v>100</v>
      </c>
      <c r="F429">
        <v>10</v>
      </c>
      <c r="G429">
        <v>47</v>
      </c>
      <c r="H429" t="s">
        <v>13</v>
      </c>
      <c r="I429">
        <v>475.52</v>
      </c>
      <c r="J429" t="str">
        <f t="shared" si="42"/>
        <v>High</v>
      </c>
      <c r="K429" s="4" t="e">
        <f t="shared" si="43"/>
        <v>#N/A</v>
      </c>
      <c r="L429" t="e">
        <f t="shared" si="44"/>
        <v>#N/A</v>
      </c>
      <c r="M429" s="3" t="e">
        <f t="shared" si="45"/>
        <v>#N/A</v>
      </c>
      <c r="N429" t="e">
        <f t="shared" si="46"/>
        <v>#N/A</v>
      </c>
      <c r="O429" s="3">
        <f t="shared" si="47"/>
        <v>120516</v>
      </c>
      <c r="P429">
        <f t="shared" si="48"/>
        <v>100</v>
      </c>
    </row>
    <row r="430" spans="1:16" x14ac:dyDescent="0.25">
      <c r="A430">
        <v>356</v>
      </c>
      <c r="B430">
        <v>32</v>
      </c>
      <c r="C430" t="s">
        <v>45</v>
      </c>
      <c r="D430" s="3">
        <v>94627</v>
      </c>
      <c r="E430">
        <v>88</v>
      </c>
      <c r="F430">
        <v>9</v>
      </c>
      <c r="G430">
        <v>30</v>
      </c>
      <c r="H430" t="s">
        <v>17</v>
      </c>
      <c r="I430">
        <v>703.94</v>
      </c>
      <c r="J430" t="str">
        <f t="shared" si="42"/>
        <v>Medium</v>
      </c>
      <c r="K430" s="4" t="e">
        <f t="shared" si="43"/>
        <v>#N/A</v>
      </c>
      <c r="L430" t="e">
        <f t="shared" si="44"/>
        <v>#N/A</v>
      </c>
      <c r="M430" s="3">
        <f t="shared" si="45"/>
        <v>94627</v>
      </c>
      <c r="N430">
        <f t="shared" si="46"/>
        <v>88</v>
      </c>
      <c r="O430" s="3" t="e">
        <f t="shared" si="47"/>
        <v>#N/A</v>
      </c>
      <c r="P430" t="e">
        <f t="shared" si="48"/>
        <v>#N/A</v>
      </c>
    </row>
    <row r="431" spans="1:16" x14ac:dyDescent="0.25">
      <c r="A431">
        <v>357</v>
      </c>
      <c r="B431">
        <v>49</v>
      </c>
      <c r="C431" t="s">
        <v>45</v>
      </c>
      <c r="D431" s="3">
        <v>103191</v>
      </c>
      <c r="E431">
        <v>34</v>
      </c>
      <c r="F431">
        <v>5</v>
      </c>
      <c r="G431">
        <v>41</v>
      </c>
      <c r="H431" t="s">
        <v>17</v>
      </c>
      <c r="I431">
        <v>253.63</v>
      </c>
      <c r="J431" t="str">
        <f t="shared" si="42"/>
        <v>High</v>
      </c>
      <c r="K431" s="4" t="e">
        <f t="shared" si="43"/>
        <v>#N/A</v>
      </c>
      <c r="L431" t="e">
        <f t="shared" si="44"/>
        <v>#N/A</v>
      </c>
      <c r="M431" s="3" t="e">
        <f t="shared" si="45"/>
        <v>#N/A</v>
      </c>
      <c r="N431" t="e">
        <f t="shared" si="46"/>
        <v>#N/A</v>
      </c>
      <c r="O431" s="3">
        <f t="shared" si="47"/>
        <v>103191</v>
      </c>
      <c r="P431">
        <f t="shared" si="48"/>
        <v>34</v>
      </c>
    </row>
    <row r="432" spans="1:16" x14ac:dyDescent="0.25">
      <c r="A432">
        <v>363</v>
      </c>
      <c r="B432">
        <v>26</v>
      </c>
      <c r="C432" t="s">
        <v>45</v>
      </c>
      <c r="D432" s="3">
        <v>149741</v>
      </c>
      <c r="E432">
        <v>51</v>
      </c>
      <c r="F432">
        <v>4</v>
      </c>
      <c r="G432">
        <v>37</v>
      </c>
      <c r="H432" t="s">
        <v>13</v>
      </c>
      <c r="I432">
        <v>685.36</v>
      </c>
      <c r="J432" t="str">
        <f t="shared" si="42"/>
        <v>High</v>
      </c>
      <c r="K432" s="4" t="e">
        <f t="shared" si="43"/>
        <v>#N/A</v>
      </c>
      <c r="L432" t="e">
        <f t="shared" si="44"/>
        <v>#N/A</v>
      </c>
      <c r="M432" s="3" t="e">
        <f t="shared" si="45"/>
        <v>#N/A</v>
      </c>
      <c r="N432" t="e">
        <f t="shared" si="46"/>
        <v>#N/A</v>
      </c>
      <c r="O432" s="3">
        <f t="shared" si="47"/>
        <v>149741</v>
      </c>
      <c r="P432">
        <f t="shared" si="48"/>
        <v>51</v>
      </c>
    </row>
    <row r="433" spans="1:16" x14ac:dyDescent="0.25">
      <c r="A433">
        <v>365</v>
      </c>
      <c r="B433">
        <v>21</v>
      </c>
      <c r="C433" t="s">
        <v>45</v>
      </c>
      <c r="D433" s="3">
        <v>90000</v>
      </c>
      <c r="E433">
        <v>42</v>
      </c>
      <c r="F433">
        <v>4</v>
      </c>
      <c r="G433">
        <v>23</v>
      </c>
      <c r="H433" t="s">
        <v>13</v>
      </c>
      <c r="I433">
        <v>278.14999999999998</v>
      </c>
      <c r="J433" t="str">
        <f t="shared" si="42"/>
        <v>Medium</v>
      </c>
      <c r="K433" s="4" t="e">
        <f t="shared" si="43"/>
        <v>#N/A</v>
      </c>
      <c r="L433" t="e">
        <f t="shared" si="44"/>
        <v>#N/A</v>
      </c>
      <c r="M433" s="3">
        <f t="shared" si="45"/>
        <v>90000</v>
      </c>
      <c r="N433">
        <f t="shared" si="46"/>
        <v>42</v>
      </c>
      <c r="O433" s="3" t="e">
        <f t="shared" si="47"/>
        <v>#N/A</v>
      </c>
      <c r="P433" t="e">
        <f t="shared" si="48"/>
        <v>#N/A</v>
      </c>
    </row>
    <row r="434" spans="1:16" x14ac:dyDescent="0.25">
      <c r="A434">
        <v>366</v>
      </c>
      <c r="B434">
        <v>19</v>
      </c>
      <c r="C434" t="s">
        <v>45</v>
      </c>
      <c r="D434" s="3">
        <v>105019</v>
      </c>
      <c r="E434">
        <v>84</v>
      </c>
      <c r="F434">
        <v>8</v>
      </c>
      <c r="G434">
        <v>32</v>
      </c>
      <c r="H434" t="s">
        <v>17</v>
      </c>
      <c r="I434">
        <v>735.3</v>
      </c>
      <c r="J434" t="str">
        <f t="shared" si="42"/>
        <v>High</v>
      </c>
      <c r="K434" s="4" t="e">
        <f t="shared" si="43"/>
        <v>#N/A</v>
      </c>
      <c r="L434" t="e">
        <f t="shared" si="44"/>
        <v>#N/A</v>
      </c>
      <c r="M434" s="3" t="e">
        <f t="shared" si="45"/>
        <v>#N/A</v>
      </c>
      <c r="N434" t="e">
        <f t="shared" si="46"/>
        <v>#N/A</v>
      </c>
      <c r="O434" s="3">
        <f t="shared" si="47"/>
        <v>105019</v>
      </c>
      <c r="P434">
        <f t="shared" si="48"/>
        <v>84</v>
      </c>
    </row>
    <row r="435" spans="1:16" x14ac:dyDescent="0.25">
      <c r="A435">
        <v>396</v>
      </c>
      <c r="B435">
        <v>54</v>
      </c>
      <c r="C435" t="s">
        <v>45</v>
      </c>
      <c r="D435" s="3">
        <v>87418</v>
      </c>
      <c r="E435">
        <v>21</v>
      </c>
      <c r="F435">
        <v>2</v>
      </c>
      <c r="G435">
        <v>27</v>
      </c>
      <c r="H435" t="s">
        <v>16</v>
      </c>
      <c r="I435">
        <v>846.76</v>
      </c>
      <c r="J435" t="str">
        <f t="shared" si="42"/>
        <v>Medium</v>
      </c>
      <c r="K435" s="4" t="e">
        <f t="shared" si="43"/>
        <v>#N/A</v>
      </c>
      <c r="L435" t="e">
        <f t="shared" si="44"/>
        <v>#N/A</v>
      </c>
      <c r="M435" s="3">
        <f t="shared" si="45"/>
        <v>87418</v>
      </c>
      <c r="N435">
        <f t="shared" si="46"/>
        <v>21</v>
      </c>
      <c r="O435" s="3" t="e">
        <f t="shared" si="47"/>
        <v>#N/A</v>
      </c>
      <c r="P435" t="e">
        <f t="shared" si="48"/>
        <v>#N/A</v>
      </c>
    </row>
    <row r="436" spans="1:16" x14ac:dyDescent="0.25">
      <c r="A436">
        <v>403</v>
      </c>
      <c r="B436">
        <v>40</v>
      </c>
      <c r="C436" t="s">
        <v>45</v>
      </c>
      <c r="D436" s="3">
        <v>127948</v>
      </c>
      <c r="E436">
        <v>29</v>
      </c>
      <c r="F436">
        <v>6</v>
      </c>
      <c r="G436">
        <v>26</v>
      </c>
      <c r="H436" t="s">
        <v>16</v>
      </c>
      <c r="I436">
        <v>144.78</v>
      </c>
      <c r="J436" t="str">
        <f t="shared" si="42"/>
        <v>High</v>
      </c>
      <c r="K436" s="4" t="e">
        <f t="shared" si="43"/>
        <v>#N/A</v>
      </c>
      <c r="L436" t="e">
        <f t="shared" si="44"/>
        <v>#N/A</v>
      </c>
      <c r="M436" s="3" t="e">
        <f t="shared" si="45"/>
        <v>#N/A</v>
      </c>
      <c r="N436" t="e">
        <f t="shared" si="46"/>
        <v>#N/A</v>
      </c>
      <c r="O436" s="3">
        <f t="shared" si="47"/>
        <v>127948</v>
      </c>
      <c r="P436">
        <f t="shared" si="48"/>
        <v>29</v>
      </c>
    </row>
    <row r="437" spans="1:16" x14ac:dyDescent="0.25">
      <c r="A437">
        <v>406</v>
      </c>
      <c r="B437">
        <v>29</v>
      </c>
      <c r="C437" t="s">
        <v>45</v>
      </c>
      <c r="D437" s="3">
        <v>141369</v>
      </c>
      <c r="E437">
        <v>42</v>
      </c>
      <c r="F437">
        <v>10</v>
      </c>
      <c r="G437">
        <v>16</v>
      </c>
      <c r="H437" t="s">
        <v>13</v>
      </c>
      <c r="I437">
        <v>862.54</v>
      </c>
      <c r="J437" t="str">
        <f t="shared" si="42"/>
        <v>High</v>
      </c>
      <c r="K437" s="4" t="e">
        <f t="shared" si="43"/>
        <v>#N/A</v>
      </c>
      <c r="L437" t="e">
        <f t="shared" si="44"/>
        <v>#N/A</v>
      </c>
      <c r="M437" s="3" t="e">
        <f t="shared" si="45"/>
        <v>#N/A</v>
      </c>
      <c r="N437" t="e">
        <f t="shared" si="46"/>
        <v>#N/A</v>
      </c>
      <c r="O437" s="3">
        <f t="shared" si="47"/>
        <v>141369</v>
      </c>
      <c r="P437">
        <f t="shared" si="48"/>
        <v>42</v>
      </c>
    </row>
    <row r="438" spans="1:16" x14ac:dyDescent="0.25">
      <c r="A438">
        <v>407</v>
      </c>
      <c r="B438">
        <v>24</v>
      </c>
      <c r="C438" t="s">
        <v>45</v>
      </c>
      <c r="D438" s="3">
        <v>119844</v>
      </c>
      <c r="E438">
        <v>78</v>
      </c>
      <c r="F438">
        <v>4</v>
      </c>
      <c r="G438">
        <v>6</v>
      </c>
      <c r="H438" t="s">
        <v>16</v>
      </c>
      <c r="I438">
        <v>572.30999999999995</v>
      </c>
      <c r="J438" t="str">
        <f t="shared" si="42"/>
        <v>High</v>
      </c>
      <c r="K438" s="4" t="e">
        <f t="shared" si="43"/>
        <v>#N/A</v>
      </c>
      <c r="L438" t="e">
        <f t="shared" si="44"/>
        <v>#N/A</v>
      </c>
      <c r="M438" s="3" t="e">
        <f t="shared" si="45"/>
        <v>#N/A</v>
      </c>
      <c r="N438" t="e">
        <f t="shared" si="46"/>
        <v>#N/A</v>
      </c>
      <c r="O438" s="3">
        <f t="shared" si="47"/>
        <v>119844</v>
      </c>
      <c r="P438">
        <f t="shared" si="48"/>
        <v>78</v>
      </c>
    </row>
    <row r="439" spans="1:16" x14ac:dyDescent="0.25">
      <c r="A439">
        <v>408</v>
      </c>
      <c r="B439">
        <v>40</v>
      </c>
      <c r="C439" t="s">
        <v>45</v>
      </c>
      <c r="D439" s="3">
        <v>135305</v>
      </c>
      <c r="E439">
        <v>54</v>
      </c>
      <c r="F439">
        <v>8</v>
      </c>
      <c r="G439">
        <v>29</v>
      </c>
      <c r="H439" t="s">
        <v>17</v>
      </c>
      <c r="I439">
        <v>831.6</v>
      </c>
      <c r="J439" t="str">
        <f t="shared" si="42"/>
        <v>High</v>
      </c>
      <c r="K439" s="4" t="e">
        <f t="shared" si="43"/>
        <v>#N/A</v>
      </c>
      <c r="L439" t="e">
        <f t="shared" si="44"/>
        <v>#N/A</v>
      </c>
      <c r="M439" s="3" t="e">
        <f t="shared" si="45"/>
        <v>#N/A</v>
      </c>
      <c r="N439" t="e">
        <f t="shared" si="46"/>
        <v>#N/A</v>
      </c>
      <c r="O439" s="3">
        <f t="shared" si="47"/>
        <v>135305</v>
      </c>
      <c r="P439">
        <f t="shared" si="48"/>
        <v>54</v>
      </c>
    </row>
    <row r="440" spans="1:16" x14ac:dyDescent="0.25">
      <c r="A440">
        <v>412</v>
      </c>
      <c r="B440">
        <v>61</v>
      </c>
      <c r="C440" t="s">
        <v>45</v>
      </c>
      <c r="D440" s="3">
        <v>80988</v>
      </c>
      <c r="E440">
        <v>34</v>
      </c>
      <c r="F440">
        <v>8</v>
      </c>
      <c r="G440">
        <v>14</v>
      </c>
      <c r="H440" t="s">
        <v>17</v>
      </c>
      <c r="I440">
        <v>937.86</v>
      </c>
      <c r="J440" t="str">
        <f t="shared" si="42"/>
        <v>Medium</v>
      </c>
      <c r="K440" s="4" t="e">
        <f t="shared" si="43"/>
        <v>#N/A</v>
      </c>
      <c r="L440" t="e">
        <f t="shared" si="44"/>
        <v>#N/A</v>
      </c>
      <c r="M440" s="3">
        <f t="shared" si="45"/>
        <v>80988</v>
      </c>
      <c r="N440">
        <f t="shared" si="46"/>
        <v>34</v>
      </c>
      <c r="O440" s="3" t="e">
        <f t="shared" si="47"/>
        <v>#N/A</v>
      </c>
      <c r="P440" t="e">
        <f t="shared" si="48"/>
        <v>#N/A</v>
      </c>
    </row>
    <row r="441" spans="1:16" x14ac:dyDescent="0.25">
      <c r="A441">
        <v>417</v>
      </c>
      <c r="B441">
        <v>52</v>
      </c>
      <c r="C441" t="s">
        <v>45</v>
      </c>
      <c r="D441" s="3">
        <v>101105</v>
      </c>
      <c r="E441">
        <v>11</v>
      </c>
      <c r="F441">
        <v>9</v>
      </c>
      <c r="G441">
        <v>2</v>
      </c>
      <c r="H441" t="s">
        <v>13</v>
      </c>
      <c r="I441">
        <v>714.72</v>
      </c>
      <c r="J441" t="str">
        <f t="shared" si="42"/>
        <v>High</v>
      </c>
      <c r="K441" s="4" t="e">
        <f t="shared" si="43"/>
        <v>#N/A</v>
      </c>
      <c r="L441" t="e">
        <f t="shared" si="44"/>
        <v>#N/A</v>
      </c>
      <c r="M441" s="3" t="e">
        <f t="shared" si="45"/>
        <v>#N/A</v>
      </c>
      <c r="N441" t="e">
        <f t="shared" si="46"/>
        <v>#N/A</v>
      </c>
      <c r="O441" s="3">
        <f t="shared" si="47"/>
        <v>101105</v>
      </c>
      <c r="P441">
        <f t="shared" si="48"/>
        <v>11</v>
      </c>
    </row>
    <row r="442" spans="1:16" x14ac:dyDescent="0.25">
      <c r="A442">
        <v>419</v>
      </c>
      <c r="B442">
        <v>64</v>
      </c>
      <c r="C442" t="s">
        <v>45</v>
      </c>
      <c r="D442" s="3">
        <v>71594</v>
      </c>
      <c r="E442">
        <v>40</v>
      </c>
      <c r="F442">
        <v>4</v>
      </c>
      <c r="G442">
        <v>42</v>
      </c>
      <c r="H442" t="s">
        <v>17</v>
      </c>
      <c r="I442">
        <v>487.73</v>
      </c>
      <c r="J442" t="str">
        <f t="shared" si="42"/>
        <v>Medium</v>
      </c>
      <c r="K442" s="4" t="e">
        <f t="shared" si="43"/>
        <v>#N/A</v>
      </c>
      <c r="L442" t="e">
        <f t="shared" si="44"/>
        <v>#N/A</v>
      </c>
      <c r="M442" s="3">
        <f t="shared" si="45"/>
        <v>71594</v>
      </c>
      <c r="N442">
        <f t="shared" si="46"/>
        <v>40</v>
      </c>
      <c r="O442" s="3" t="e">
        <f t="shared" si="47"/>
        <v>#N/A</v>
      </c>
      <c r="P442" t="e">
        <f t="shared" si="48"/>
        <v>#N/A</v>
      </c>
    </row>
    <row r="443" spans="1:16" x14ac:dyDescent="0.25">
      <c r="A443">
        <v>422</v>
      </c>
      <c r="B443">
        <v>56</v>
      </c>
      <c r="C443" t="s">
        <v>45</v>
      </c>
      <c r="D443" s="3">
        <v>36843</v>
      </c>
      <c r="E443">
        <v>46</v>
      </c>
      <c r="F443">
        <v>7</v>
      </c>
      <c r="G443">
        <v>12</v>
      </c>
      <c r="H443" t="s">
        <v>13</v>
      </c>
      <c r="I443">
        <v>22.15</v>
      </c>
      <c r="J443" t="str">
        <f t="shared" si="42"/>
        <v>Low</v>
      </c>
      <c r="K443" s="4">
        <f t="shared" si="43"/>
        <v>36843</v>
      </c>
      <c r="L443">
        <f t="shared" si="44"/>
        <v>46</v>
      </c>
      <c r="M443" s="3" t="e">
        <f t="shared" si="45"/>
        <v>#N/A</v>
      </c>
      <c r="N443" t="e">
        <f t="shared" si="46"/>
        <v>#N/A</v>
      </c>
      <c r="O443" s="3" t="e">
        <f t="shared" si="47"/>
        <v>#N/A</v>
      </c>
      <c r="P443" t="e">
        <f t="shared" si="48"/>
        <v>#N/A</v>
      </c>
    </row>
    <row r="444" spans="1:16" x14ac:dyDescent="0.25">
      <c r="A444">
        <v>428</v>
      </c>
      <c r="B444">
        <v>54</v>
      </c>
      <c r="C444" t="s">
        <v>45</v>
      </c>
      <c r="D444" s="3">
        <v>90780</v>
      </c>
      <c r="E444">
        <v>24</v>
      </c>
      <c r="F444">
        <v>3</v>
      </c>
      <c r="G444">
        <v>46</v>
      </c>
      <c r="H444" t="s">
        <v>16</v>
      </c>
      <c r="I444">
        <v>824.65</v>
      </c>
      <c r="J444" t="str">
        <f t="shared" si="42"/>
        <v>Medium</v>
      </c>
      <c r="K444" s="4" t="e">
        <f t="shared" si="43"/>
        <v>#N/A</v>
      </c>
      <c r="L444" t="e">
        <f t="shared" si="44"/>
        <v>#N/A</v>
      </c>
      <c r="M444" s="3">
        <f t="shared" si="45"/>
        <v>90780</v>
      </c>
      <c r="N444">
        <f t="shared" si="46"/>
        <v>24</v>
      </c>
      <c r="O444" s="3" t="e">
        <f t="shared" si="47"/>
        <v>#N/A</v>
      </c>
      <c r="P444" t="e">
        <f t="shared" si="48"/>
        <v>#N/A</v>
      </c>
    </row>
    <row r="445" spans="1:16" x14ac:dyDescent="0.25">
      <c r="A445">
        <v>430</v>
      </c>
      <c r="B445">
        <v>64</v>
      </c>
      <c r="C445" t="s">
        <v>45</v>
      </c>
      <c r="D445" s="3">
        <v>124369</v>
      </c>
      <c r="E445">
        <v>74</v>
      </c>
      <c r="F445">
        <v>2</v>
      </c>
      <c r="G445">
        <v>3</v>
      </c>
      <c r="H445" t="s">
        <v>13</v>
      </c>
      <c r="I445">
        <v>275.39999999999998</v>
      </c>
      <c r="J445" t="str">
        <f t="shared" si="42"/>
        <v>High</v>
      </c>
      <c r="K445" s="4" t="e">
        <f t="shared" si="43"/>
        <v>#N/A</v>
      </c>
      <c r="L445" t="e">
        <f t="shared" si="44"/>
        <v>#N/A</v>
      </c>
      <c r="M445" s="3" t="e">
        <f t="shared" si="45"/>
        <v>#N/A</v>
      </c>
      <c r="N445" t="e">
        <f t="shared" si="46"/>
        <v>#N/A</v>
      </c>
      <c r="O445" s="3">
        <f t="shared" si="47"/>
        <v>124369</v>
      </c>
      <c r="P445">
        <f t="shared" si="48"/>
        <v>74</v>
      </c>
    </row>
    <row r="446" spans="1:16" x14ac:dyDescent="0.25">
      <c r="A446">
        <v>437</v>
      </c>
      <c r="B446">
        <v>48</v>
      </c>
      <c r="C446" t="s">
        <v>45</v>
      </c>
      <c r="D446" s="3">
        <v>51565</v>
      </c>
      <c r="E446">
        <v>44</v>
      </c>
      <c r="F446">
        <v>5</v>
      </c>
      <c r="G446">
        <v>20</v>
      </c>
      <c r="H446" t="s">
        <v>16</v>
      </c>
      <c r="I446">
        <v>552.48</v>
      </c>
      <c r="J446" t="str">
        <f t="shared" si="42"/>
        <v>Medium</v>
      </c>
      <c r="K446" s="4" t="e">
        <f t="shared" si="43"/>
        <v>#N/A</v>
      </c>
      <c r="L446" t="e">
        <f t="shared" si="44"/>
        <v>#N/A</v>
      </c>
      <c r="M446" s="3">
        <f t="shared" si="45"/>
        <v>51565</v>
      </c>
      <c r="N446">
        <f t="shared" si="46"/>
        <v>44</v>
      </c>
      <c r="O446" s="3" t="e">
        <f t="shared" si="47"/>
        <v>#N/A</v>
      </c>
      <c r="P446" t="e">
        <f t="shared" si="48"/>
        <v>#N/A</v>
      </c>
    </row>
    <row r="447" spans="1:16" x14ac:dyDescent="0.25">
      <c r="A447">
        <v>444</v>
      </c>
      <c r="B447">
        <v>62</v>
      </c>
      <c r="C447" t="s">
        <v>45</v>
      </c>
      <c r="D447" s="3">
        <v>59481</v>
      </c>
      <c r="E447">
        <v>30</v>
      </c>
      <c r="F447">
        <v>4</v>
      </c>
      <c r="G447">
        <v>35</v>
      </c>
      <c r="H447" t="s">
        <v>17</v>
      </c>
      <c r="I447">
        <v>121</v>
      </c>
      <c r="J447" t="str">
        <f t="shared" si="42"/>
        <v>Medium</v>
      </c>
      <c r="K447" s="4" t="e">
        <f t="shared" si="43"/>
        <v>#N/A</v>
      </c>
      <c r="L447" t="e">
        <f t="shared" si="44"/>
        <v>#N/A</v>
      </c>
      <c r="M447" s="3">
        <f t="shared" si="45"/>
        <v>59481</v>
      </c>
      <c r="N447">
        <f t="shared" si="46"/>
        <v>30</v>
      </c>
      <c r="O447" s="3" t="e">
        <f t="shared" si="47"/>
        <v>#N/A</v>
      </c>
      <c r="P447" t="e">
        <f t="shared" si="48"/>
        <v>#N/A</v>
      </c>
    </row>
    <row r="448" spans="1:16" x14ac:dyDescent="0.25">
      <c r="A448">
        <v>447</v>
      </c>
      <c r="B448">
        <v>27</v>
      </c>
      <c r="C448" t="s">
        <v>45</v>
      </c>
      <c r="D448" s="3">
        <v>68689</v>
      </c>
      <c r="E448">
        <v>83</v>
      </c>
      <c r="F448">
        <v>8</v>
      </c>
      <c r="G448">
        <v>33</v>
      </c>
      <c r="H448" t="s">
        <v>16</v>
      </c>
      <c r="I448">
        <v>782.58</v>
      </c>
      <c r="J448" t="str">
        <f t="shared" si="42"/>
        <v>Medium</v>
      </c>
      <c r="K448" s="4" t="e">
        <f t="shared" si="43"/>
        <v>#N/A</v>
      </c>
      <c r="L448" t="e">
        <f t="shared" si="44"/>
        <v>#N/A</v>
      </c>
      <c r="M448" s="3">
        <f t="shared" si="45"/>
        <v>68689</v>
      </c>
      <c r="N448">
        <f t="shared" si="46"/>
        <v>83</v>
      </c>
      <c r="O448" s="3" t="e">
        <f t="shared" si="47"/>
        <v>#N/A</v>
      </c>
      <c r="P448" t="e">
        <f t="shared" si="48"/>
        <v>#N/A</v>
      </c>
    </row>
    <row r="449" spans="1:16" x14ac:dyDescent="0.25">
      <c r="A449">
        <v>451</v>
      </c>
      <c r="B449">
        <v>24</v>
      </c>
      <c r="C449" t="s">
        <v>45</v>
      </c>
      <c r="D449" s="3">
        <v>147555</v>
      </c>
      <c r="E449">
        <v>65</v>
      </c>
      <c r="F449">
        <v>4</v>
      </c>
      <c r="G449">
        <v>28</v>
      </c>
      <c r="H449" t="s">
        <v>16</v>
      </c>
      <c r="I449">
        <v>434.84</v>
      </c>
      <c r="J449" t="str">
        <f t="shared" si="42"/>
        <v>High</v>
      </c>
      <c r="K449" s="4" t="e">
        <f t="shared" si="43"/>
        <v>#N/A</v>
      </c>
      <c r="L449" t="e">
        <f t="shared" si="44"/>
        <v>#N/A</v>
      </c>
      <c r="M449" s="3" t="e">
        <f t="shared" si="45"/>
        <v>#N/A</v>
      </c>
      <c r="N449" t="e">
        <f t="shared" si="46"/>
        <v>#N/A</v>
      </c>
      <c r="O449" s="3">
        <f t="shared" si="47"/>
        <v>147555</v>
      </c>
      <c r="P449">
        <f t="shared" si="48"/>
        <v>65</v>
      </c>
    </row>
    <row r="450" spans="1:16" x14ac:dyDescent="0.25">
      <c r="A450">
        <v>456</v>
      </c>
      <c r="B450">
        <v>61</v>
      </c>
      <c r="C450" t="s">
        <v>45</v>
      </c>
      <c r="D450" s="3">
        <v>57851</v>
      </c>
      <c r="E450">
        <v>46</v>
      </c>
      <c r="F450">
        <v>3</v>
      </c>
      <c r="G450">
        <v>5</v>
      </c>
      <c r="H450" t="s">
        <v>17</v>
      </c>
      <c r="I450">
        <v>604.29</v>
      </c>
      <c r="J450" t="str">
        <f t="shared" ref="J450:J513" si="49">IF(D450&lt;50000,"Low",IF(D450&lt;100000,"Medium","High"))</f>
        <v>Medium</v>
      </c>
      <c r="K450" s="4" t="e">
        <f t="shared" ref="K450:K513" si="50">IF($J450="Low",$D450,NA())</f>
        <v>#N/A</v>
      </c>
      <c r="L450" t="e">
        <f t="shared" ref="L450:L513" si="51">IF($J450="Low",$E450,NA())</f>
        <v>#N/A</v>
      </c>
      <c r="M450" s="3">
        <f t="shared" ref="M450:M513" si="52">IF($J450="Medium",$D450,NA())</f>
        <v>57851</v>
      </c>
      <c r="N450">
        <f t="shared" ref="N450:N513" si="53">IF($J450="Medium",$E450,NA())</f>
        <v>46</v>
      </c>
      <c r="O450" s="3" t="e">
        <f t="shared" ref="O450:O513" si="54">IF($J450="High",$D450,NA())</f>
        <v>#N/A</v>
      </c>
      <c r="P450" t="e">
        <f t="shared" ref="P450:P513" si="55">IF($J450="High",$E450,NA())</f>
        <v>#N/A</v>
      </c>
    </row>
    <row r="451" spans="1:16" x14ac:dyDescent="0.25">
      <c r="A451">
        <v>459</v>
      </c>
      <c r="B451">
        <v>30</v>
      </c>
      <c r="C451" t="s">
        <v>45</v>
      </c>
      <c r="D451" s="3">
        <v>100399</v>
      </c>
      <c r="E451">
        <v>96</v>
      </c>
      <c r="F451">
        <v>2</v>
      </c>
      <c r="G451">
        <v>5</v>
      </c>
      <c r="H451" t="s">
        <v>17</v>
      </c>
      <c r="I451">
        <v>705.64</v>
      </c>
      <c r="J451" t="str">
        <f t="shared" si="49"/>
        <v>High</v>
      </c>
      <c r="K451" s="4" t="e">
        <f t="shared" si="50"/>
        <v>#N/A</v>
      </c>
      <c r="L451" t="e">
        <f t="shared" si="51"/>
        <v>#N/A</v>
      </c>
      <c r="M451" s="3" t="e">
        <f t="shared" si="52"/>
        <v>#N/A</v>
      </c>
      <c r="N451" t="e">
        <f t="shared" si="53"/>
        <v>#N/A</v>
      </c>
      <c r="O451" s="3">
        <f t="shared" si="54"/>
        <v>100399</v>
      </c>
      <c r="P451">
        <f t="shared" si="55"/>
        <v>96</v>
      </c>
    </row>
    <row r="452" spans="1:16" x14ac:dyDescent="0.25">
      <c r="A452">
        <v>466</v>
      </c>
      <c r="B452">
        <v>69</v>
      </c>
      <c r="C452" t="s">
        <v>45</v>
      </c>
      <c r="D452" s="3">
        <v>143640</v>
      </c>
      <c r="E452">
        <v>14</v>
      </c>
      <c r="F452">
        <v>8</v>
      </c>
      <c r="G452">
        <v>2</v>
      </c>
      <c r="H452" t="s">
        <v>17</v>
      </c>
      <c r="I452">
        <v>387.39</v>
      </c>
      <c r="J452" t="str">
        <f t="shared" si="49"/>
        <v>High</v>
      </c>
      <c r="K452" s="4" t="e">
        <f t="shared" si="50"/>
        <v>#N/A</v>
      </c>
      <c r="L452" t="e">
        <f t="shared" si="51"/>
        <v>#N/A</v>
      </c>
      <c r="M452" s="3" t="e">
        <f t="shared" si="52"/>
        <v>#N/A</v>
      </c>
      <c r="N452" t="e">
        <f t="shared" si="53"/>
        <v>#N/A</v>
      </c>
      <c r="O452" s="3">
        <f t="shared" si="54"/>
        <v>143640</v>
      </c>
      <c r="P452">
        <f t="shared" si="55"/>
        <v>14</v>
      </c>
    </row>
    <row r="453" spans="1:16" x14ac:dyDescent="0.25">
      <c r="A453">
        <v>469</v>
      </c>
      <c r="B453">
        <v>32</v>
      </c>
      <c r="C453" t="s">
        <v>45</v>
      </c>
      <c r="D453" s="3">
        <v>100736</v>
      </c>
      <c r="E453">
        <v>84</v>
      </c>
      <c r="F453">
        <v>10</v>
      </c>
      <c r="G453">
        <v>32</v>
      </c>
      <c r="H453" t="s">
        <v>16</v>
      </c>
      <c r="I453">
        <v>863.93</v>
      </c>
      <c r="J453" t="str">
        <f t="shared" si="49"/>
        <v>High</v>
      </c>
      <c r="K453" s="4" t="e">
        <f t="shared" si="50"/>
        <v>#N/A</v>
      </c>
      <c r="L453" t="e">
        <f t="shared" si="51"/>
        <v>#N/A</v>
      </c>
      <c r="M453" s="3" t="e">
        <f t="shared" si="52"/>
        <v>#N/A</v>
      </c>
      <c r="N453" t="e">
        <f t="shared" si="53"/>
        <v>#N/A</v>
      </c>
      <c r="O453" s="3">
        <f t="shared" si="54"/>
        <v>100736</v>
      </c>
      <c r="P453">
        <f t="shared" si="55"/>
        <v>84</v>
      </c>
    </row>
    <row r="454" spans="1:16" x14ac:dyDescent="0.25">
      <c r="A454">
        <v>470</v>
      </c>
      <c r="B454">
        <v>53</v>
      </c>
      <c r="C454" t="s">
        <v>45</v>
      </c>
      <c r="D454" s="3">
        <v>139508</v>
      </c>
      <c r="E454">
        <v>92</v>
      </c>
      <c r="F454">
        <v>6</v>
      </c>
      <c r="G454">
        <v>39</v>
      </c>
      <c r="H454" t="s">
        <v>17</v>
      </c>
      <c r="I454">
        <v>172.99</v>
      </c>
      <c r="J454" t="str">
        <f t="shared" si="49"/>
        <v>High</v>
      </c>
      <c r="K454" s="4" t="e">
        <f t="shared" si="50"/>
        <v>#N/A</v>
      </c>
      <c r="L454" t="e">
        <f t="shared" si="51"/>
        <v>#N/A</v>
      </c>
      <c r="M454" s="3" t="e">
        <f t="shared" si="52"/>
        <v>#N/A</v>
      </c>
      <c r="N454" t="e">
        <f t="shared" si="53"/>
        <v>#N/A</v>
      </c>
      <c r="O454" s="3">
        <f t="shared" si="54"/>
        <v>139508</v>
      </c>
      <c r="P454">
        <f t="shared" si="55"/>
        <v>92</v>
      </c>
    </row>
    <row r="455" spans="1:16" x14ac:dyDescent="0.25">
      <c r="A455">
        <v>475</v>
      </c>
      <c r="B455">
        <v>36</v>
      </c>
      <c r="C455" t="s">
        <v>45</v>
      </c>
      <c r="D455" s="3">
        <v>112674</v>
      </c>
      <c r="E455">
        <v>12</v>
      </c>
      <c r="F455">
        <v>7</v>
      </c>
      <c r="G455">
        <v>35</v>
      </c>
      <c r="H455" t="s">
        <v>16</v>
      </c>
      <c r="I455">
        <v>590.32000000000005</v>
      </c>
      <c r="J455" t="str">
        <f t="shared" si="49"/>
        <v>High</v>
      </c>
      <c r="K455" s="4" t="e">
        <f t="shared" si="50"/>
        <v>#N/A</v>
      </c>
      <c r="L455" t="e">
        <f t="shared" si="51"/>
        <v>#N/A</v>
      </c>
      <c r="M455" s="3" t="e">
        <f t="shared" si="52"/>
        <v>#N/A</v>
      </c>
      <c r="N455" t="e">
        <f t="shared" si="53"/>
        <v>#N/A</v>
      </c>
      <c r="O455" s="3">
        <f t="shared" si="54"/>
        <v>112674</v>
      </c>
      <c r="P455">
        <f t="shared" si="55"/>
        <v>12</v>
      </c>
    </row>
    <row r="456" spans="1:16" x14ac:dyDescent="0.25">
      <c r="A456">
        <v>478</v>
      </c>
      <c r="B456">
        <v>48</v>
      </c>
      <c r="C456" t="s">
        <v>45</v>
      </c>
      <c r="D456" s="3">
        <v>143424</v>
      </c>
      <c r="E456">
        <v>24</v>
      </c>
      <c r="F456">
        <v>3</v>
      </c>
      <c r="G456">
        <v>22</v>
      </c>
      <c r="H456" t="s">
        <v>13</v>
      </c>
      <c r="I456">
        <v>594.94000000000005</v>
      </c>
      <c r="J456" t="str">
        <f t="shared" si="49"/>
        <v>High</v>
      </c>
      <c r="K456" s="4" t="e">
        <f t="shared" si="50"/>
        <v>#N/A</v>
      </c>
      <c r="L456" t="e">
        <f t="shared" si="51"/>
        <v>#N/A</v>
      </c>
      <c r="M456" s="3" t="e">
        <f t="shared" si="52"/>
        <v>#N/A</v>
      </c>
      <c r="N456" t="e">
        <f t="shared" si="53"/>
        <v>#N/A</v>
      </c>
      <c r="O456" s="3">
        <f t="shared" si="54"/>
        <v>143424</v>
      </c>
      <c r="P456">
        <f t="shared" si="55"/>
        <v>24</v>
      </c>
    </row>
    <row r="457" spans="1:16" x14ac:dyDescent="0.25">
      <c r="A457">
        <v>482</v>
      </c>
      <c r="B457">
        <v>65</v>
      </c>
      <c r="C457" t="s">
        <v>45</v>
      </c>
      <c r="D457" s="3">
        <v>120542</v>
      </c>
      <c r="E457">
        <v>52</v>
      </c>
      <c r="F457">
        <v>3</v>
      </c>
      <c r="G457">
        <v>36</v>
      </c>
      <c r="H457" t="s">
        <v>17</v>
      </c>
      <c r="I457">
        <v>70.22</v>
      </c>
      <c r="J457" t="str">
        <f t="shared" si="49"/>
        <v>High</v>
      </c>
      <c r="K457" s="4" t="e">
        <f t="shared" si="50"/>
        <v>#N/A</v>
      </c>
      <c r="L457" t="e">
        <f t="shared" si="51"/>
        <v>#N/A</v>
      </c>
      <c r="M457" s="3" t="e">
        <f t="shared" si="52"/>
        <v>#N/A</v>
      </c>
      <c r="N457" t="e">
        <f t="shared" si="53"/>
        <v>#N/A</v>
      </c>
      <c r="O457" s="3">
        <f t="shared" si="54"/>
        <v>120542</v>
      </c>
      <c r="P457">
        <f t="shared" si="55"/>
        <v>52</v>
      </c>
    </row>
    <row r="458" spans="1:16" x14ac:dyDescent="0.25">
      <c r="A458">
        <v>486</v>
      </c>
      <c r="B458">
        <v>66</v>
      </c>
      <c r="C458" t="s">
        <v>45</v>
      </c>
      <c r="D458" s="3">
        <v>91672</v>
      </c>
      <c r="E458">
        <v>71</v>
      </c>
      <c r="F458">
        <v>5</v>
      </c>
      <c r="G458">
        <v>9</v>
      </c>
      <c r="H458" t="s">
        <v>17</v>
      </c>
      <c r="I458">
        <v>10.4</v>
      </c>
      <c r="J458" t="str">
        <f t="shared" si="49"/>
        <v>Medium</v>
      </c>
      <c r="K458" s="4" t="e">
        <f t="shared" si="50"/>
        <v>#N/A</v>
      </c>
      <c r="L458" t="e">
        <f t="shared" si="51"/>
        <v>#N/A</v>
      </c>
      <c r="M458" s="3">
        <f t="shared" si="52"/>
        <v>91672</v>
      </c>
      <c r="N458">
        <f t="shared" si="53"/>
        <v>71</v>
      </c>
      <c r="O458" s="3" t="e">
        <f t="shared" si="54"/>
        <v>#N/A</v>
      </c>
      <c r="P458" t="e">
        <f t="shared" si="55"/>
        <v>#N/A</v>
      </c>
    </row>
    <row r="459" spans="1:16" x14ac:dyDescent="0.25">
      <c r="A459">
        <v>488</v>
      </c>
      <c r="B459">
        <v>47</v>
      </c>
      <c r="C459" t="s">
        <v>45</v>
      </c>
      <c r="D459" s="3">
        <v>124597</v>
      </c>
      <c r="E459">
        <v>67</v>
      </c>
      <c r="F459">
        <v>9</v>
      </c>
      <c r="G459">
        <v>8</v>
      </c>
      <c r="H459" t="s">
        <v>17</v>
      </c>
      <c r="I459">
        <v>885.33</v>
      </c>
      <c r="J459" t="str">
        <f t="shared" si="49"/>
        <v>High</v>
      </c>
      <c r="K459" s="4" t="e">
        <f t="shared" si="50"/>
        <v>#N/A</v>
      </c>
      <c r="L459" t="e">
        <f t="shared" si="51"/>
        <v>#N/A</v>
      </c>
      <c r="M459" s="3" t="e">
        <f t="shared" si="52"/>
        <v>#N/A</v>
      </c>
      <c r="N459" t="e">
        <f t="shared" si="53"/>
        <v>#N/A</v>
      </c>
      <c r="O459" s="3">
        <f t="shared" si="54"/>
        <v>124597</v>
      </c>
      <c r="P459">
        <f t="shared" si="55"/>
        <v>67</v>
      </c>
    </row>
    <row r="460" spans="1:16" x14ac:dyDescent="0.25">
      <c r="A460">
        <v>517</v>
      </c>
      <c r="B460">
        <v>18</v>
      </c>
      <c r="C460" t="s">
        <v>45</v>
      </c>
      <c r="D460" s="3">
        <v>112021</v>
      </c>
      <c r="E460">
        <v>9</v>
      </c>
      <c r="F460">
        <v>3</v>
      </c>
      <c r="G460">
        <v>11</v>
      </c>
      <c r="H460" t="s">
        <v>16</v>
      </c>
      <c r="I460">
        <v>588.37</v>
      </c>
      <c r="J460" t="str">
        <f t="shared" si="49"/>
        <v>High</v>
      </c>
      <c r="K460" s="4" t="e">
        <f t="shared" si="50"/>
        <v>#N/A</v>
      </c>
      <c r="L460" t="e">
        <f t="shared" si="51"/>
        <v>#N/A</v>
      </c>
      <c r="M460" s="3" t="e">
        <f t="shared" si="52"/>
        <v>#N/A</v>
      </c>
      <c r="N460" t="e">
        <f t="shared" si="53"/>
        <v>#N/A</v>
      </c>
      <c r="O460" s="3">
        <f t="shared" si="54"/>
        <v>112021</v>
      </c>
      <c r="P460">
        <f t="shared" si="55"/>
        <v>9</v>
      </c>
    </row>
    <row r="461" spans="1:16" x14ac:dyDescent="0.25">
      <c r="A461">
        <v>521</v>
      </c>
      <c r="B461">
        <v>69</v>
      </c>
      <c r="C461" t="s">
        <v>45</v>
      </c>
      <c r="D461" s="3">
        <v>78534</v>
      </c>
      <c r="E461">
        <v>100</v>
      </c>
      <c r="F461">
        <v>2</v>
      </c>
      <c r="G461">
        <v>9</v>
      </c>
      <c r="H461" t="s">
        <v>13</v>
      </c>
      <c r="I461">
        <v>75.03</v>
      </c>
      <c r="J461" t="str">
        <f t="shared" si="49"/>
        <v>Medium</v>
      </c>
      <c r="K461" s="4" t="e">
        <f t="shared" si="50"/>
        <v>#N/A</v>
      </c>
      <c r="L461" t="e">
        <f t="shared" si="51"/>
        <v>#N/A</v>
      </c>
      <c r="M461" s="3">
        <f t="shared" si="52"/>
        <v>78534</v>
      </c>
      <c r="N461">
        <f t="shared" si="53"/>
        <v>100</v>
      </c>
      <c r="O461" s="3" t="e">
        <f t="shared" si="54"/>
        <v>#N/A</v>
      </c>
      <c r="P461" t="e">
        <f t="shared" si="55"/>
        <v>#N/A</v>
      </c>
    </row>
    <row r="462" spans="1:16" x14ac:dyDescent="0.25">
      <c r="A462">
        <v>542</v>
      </c>
      <c r="B462">
        <v>69</v>
      </c>
      <c r="C462" t="s">
        <v>45</v>
      </c>
      <c r="D462" s="3">
        <v>86860</v>
      </c>
      <c r="E462">
        <v>70</v>
      </c>
      <c r="F462">
        <v>1</v>
      </c>
      <c r="G462">
        <v>1</v>
      </c>
      <c r="H462" t="s">
        <v>17</v>
      </c>
      <c r="I462">
        <v>812.25</v>
      </c>
      <c r="J462" t="str">
        <f t="shared" si="49"/>
        <v>Medium</v>
      </c>
      <c r="K462" s="4" t="e">
        <f t="shared" si="50"/>
        <v>#N/A</v>
      </c>
      <c r="L462" t="e">
        <f t="shared" si="51"/>
        <v>#N/A</v>
      </c>
      <c r="M462" s="3">
        <f t="shared" si="52"/>
        <v>86860</v>
      </c>
      <c r="N462">
        <f t="shared" si="53"/>
        <v>70</v>
      </c>
      <c r="O462" s="3" t="e">
        <f t="shared" si="54"/>
        <v>#N/A</v>
      </c>
      <c r="P462" t="e">
        <f t="shared" si="55"/>
        <v>#N/A</v>
      </c>
    </row>
    <row r="463" spans="1:16" x14ac:dyDescent="0.25">
      <c r="A463">
        <v>546</v>
      </c>
      <c r="B463">
        <v>44</v>
      </c>
      <c r="C463" t="s">
        <v>45</v>
      </c>
      <c r="D463" s="3">
        <v>112137</v>
      </c>
      <c r="E463">
        <v>37</v>
      </c>
      <c r="F463">
        <v>7</v>
      </c>
      <c r="G463">
        <v>18</v>
      </c>
      <c r="H463" t="s">
        <v>16</v>
      </c>
      <c r="I463">
        <v>769.16</v>
      </c>
      <c r="J463" t="str">
        <f t="shared" si="49"/>
        <v>High</v>
      </c>
      <c r="K463" s="4" t="e">
        <f t="shared" si="50"/>
        <v>#N/A</v>
      </c>
      <c r="L463" t="e">
        <f t="shared" si="51"/>
        <v>#N/A</v>
      </c>
      <c r="M463" s="3" t="e">
        <f t="shared" si="52"/>
        <v>#N/A</v>
      </c>
      <c r="N463" t="e">
        <f t="shared" si="53"/>
        <v>#N/A</v>
      </c>
      <c r="O463" s="3">
        <f t="shared" si="54"/>
        <v>112137</v>
      </c>
      <c r="P463">
        <f t="shared" si="55"/>
        <v>37</v>
      </c>
    </row>
    <row r="464" spans="1:16" x14ac:dyDescent="0.25">
      <c r="A464">
        <v>561</v>
      </c>
      <c r="B464">
        <v>61</v>
      </c>
      <c r="C464" t="s">
        <v>45</v>
      </c>
      <c r="D464" s="3">
        <v>137276</v>
      </c>
      <c r="E464">
        <v>92</v>
      </c>
      <c r="F464">
        <v>5</v>
      </c>
      <c r="G464">
        <v>8</v>
      </c>
      <c r="H464" t="s">
        <v>16</v>
      </c>
      <c r="I464">
        <v>482.77</v>
      </c>
      <c r="J464" t="str">
        <f t="shared" si="49"/>
        <v>High</v>
      </c>
      <c r="K464" s="4" t="e">
        <f t="shared" si="50"/>
        <v>#N/A</v>
      </c>
      <c r="L464" t="e">
        <f t="shared" si="51"/>
        <v>#N/A</v>
      </c>
      <c r="M464" s="3" t="e">
        <f t="shared" si="52"/>
        <v>#N/A</v>
      </c>
      <c r="N464" t="e">
        <f t="shared" si="53"/>
        <v>#N/A</v>
      </c>
      <c r="O464" s="3">
        <f t="shared" si="54"/>
        <v>137276</v>
      </c>
      <c r="P464">
        <f t="shared" si="55"/>
        <v>92</v>
      </c>
    </row>
    <row r="465" spans="1:16" x14ac:dyDescent="0.25">
      <c r="A465">
        <v>570</v>
      </c>
      <c r="B465">
        <v>18</v>
      </c>
      <c r="C465" t="s">
        <v>45</v>
      </c>
      <c r="D465" s="3">
        <v>94701</v>
      </c>
      <c r="E465">
        <v>69</v>
      </c>
      <c r="F465">
        <v>8</v>
      </c>
      <c r="G465">
        <v>48</v>
      </c>
      <c r="H465" t="s">
        <v>17</v>
      </c>
      <c r="I465">
        <v>760.34</v>
      </c>
      <c r="J465" t="str">
        <f t="shared" si="49"/>
        <v>Medium</v>
      </c>
      <c r="K465" s="4" t="e">
        <f t="shared" si="50"/>
        <v>#N/A</v>
      </c>
      <c r="L465" t="e">
        <f t="shared" si="51"/>
        <v>#N/A</v>
      </c>
      <c r="M465" s="3">
        <f t="shared" si="52"/>
        <v>94701</v>
      </c>
      <c r="N465">
        <f t="shared" si="53"/>
        <v>69</v>
      </c>
      <c r="O465" s="3" t="e">
        <f t="shared" si="54"/>
        <v>#N/A</v>
      </c>
      <c r="P465" t="e">
        <f t="shared" si="55"/>
        <v>#N/A</v>
      </c>
    </row>
    <row r="466" spans="1:16" x14ac:dyDescent="0.25">
      <c r="A466">
        <v>574</v>
      </c>
      <c r="B466">
        <v>48</v>
      </c>
      <c r="C466" t="s">
        <v>45</v>
      </c>
      <c r="D466" s="3">
        <v>93084</v>
      </c>
      <c r="E466">
        <v>30</v>
      </c>
      <c r="F466">
        <v>7</v>
      </c>
      <c r="G466">
        <v>5</v>
      </c>
      <c r="H466" t="s">
        <v>17</v>
      </c>
      <c r="I466">
        <v>480.55</v>
      </c>
      <c r="J466" t="str">
        <f t="shared" si="49"/>
        <v>Medium</v>
      </c>
      <c r="K466" s="4" t="e">
        <f t="shared" si="50"/>
        <v>#N/A</v>
      </c>
      <c r="L466" t="e">
        <f t="shared" si="51"/>
        <v>#N/A</v>
      </c>
      <c r="M466" s="3">
        <f t="shared" si="52"/>
        <v>93084</v>
      </c>
      <c r="N466">
        <f t="shared" si="53"/>
        <v>30</v>
      </c>
      <c r="O466" s="3" t="e">
        <f t="shared" si="54"/>
        <v>#N/A</v>
      </c>
      <c r="P466" t="e">
        <f t="shared" si="55"/>
        <v>#N/A</v>
      </c>
    </row>
    <row r="467" spans="1:16" x14ac:dyDescent="0.25">
      <c r="A467">
        <v>587</v>
      </c>
      <c r="B467">
        <v>20</v>
      </c>
      <c r="C467" t="s">
        <v>45</v>
      </c>
      <c r="D467" s="3">
        <v>61541</v>
      </c>
      <c r="E467">
        <v>80</v>
      </c>
      <c r="F467">
        <v>2</v>
      </c>
      <c r="G467">
        <v>14</v>
      </c>
      <c r="H467" t="s">
        <v>16</v>
      </c>
      <c r="I467">
        <v>48.5</v>
      </c>
      <c r="J467" t="str">
        <f t="shared" si="49"/>
        <v>Medium</v>
      </c>
      <c r="K467" s="4" t="e">
        <f t="shared" si="50"/>
        <v>#N/A</v>
      </c>
      <c r="L467" t="e">
        <f t="shared" si="51"/>
        <v>#N/A</v>
      </c>
      <c r="M467" s="3">
        <f t="shared" si="52"/>
        <v>61541</v>
      </c>
      <c r="N467">
        <f t="shared" si="53"/>
        <v>80</v>
      </c>
      <c r="O467" s="3" t="e">
        <f t="shared" si="54"/>
        <v>#N/A</v>
      </c>
      <c r="P467" t="e">
        <f t="shared" si="55"/>
        <v>#N/A</v>
      </c>
    </row>
    <row r="468" spans="1:16" x14ac:dyDescent="0.25">
      <c r="A468">
        <v>588</v>
      </c>
      <c r="B468">
        <v>47</v>
      </c>
      <c r="C468" t="s">
        <v>45</v>
      </c>
      <c r="D468" s="3">
        <v>55753</v>
      </c>
      <c r="E468">
        <v>69</v>
      </c>
      <c r="F468">
        <v>5</v>
      </c>
      <c r="G468">
        <v>40</v>
      </c>
      <c r="H468" t="s">
        <v>13</v>
      </c>
      <c r="I468">
        <v>772.89</v>
      </c>
      <c r="J468" t="str">
        <f t="shared" si="49"/>
        <v>Medium</v>
      </c>
      <c r="K468" s="4" t="e">
        <f t="shared" si="50"/>
        <v>#N/A</v>
      </c>
      <c r="L468" t="e">
        <f t="shared" si="51"/>
        <v>#N/A</v>
      </c>
      <c r="M468" s="3">
        <f t="shared" si="52"/>
        <v>55753</v>
      </c>
      <c r="N468">
        <f t="shared" si="53"/>
        <v>69</v>
      </c>
      <c r="O468" s="3" t="e">
        <f t="shared" si="54"/>
        <v>#N/A</v>
      </c>
      <c r="P468" t="e">
        <f t="shared" si="55"/>
        <v>#N/A</v>
      </c>
    </row>
    <row r="469" spans="1:16" x14ac:dyDescent="0.25">
      <c r="A469">
        <v>589</v>
      </c>
      <c r="B469">
        <v>29</v>
      </c>
      <c r="C469" t="s">
        <v>45</v>
      </c>
      <c r="D469" s="3">
        <v>80868</v>
      </c>
      <c r="E469">
        <v>33</v>
      </c>
      <c r="F469">
        <v>6</v>
      </c>
      <c r="G469">
        <v>15</v>
      </c>
      <c r="H469" t="s">
        <v>17</v>
      </c>
      <c r="I469">
        <v>865.65</v>
      </c>
      <c r="J469" t="str">
        <f t="shared" si="49"/>
        <v>Medium</v>
      </c>
      <c r="K469" s="4" t="e">
        <f t="shared" si="50"/>
        <v>#N/A</v>
      </c>
      <c r="L469" t="e">
        <f t="shared" si="51"/>
        <v>#N/A</v>
      </c>
      <c r="M469" s="3">
        <f t="shared" si="52"/>
        <v>80868</v>
      </c>
      <c r="N469">
        <f t="shared" si="53"/>
        <v>33</v>
      </c>
      <c r="O469" s="3" t="e">
        <f t="shared" si="54"/>
        <v>#N/A</v>
      </c>
      <c r="P469" t="e">
        <f t="shared" si="55"/>
        <v>#N/A</v>
      </c>
    </row>
    <row r="470" spans="1:16" x14ac:dyDescent="0.25">
      <c r="A470">
        <v>595</v>
      </c>
      <c r="B470">
        <v>28</v>
      </c>
      <c r="C470" t="s">
        <v>45</v>
      </c>
      <c r="D470" s="3">
        <v>61870</v>
      </c>
      <c r="E470">
        <v>100</v>
      </c>
      <c r="F470">
        <v>6</v>
      </c>
      <c r="G470">
        <v>3</v>
      </c>
      <c r="H470" t="s">
        <v>16</v>
      </c>
      <c r="I470">
        <v>728.67</v>
      </c>
      <c r="J470" t="str">
        <f t="shared" si="49"/>
        <v>Medium</v>
      </c>
      <c r="K470" s="4" t="e">
        <f t="shared" si="50"/>
        <v>#N/A</v>
      </c>
      <c r="L470" t="e">
        <f t="shared" si="51"/>
        <v>#N/A</v>
      </c>
      <c r="M470" s="3">
        <f t="shared" si="52"/>
        <v>61870</v>
      </c>
      <c r="N470">
        <f t="shared" si="53"/>
        <v>100</v>
      </c>
      <c r="O470" s="3" t="e">
        <f t="shared" si="54"/>
        <v>#N/A</v>
      </c>
      <c r="P470" t="e">
        <f t="shared" si="55"/>
        <v>#N/A</v>
      </c>
    </row>
    <row r="471" spans="1:16" x14ac:dyDescent="0.25">
      <c r="A471">
        <v>599</v>
      </c>
      <c r="B471">
        <v>41</v>
      </c>
      <c r="C471" t="s">
        <v>45</v>
      </c>
      <c r="D471" s="3">
        <v>69204</v>
      </c>
      <c r="E471">
        <v>95</v>
      </c>
      <c r="F471">
        <v>4</v>
      </c>
      <c r="G471">
        <v>28</v>
      </c>
      <c r="H471" t="s">
        <v>17</v>
      </c>
      <c r="I471">
        <v>936.04</v>
      </c>
      <c r="J471" t="str">
        <f t="shared" si="49"/>
        <v>Medium</v>
      </c>
      <c r="K471" s="4" t="e">
        <f t="shared" si="50"/>
        <v>#N/A</v>
      </c>
      <c r="L471" t="e">
        <f t="shared" si="51"/>
        <v>#N/A</v>
      </c>
      <c r="M471" s="3">
        <f t="shared" si="52"/>
        <v>69204</v>
      </c>
      <c r="N471">
        <f t="shared" si="53"/>
        <v>95</v>
      </c>
      <c r="O471" s="3" t="e">
        <f t="shared" si="54"/>
        <v>#N/A</v>
      </c>
      <c r="P471" t="e">
        <f t="shared" si="55"/>
        <v>#N/A</v>
      </c>
    </row>
    <row r="472" spans="1:16" x14ac:dyDescent="0.25">
      <c r="A472">
        <v>608</v>
      </c>
      <c r="B472">
        <v>41</v>
      </c>
      <c r="C472" t="s">
        <v>45</v>
      </c>
      <c r="D472" s="3">
        <v>67215</v>
      </c>
      <c r="E472">
        <v>34</v>
      </c>
      <c r="F472">
        <v>3</v>
      </c>
      <c r="G472">
        <v>30</v>
      </c>
      <c r="H472" t="s">
        <v>13</v>
      </c>
      <c r="I472">
        <v>460.25</v>
      </c>
      <c r="J472" t="str">
        <f t="shared" si="49"/>
        <v>Medium</v>
      </c>
      <c r="K472" s="4" t="e">
        <f t="shared" si="50"/>
        <v>#N/A</v>
      </c>
      <c r="L472" t="e">
        <f t="shared" si="51"/>
        <v>#N/A</v>
      </c>
      <c r="M472" s="3">
        <f t="shared" si="52"/>
        <v>67215</v>
      </c>
      <c r="N472">
        <f t="shared" si="53"/>
        <v>34</v>
      </c>
      <c r="O472" s="3" t="e">
        <f t="shared" si="54"/>
        <v>#N/A</v>
      </c>
      <c r="P472" t="e">
        <f t="shared" si="55"/>
        <v>#N/A</v>
      </c>
    </row>
    <row r="473" spans="1:16" x14ac:dyDescent="0.25">
      <c r="A473">
        <v>613</v>
      </c>
      <c r="B473">
        <v>60</v>
      </c>
      <c r="C473" t="s">
        <v>45</v>
      </c>
      <c r="D473" s="3">
        <v>53295</v>
      </c>
      <c r="E473">
        <v>73</v>
      </c>
      <c r="F473">
        <v>3</v>
      </c>
      <c r="G473">
        <v>5</v>
      </c>
      <c r="H473" t="s">
        <v>13</v>
      </c>
      <c r="I473">
        <v>642.29999999999995</v>
      </c>
      <c r="J473" t="str">
        <f t="shared" si="49"/>
        <v>Medium</v>
      </c>
      <c r="K473" s="4" t="e">
        <f t="shared" si="50"/>
        <v>#N/A</v>
      </c>
      <c r="L473" t="e">
        <f t="shared" si="51"/>
        <v>#N/A</v>
      </c>
      <c r="M473" s="3">
        <f t="shared" si="52"/>
        <v>53295</v>
      </c>
      <c r="N473">
        <f t="shared" si="53"/>
        <v>73</v>
      </c>
      <c r="O473" s="3" t="e">
        <f t="shared" si="54"/>
        <v>#N/A</v>
      </c>
      <c r="P473" t="e">
        <f t="shared" si="55"/>
        <v>#N/A</v>
      </c>
    </row>
    <row r="474" spans="1:16" x14ac:dyDescent="0.25">
      <c r="A474">
        <v>617</v>
      </c>
      <c r="B474">
        <v>29</v>
      </c>
      <c r="C474" t="s">
        <v>45</v>
      </c>
      <c r="D474" s="3">
        <v>83172</v>
      </c>
      <c r="E474">
        <v>51</v>
      </c>
      <c r="F474">
        <v>8</v>
      </c>
      <c r="G474">
        <v>1</v>
      </c>
      <c r="H474" t="s">
        <v>17</v>
      </c>
      <c r="I474">
        <v>906.75</v>
      </c>
      <c r="J474" t="str">
        <f t="shared" si="49"/>
        <v>Medium</v>
      </c>
      <c r="K474" s="4" t="e">
        <f t="shared" si="50"/>
        <v>#N/A</v>
      </c>
      <c r="L474" t="e">
        <f t="shared" si="51"/>
        <v>#N/A</v>
      </c>
      <c r="M474" s="3">
        <f t="shared" si="52"/>
        <v>83172</v>
      </c>
      <c r="N474">
        <f t="shared" si="53"/>
        <v>51</v>
      </c>
      <c r="O474" s="3" t="e">
        <f t="shared" si="54"/>
        <v>#N/A</v>
      </c>
      <c r="P474" t="e">
        <f t="shared" si="55"/>
        <v>#N/A</v>
      </c>
    </row>
    <row r="475" spans="1:16" x14ac:dyDescent="0.25">
      <c r="A475">
        <v>619</v>
      </c>
      <c r="B475">
        <v>29</v>
      </c>
      <c r="C475" t="s">
        <v>45</v>
      </c>
      <c r="D475" s="3">
        <v>88288</v>
      </c>
      <c r="E475">
        <v>39</v>
      </c>
      <c r="F475">
        <v>5</v>
      </c>
      <c r="G475">
        <v>50</v>
      </c>
      <c r="H475" t="s">
        <v>16</v>
      </c>
      <c r="I475">
        <v>803.87</v>
      </c>
      <c r="J475" t="str">
        <f t="shared" si="49"/>
        <v>Medium</v>
      </c>
      <c r="K475" s="4" t="e">
        <f t="shared" si="50"/>
        <v>#N/A</v>
      </c>
      <c r="L475" t="e">
        <f t="shared" si="51"/>
        <v>#N/A</v>
      </c>
      <c r="M475" s="3">
        <f t="shared" si="52"/>
        <v>88288</v>
      </c>
      <c r="N475">
        <f t="shared" si="53"/>
        <v>39</v>
      </c>
      <c r="O475" s="3" t="e">
        <f t="shared" si="54"/>
        <v>#N/A</v>
      </c>
      <c r="P475" t="e">
        <f t="shared" si="55"/>
        <v>#N/A</v>
      </c>
    </row>
    <row r="476" spans="1:16" x14ac:dyDescent="0.25">
      <c r="A476">
        <v>624</v>
      </c>
      <c r="B476">
        <v>59</v>
      </c>
      <c r="C476" t="s">
        <v>45</v>
      </c>
      <c r="D476" s="3">
        <v>66196</v>
      </c>
      <c r="E476">
        <v>37</v>
      </c>
      <c r="F476">
        <v>9</v>
      </c>
      <c r="G476">
        <v>44</v>
      </c>
      <c r="H476" t="s">
        <v>17</v>
      </c>
      <c r="I476">
        <v>483.66</v>
      </c>
      <c r="J476" t="str">
        <f t="shared" si="49"/>
        <v>Medium</v>
      </c>
      <c r="K476" s="4" t="e">
        <f t="shared" si="50"/>
        <v>#N/A</v>
      </c>
      <c r="L476" t="e">
        <f t="shared" si="51"/>
        <v>#N/A</v>
      </c>
      <c r="M476" s="3">
        <f t="shared" si="52"/>
        <v>66196</v>
      </c>
      <c r="N476">
        <f t="shared" si="53"/>
        <v>37</v>
      </c>
      <c r="O476" s="3" t="e">
        <f t="shared" si="54"/>
        <v>#N/A</v>
      </c>
      <c r="P476" t="e">
        <f t="shared" si="55"/>
        <v>#N/A</v>
      </c>
    </row>
    <row r="477" spans="1:16" x14ac:dyDescent="0.25">
      <c r="A477">
        <v>637</v>
      </c>
      <c r="B477">
        <v>52</v>
      </c>
      <c r="C477" t="s">
        <v>45</v>
      </c>
      <c r="D477" s="3">
        <v>85267</v>
      </c>
      <c r="E477">
        <v>6</v>
      </c>
      <c r="F477">
        <v>5</v>
      </c>
      <c r="G477">
        <v>2</v>
      </c>
      <c r="H477" t="s">
        <v>13</v>
      </c>
      <c r="I477">
        <v>704.32</v>
      </c>
      <c r="J477" t="str">
        <f t="shared" si="49"/>
        <v>Medium</v>
      </c>
      <c r="K477" s="4" t="e">
        <f t="shared" si="50"/>
        <v>#N/A</v>
      </c>
      <c r="L477" t="e">
        <f t="shared" si="51"/>
        <v>#N/A</v>
      </c>
      <c r="M477" s="3">
        <f t="shared" si="52"/>
        <v>85267</v>
      </c>
      <c r="N477">
        <f t="shared" si="53"/>
        <v>6</v>
      </c>
      <c r="O477" s="3" t="e">
        <f t="shared" si="54"/>
        <v>#N/A</v>
      </c>
      <c r="P477" t="e">
        <f t="shared" si="55"/>
        <v>#N/A</v>
      </c>
    </row>
    <row r="478" spans="1:16" x14ac:dyDescent="0.25">
      <c r="A478">
        <v>645</v>
      </c>
      <c r="B478">
        <v>67</v>
      </c>
      <c r="C478" t="s">
        <v>45</v>
      </c>
      <c r="D478" s="3">
        <v>115578</v>
      </c>
      <c r="E478">
        <v>10</v>
      </c>
      <c r="F478">
        <v>1</v>
      </c>
      <c r="G478">
        <v>36</v>
      </c>
      <c r="H478" t="s">
        <v>16</v>
      </c>
      <c r="I478">
        <v>646.16</v>
      </c>
      <c r="J478" t="str">
        <f t="shared" si="49"/>
        <v>High</v>
      </c>
      <c r="K478" s="4" t="e">
        <f t="shared" si="50"/>
        <v>#N/A</v>
      </c>
      <c r="L478" t="e">
        <f t="shared" si="51"/>
        <v>#N/A</v>
      </c>
      <c r="M478" s="3" t="e">
        <f t="shared" si="52"/>
        <v>#N/A</v>
      </c>
      <c r="N478" t="e">
        <f t="shared" si="53"/>
        <v>#N/A</v>
      </c>
      <c r="O478" s="3">
        <f t="shared" si="54"/>
        <v>115578</v>
      </c>
      <c r="P478">
        <f t="shared" si="55"/>
        <v>10</v>
      </c>
    </row>
    <row r="479" spans="1:16" x14ac:dyDescent="0.25">
      <c r="A479">
        <v>650</v>
      </c>
      <c r="B479">
        <v>47</v>
      </c>
      <c r="C479" t="s">
        <v>45</v>
      </c>
      <c r="D479" s="3">
        <v>88268</v>
      </c>
      <c r="E479">
        <v>32</v>
      </c>
      <c r="F479">
        <v>8</v>
      </c>
      <c r="G479">
        <v>27</v>
      </c>
      <c r="H479" t="s">
        <v>16</v>
      </c>
      <c r="I479">
        <v>686.5</v>
      </c>
      <c r="J479" t="str">
        <f t="shared" si="49"/>
        <v>Medium</v>
      </c>
      <c r="K479" s="4" t="e">
        <f t="shared" si="50"/>
        <v>#N/A</v>
      </c>
      <c r="L479" t="e">
        <f t="shared" si="51"/>
        <v>#N/A</v>
      </c>
      <c r="M479" s="3">
        <f t="shared" si="52"/>
        <v>88268</v>
      </c>
      <c r="N479">
        <f t="shared" si="53"/>
        <v>32</v>
      </c>
      <c r="O479" s="3" t="e">
        <f t="shared" si="54"/>
        <v>#N/A</v>
      </c>
      <c r="P479" t="e">
        <f t="shared" si="55"/>
        <v>#N/A</v>
      </c>
    </row>
    <row r="480" spans="1:16" x14ac:dyDescent="0.25">
      <c r="A480">
        <v>655</v>
      </c>
      <c r="B480">
        <v>45</v>
      </c>
      <c r="C480" t="s">
        <v>45</v>
      </c>
      <c r="D480" s="3">
        <v>47989</v>
      </c>
      <c r="E480">
        <v>70</v>
      </c>
      <c r="F480">
        <v>6</v>
      </c>
      <c r="G480">
        <v>9</v>
      </c>
      <c r="H480" t="s">
        <v>16</v>
      </c>
      <c r="I480">
        <v>218.77</v>
      </c>
      <c r="J480" t="str">
        <f t="shared" si="49"/>
        <v>Low</v>
      </c>
      <c r="K480" s="4">
        <f t="shared" si="50"/>
        <v>47989</v>
      </c>
      <c r="L480">
        <f t="shared" si="51"/>
        <v>70</v>
      </c>
      <c r="M480" s="3" t="e">
        <f t="shared" si="52"/>
        <v>#N/A</v>
      </c>
      <c r="N480" t="e">
        <f t="shared" si="53"/>
        <v>#N/A</v>
      </c>
      <c r="O480" s="3" t="e">
        <f t="shared" si="54"/>
        <v>#N/A</v>
      </c>
      <c r="P480" t="e">
        <f t="shared" si="55"/>
        <v>#N/A</v>
      </c>
    </row>
    <row r="481" spans="1:16" x14ac:dyDescent="0.25">
      <c r="A481">
        <v>656</v>
      </c>
      <c r="B481">
        <v>33</v>
      </c>
      <c r="C481" t="s">
        <v>45</v>
      </c>
      <c r="D481" s="3">
        <v>65142</v>
      </c>
      <c r="E481">
        <v>45</v>
      </c>
      <c r="F481">
        <v>10</v>
      </c>
      <c r="G481">
        <v>42</v>
      </c>
      <c r="H481" t="s">
        <v>17</v>
      </c>
      <c r="I481">
        <v>132.6</v>
      </c>
      <c r="J481" t="str">
        <f t="shared" si="49"/>
        <v>Medium</v>
      </c>
      <c r="K481" s="4" t="e">
        <f t="shared" si="50"/>
        <v>#N/A</v>
      </c>
      <c r="L481" t="e">
        <f t="shared" si="51"/>
        <v>#N/A</v>
      </c>
      <c r="M481" s="3">
        <f t="shared" si="52"/>
        <v>65142</v>
      </c>
      <c r="N481">
        <f t="shared" si="53"/>
        <v>45</v>
      </c>
      <c r="O481" s="3" t="e">
        <f t="shared" si="54"/>
        <v>#N/A</v>
      </c>
      <c r="P481" t="e">
        <f t="shared" si="55"/>
        <v>#N/A</v>
      </c>
    </row>
    <row r="482" spans="1:16" x14ac:dyDescent="0.25">
      <c r="A482">
        <v>659</v>
      </c>
      <c r="B482">
        <v>35</v>
      </c>
      <c r="C482" t="s">
        <v>45</v>
      </c>
      <c r="D482" s="3">
        <v>116378</v>
      </c>
      <c r="E482">
        <v>38</v>
      </c>
      <c r="F482">
        <v>10</v>
      </c>
      <c r="G482">
        <v>11</v>
      </c>
      <c r="H482" t="s">
        <v>17</v>
      </c>
      <c r="I482">
        <v>79.27</v>
      </c>
      <c r="J482" t="str">
        <f t="shared" si="49"/>
        <v>High</v>
      </c>
      <c r="K482" s="4" t="e">
        <f t="shared" si="50"/>
        <v>#N/A</v>
      </c>
      <c r="L482" t="e">
        <f t="shared" si="51"/>
        <v>#N/A</v>
      </c>
      <c r="M482" s="3" t="e">
        <f t="shared" si="52"/>
        <v>#N/A</v>
      </c>
      <c r="N482" t="e">
        <f t="shared" si="53"/>
        <v>#N/A</v>
      </c>
      <c r="O482" s="3">
        <f t="shared" si="54"/>
        <v>116378</v>
      </c>
      <c r="P482">
        <f t="shared" si="55"/>
        <v>38</v>
      </c>
    </row>
    <row r="483" spans="1:16" x14ac:dyDescent="0.25">
      <c r="A483">
        <v>662</v>
      </c>
      <c r="B483">
        <v>66</v>
      </c>
      <c r="C483" t="s">
        <v>45</v>
      </c>
      <c r="D483" s="3">
        <v>38652</v>
      </c>
      <c r="E483">
        <v>40</v>
      </c>
      <c r="F483">
        <v>10</v>
      </c>
      <c r="G483">
        <v>7</v>
      </c>
      <c r="H483" t="s">
        <v>13</v>
      </c>
      <c r="I483">
        <v>566.59</v>
      </c>
      <c r="J483" t="str">
        <f t="shared" si="49"/>
        <v>Low</v>
      </c>
      <c r="K483" s="4">
        <f t="shared" si="50"/>
        <v>38652</v>
      </c>
      <c r="L483">
        <f t="shared" si="51"/>
        <v>40</v>
      </c>
      <c r="M483" s="3" t="e">
        <f t="shared" si="52"/>
        <v>#N/A</v>
      </c>
      <c r="N483" t="e">
        <f t="shared" si="53"/>
        <v>#N/A</v>
      </c>
      <c r="O483" s="3" t="e">
        <f t="shared" si="54"/>
        <v>#N/A</v>
      </c>
      <c r="P483" t="e">
        <f t="shared" si="55"/>
        <v>#N/A</v>
      </c>
    </row>
    <row r="484" spans="1:16" x14ac:dyDescent="0.25">
      <c r="A484">
        <v>664</v>
      </c>
      <c r="B484">
        <v>56</v>
      </c>
      <c r="C484" t="s">
        <v>45</v>
      </c>
      <c r="D484" s="3">
        <v>30492</v>
      </c>
      <c r="E484">
        <v>47</v>
      </c>
      <c r="F484">
        <v>5</v>
      </c>
      <c r="G484">
        <v>6</v>
      </c>
      <c r="H484" t="s">
        <v>16</v>
      </c>
      <c r="I484">
        <v>725.26</v>
      </c>
      <c r="J484" t="str">
        <f t="shared" si="49"/>
        <v>Low</v>
      </c>
      <c r="K484" s="4">
        <f t="shared" si="50"/>
        <v>30492</v>
      </c>
      <c r="L484">
        <f t="shared" si="51"/>
        <v>47</v>
      </c>
      <c r="M484" s="3" t="e">
        <f t="shared" si="52"/>
        <v>#N/A</v>
      </c>
      <c r="N484" t="e">
        <f t="shared" si="53"/>
        <v>#N/A</v>
      </c>
      <c r="O484" s="3" t="e">
        <f t="shared" si="54"/>
        <v>#N/A</v>
      </c>
      <c r="P484" t="e">
        <f t="shared" si="55"/>
        <v>#N/A</v>
      </c>
    </row>
    <row r="485" spans="1:16" x14ac:dyDescent="0.25">
      <c r="A485">
        <v>670</v>
      </c>
      <c r="B485">
        <v>55</v>
      </c>
      <c r="C485" t="s">
        <v>45</v>
      </c>
      <c r="D485" s="3">
        <v>59108</v>
      </c>
      <c r="E485">
        <v>36</v>
      </c>
      <c r="F485">
        <v>6</v>
      </c>
      <c r="G485">
        <v>31</v>
      </c>
      <c r="H485" t="s">
        <v>13</v>
      </c>
      <c r="I485">
        <v>900.16</v>
      </c>
      <c r="J485" t="str">
        <f t="shared" si="49"/>
        <v>Medium</v>
      </c>
      <c r="K485" s="4" t="e">
        <f t="shared" si="50"/>
        <v>#N/A</v>
      </c>
      <c r="L485" t="e">
        <f t="shared" si="51"/>
        <v>#N/A</v>
      </c>
      <c r="M485" s="3">
        <f t="shared" si="52"/>
        <v>59108</v>
      </c>
      <c r="N485">
        <f t="shared" si="53"/>
        <v>36</v>
      </c>
      <c r="O485" s="3" t="e">
        <f t="shared" si="54"/>
        <v>#N/A</v>
      </c>
      <c r="P485" t="e">
        <f t="shared" si="55"/>
        <v>#N/A</v>
      </c>
    </row>
    <row r="486" spans="1:16" x14ac:dyDescent="0.25">
      <c r="A486">
        <v>678</v>
      </c>
      <c r="B486">
        <v>63</v>
      </c>
      <c r="C486" t="s">
        <v>45</v>
      </c>
      <c r="D486" s="3">
        <v>56374</v>
      </c>
      <c r="E486">
        <v>60</v>
      </c>
      <c r="F486">
        <v>4</v>
      </c>
      <c r="G486">
        <v>45</v>
      </c>
      <c r="H486" t="s">
        <v>13</v>
      </c>
      <c r="I486">
        <v>943.5</v>
      </c>
      <c r="J486" t="str">
        <f t="shared" si="49"/>
        <v>Medium</v>
      </c>
      <c r="K486" s="4" t="e">
        <f t="shared" si="50"/>
        <v>#N/A</v>
      </c>
      <c r="L486" t="e">
        <f t="shared" si="51"/>
        <v>#N/A</v>
      </c>
      <c r="M486" s="3">
        <f t="shared" si="52"/>
        <v>56374</v>
      </c>
      <c r="N486">
        <f t="shared" si="53"/>
        <v>60</v>
      </c>
      <c r="O486" s="3" t="e">
        <f t="shared" si="54"/>
        <v>#N/A</v>
      </c>
      <c r="P486" t="e">
        <f t="shared" si="55"/>
        <v>#N/A</v>
      </c>
    </row>
    <row r="487" spans="1:16" x14ac:dyDescent="0.25">
      <c r="A487">
        <v>680</v>
      </c>
      <c r="B487">
        <v>36</v>
      </c>
      <c r="C487" t="s">
        <v>45</v>
      </c>
      <c r="D487" s="3">
        <v>106345</v>
      </c>
      <c r="E487">
        <v>98</v>
      </c>
      <c r="F487">
        <v>7</v>
      </c>
      <c r="G487">
        <v>49</v>
      </c>
      <c r="H487" t="s">
        <v>17</v>
      </c>
      <c r="I487">
        <v>55.21</v>
      </c>
      <c r="J487" t="str">
        <f t="shared" si="49"/>
        <v>High</v>
      </c>
      <c r="K487" s="4" t="e">
        <f t="shared" si="50"/>
        <v>#N/A</v>
      </c>
      <c r="L487" t="e">
        <f t="shared" si="51"/>
        <v>#N/A</v>
      </c>
      <c r="M487" s="3" t="e">
        <f t="shared" si="52"/>
        <v>#N/A</v>
      </c>
      <c r="N487" t="e">
        <f t="shared" si="53"/>
        <v>#N/A</v>
      </c>
      <c r="O487" s="3">
        <f t="shared" si="54"/>
        <v>106345</v>
      </c>
      <c r="P487">
        <f t="shared" si="55"/>
        <v>98</v>
      </c>
    </row>
    <row r="488" spans="1:16" x14ac:dyDescent="0.25">
      <c r="A488">
        <v>689</v>
      </c>
      <c r="B488">
        <v>69</v>
      </c>
      <c r="C488" t="s">
        <v>45</v>
      </c>
      <c r="D488" s="3">
        <v>45024</v>
      </c>
      <c r="E488">
        <v>38</v>
      </c>
      <c r="F488">
        <v>5</v>
      </c>
      <c r="G488">
        <v>11</v>
      </c>
      <c r="H488" t="s">
        <v>17</v>
      </c>
      <c r="I488">
        <v>830.03</v>
      </c>
      <c r="J488" t="str">
        <f t="shared" si="49"/>
        <v>Low</v>
      </c>
      <c r="K488" s="4">
        <f t="shared" si="50"/>
        <v>45024</v>
      </c>
      <c r="L488">
        <f t="shared" si="51"/>
        <v>38</v>
      </c>
      <c r="M488" s="3" t="e">
        <f t="shared" si="52"/>
        <v>#N/A</v>
      </c>
      <c r="N488" t="e">
        <f t="shared" si="53"/>
        <v>#N/A</v>
      </c>
      <c r="O488" s="3" t="e">
        <f t="shared" si="54"/>
        <v>#N/A</v>
      </c>
      <c r="P488" t="e">
        <f t="shared" si="55"/>
        <v>#N/A</v>
      </c>
    </row>
    <row r="489" spans="1:16" x14ac:dyDescent="0.25">
      <c r="A489">
        <v>691</v>
      </c>
      <c r="B489">
        <v>53</v>
      </c>
      <c r="C489" t="s">
        <v>45</v>
      </c>
      <c r="D489" s="3">
        <v>84686</v>
      </c>
      <c r="E489">
        <v>93</v>
      </c>
      <c r="F489">
        <v>8</v>
      </c>
      <c r="G489">
        <v>1</v>
      </c>
      <c r="H489" t="s">
        <v>16</v>
      </c>
      <c r="I489">
        <v>109.54</v>
      </c>
      <c r="J489" t="str">
        <f t="shared" si="49"/>
        <v>Medium</v>
      </c>
      <c r="K489" s="4" t="e">
        <f t="shared" si="50"/>
        <v>#N/A</v>
      </c>
      <c r="L489" t="e">
        <f t="shared" si="51"/>
        <v>#N/A</v>
      </c>
      <c r="M489" s="3">
        <f t="shared" si="52"/>
        <v>84686</v>
      </c>
      <c r="N489">
        <f t="shared" si="53"/>
        <v>93</v>
      </c>
      <c r="O489" s="3" t="e">
        <f t="shared" si="54"/>
        <v>#N/A</v>
      </c>
      <c r="P489" t="e">
        <f t="shared" si="55"/>
        <v>#N/A</v>
      </c>
    </row>
    <row r="490" spans="1:16" x14ac:dyDescent="0.25">
      <c r="A490">
        <v>699</v>
      </c>
      <c r="B490">
        <v>55</v>
      </c>
      <c r="C490" t="s">
        <v>45</v>
      </c>
      <c r="D490" s="3">
        <v>53164</v>
      </c>
      <c r="E490">
        <v>64</v>
      </c>
      <c r="F490">
        <v>2</v>
      </c>
      <c r="G490">
        <v>19</v>
      </c>
      <c r="H490" t="s">
        <v>17</v>
      </c>
      <c r="I490">
        <v>932.41</v>
      </c>
      <c r="J490" t="str">
        <f t="shared" si="49"/>
        <v>Medium</v>
      </c>
      <c r="K490" s="4" t="e">
        <f t="shared" si="50"/>
        <v>#N/A</v>
      </c>
      <c r="L490" t="e">
        <f t="shared" si="51"/>
        <v>#N/A</v>
      </c>
      <c r="M490" s="3">
        <f t="shared" si="52"/>
        <v>53164</v>
      </c>
      <c r="N490">
        <f t="shared" si="53"/>
        <v>64</v>
      </c>
      <c r="O490" s="3" t="e">
        <f t="shared" si="54"/>
        <v>#N/A</v>
      </c>
      <c r="P490" t="e">
        <f t="shared" si="55"/>
        <v>#N/A</v>
      </c>
    </row>
    <row r="491" spans="1:16" x14ac:dyDescent="0.25">
      <c r="A491">
        <v>726</v>
      </c>
      <c r="B491">
        <v>40</v>
      </c>
      <c r="C491" t="s">
        <v>45</v>
      </c>
      <c r="D491" s="3">
        <v>105994</v>
      </c>
      <c r="E491">
        <v>39</v>
      </c>
      <c r="F491">
        <v>9</v>
      </c>
      <c r="G491">
        <v>17</v>
      </c>
      <c r="H491" t="s">
        <v>13</v>
      </c>
      <c r="I491">
        <v>347.21</v>
      </c>
      <c r="J491" t="str">
        <f t="shared" si="49"/>
        <v>High</v>
      </c>
      <c r="K491" s="4" t="e">
        <f t="shared" si="50"/>
        <v>#N/A</v>
      </c>
      <c r="L491" t="e">
        <f t="shared" si="51"/>
        <v>#N/A</v>
      </c>
      <c r="M491" s="3" t="e">
        <f t="shared" si="52"/>
        <v>#N/A</v>
      </c>
      <c r="N491" t="e">
        <f t="shared" si="53"/>
        <v>#N/A</v>
      </c>
      <c r="O491" s="3">
        <f t="shared" si="54"/>
        <v>105994</v>
      </c>
      <c r="P491">
        <f t="shared" si="55"/>
        <v>39</v>
      </c>
    </row>
    <row r="492" spans="1:16" x14ac:dyDescent="0.25">
      <c r="A492">
        <v>727</v>
      </c>
      <c r="B492">
        <v>18</v>
      </c>
      <c r="C492" t="s">
        <v>45</v>
      </c>
      <c r="D492" s="3">
        <v>84764</v>
      </c>
      <c r="E492">
        <v>2</v>
      </c>
      <c r="F492">
        <v>6</v>
      </c>
      <c r="G492">
        <v>49</v>
      </c>
      <c r="H492" t="s">
        <v>13</v>
      </c>
      <c r="I492">
        <v>348.51</v>
      </c>
      <c r="J492" t="str">
        <f t="shared" si="49"/>
        <v>Medium</v>
      </c>
      <c r="K492" s="4" t="e">
        <f t="shared" si="50"/>
        <v>#N/A</v>
      </c>
      <c r="L492" t="e">
        <f t="shared" si="51"/>
        <v>#N/A</v>
      </c>
      <c r="M492" s="3">
        <f t="shared" si="52"/>
        <v>84764</v>
      </c>
      <c r="N492">
        <f t="shared" si="53"/>
        <v>2</v>
      </c>
      <c r="O492" s="3" t="e">
        <f t="shared" si="54"/>
        <v>#N/A</v>
      </c>
      <c r="P492" t="e">
        <f t="shared" si="55"/>
        <v>#N/A</v>
      </c>
    </row>
    <row r="493" spans="1:16" x14ac:dyDescent="0.25">
      <c r="A493">
        <v>728</v>
      </c>
      <c r="B493">
        <v>28</v>
      </c>
      <c r="C493" t="s">
        <v>45</v>
      </c>
      <c r="D493" s="3">
        <v>53503</v>
      </c>
      <c r="E493">
        <v>39</v>
      </c>
      <c r="F493">
        <v>5</v>
      </c>
      <c r="G493">
        <v>30</v>
      </c>
      <c r="H493" t="s">
        <v>16</v>
      </c>
      <c r="I493">
        <v>591.64</v>
      </c>
      <c r="J493" t="str">
        <f t="shared" si="49"/>
        <v>Medium</v>
      </c>
      <c r="K493" s="4" t="e">
        <f t="shared" si="50"/>
        <v>#N/A</v>
      </c>
      <c r="L493" t="e">
        <f t="shared" si="51"/>
        <v>#N/A</v>
      </c>
      <c r="M493" s="3">
        <f t="shared" si="52"/>
        <v>53503</v>
      </c>
      <c r="N493">
        <f t="shared" si="53"/>
        <v>39</v>
      </c>
      <c r="O493" s="3" t="e">
        <f t="shared" si="54"/>
        <v>#N/A</v>
      </c>
      <c r="P493" t="e">
        <f t="shared" si="55"/>
        <v>#N/A</v>
      </c>
    </row>
    <row r="494" spans="1:16" x14ac:dyDescent="0.25">
      <c r="A494">
        <v>735</v>
      </c>
      <c r="B494">
        <v>38</v>
      </c>
      <c r="C494" t="s">
        <v>45</v>
      </c>
      <c r="D494" s="3">
        <v>115537</v>
      </c>
      <c r="E494">
        <v>10</v>
      </c>
      <c r="F494">
        <v>7</v>
      </c>
      <c r="G494">
        <v>25</v>
      </c>
      <c r="H494" t="s">
        <v>17</v>
      </c>
      <c r="I494">
        <v>632.99</v>
      </c>
      <c r="J494" t="str">
        <f t="shared" si="49"/>
        <v>High</v>
      </c>
      <c r="K494" s="4" t="e">
        <f t="shared" si="50"/>
        <v>#N/A</v>
      </c>
      <c r="L494" t="e">
        <f t="shared" si="51"/>
        <v>#N/A</v>
      </c>
      <c r="M494" s="3" t="e">
        <f t="shared" si="52"/>
        <v>#N/A</v>
      </c>
      <c r="N494" t="e">
        <f t="shared" si="53"/>
        <v>#N/A</v>
      </c>
      <c r="O494" s="3">
        <f t="shared" si="54"/>
        <v>115537</v>
      </c>
      <c r="P494">
        <f t="shared" si="55"/>
        <v>10</v>
      </c>
    </row>
    <row r="495" spans="1:16" x14ac:dyDescent="0.25">
      <c r="A495">
        <v>742</v>
      </c>
      <c r="B495">
        <v>45</v>
      </c>
      <c r="C495" t="s">
        <v>45</v>
      </c>
      <c r="D495" s="3">
        <v>30738</v>
      </c>
      <c r="E495">
        <v>38</v>
      </c>
      <c r="F495">
        <v>7</v>
      </c>
      <c r="G495">
        <v>5</v>
      </c>
      <c r="H495" t="s">
        <v>13</v>
      </c>
      <c r="I495">
        <v>144</v>
      </c>
      <c r="J495" t="str">
        <f t="shared" si="49"/>
        <v>Low</v>
      </c>
      <c r="K495" s="4">
        <f t="shared" si="50"/>
        <v>30738</v>
      </c>
      <c r="L495">
        <f t="shared" si="51"/>
        <v>38</v>
      </c>
      <c r="M495" s="3" t="e">
        <f t="shared" si="52"/>
        <v>#N/A</v>
      </c>
      <c r="N495" t="e">
        <f t="shared" si="53"/>
        <v>#N/A</v>
      </c>
      <c r="O495" s="3" t="e">
        <f t="shared" si="54"/>
        <v>#N/A</v>
      </c>
      <c r="P495" t="e">
        <f t="shared" si="55"/>
        <v>#N/A</v>
      </c>
    </row>
    <row r="496" spans="1:16" x14ac:dyDescent="0.25">
      <c r="A496">
        <v>759</v>
      </c>
      <c r="B496">
        <v>64</v>
      </c>
      <c r="C496" t="s">
        <v>45</v>
      </c>
      <c r="D496" s="3">
        <v>130443</v>
      </c>
      <c r="E496">
        <v>29</v>
      </c>
      <c r="F496">
        <v>1</v>
      </c>
      <c r="G496">
        <v>17</v>
      </c>
      <c r="H496" t="s">
        <v>13</v>
      </c>
      <c r="I496">
        <v>835.67</v>
      </c>
      <c r="J496" t="str">
        <f t="shared" si="49"/>
        <v>High</v>
      </c>
      <c r="K496" s="4" t="e">
        <f t="shared" si="50"/>
        <v>#N/A</v>
      </c>
      <c r="L496" t="e">
        <f t="shared" si="51"/>
        <v>#N/A</v>
      </c>
      <c r="M496" s="3" t="e">
        <f t="shared" si="52"/>
        <v>#N/A</v>
      </c>
      <c r="N496" t="e">
        <f t="shared" si="53"/>
        <v>#N/A</v>
      </c>
      <c r="O496" s="3">
        <f t="shared" si="54"/>
        <v>130443</v>
      </c>
      <c r="P496">
        <f t="shared" si="55"/>
        <v>29</v>
      </c>
    </row>
    <row r="497" spans="1:16" x14ac:dyDescent="0.25">
      <c r="A497">
        <v>766</v>
      </c>
      <c r="B497">
        <v>41</v>
      </c>
      <c r="C497" t="s">
        <v>45</v>
      </c>
      <c r="D497" s="3">
        <v>74198</v>
      </c>
      <c r="E497">
        <v>84</v>
      </c>
      <c r="F497">
        <v>1</v>
      </c>
      <c r="G497">
        <v>50</v>
      </c>
      <c r="H497" t="s">
        <v>17</v>
      </c>
      <c r="I497">
        <v>60.51</v>
      </c>
      <c r="J497" t="str">
        <f t="shared" si="49"/>
        <v>Medium</v>
      </c>
      <c r="K497" s="4" t="e">
        <f t="shared" si="50"/>
        <v>#N/A</v>
      </c>
      <c r="L497" t="e">
        <f t="shared" si="51"/>
        <v>#N/A</v>
      </c>
      <c r="M497" s="3">
        <f t="shared" si="52"/>
        <v>74198</v>
      </c>
      <c r="N497">
        <f t="shared" si="53"/>
        <v>84</v>
      </c>
      <c r="O497" s="3" t="e">
        <f t="shared" si="54"/>
        <v>#N/A</v>
      </c>
      <c r="P497" t="e">
        <f t="shared" si="55"/>
        <v>#N/A</v>
      </c>
    </row>
    <row r="498" spans="1:16" x14ac:dyDescent="0.25">
      <c r="A498">
        <v>767</v>
      </c>
      <c r="B498">
        <v>45</v>
      </c>
      <c r="C498" t="s">
        <v>45</v>
      </c>
      <c r="D498" s="3">
        <v>62582</v>
      </c>
      <c r="E498">
        <v>1</v>
      </c>
      <c r="F498">
        <v>6</v>
      </c>
      <c r="G498">
        <v>46</v>
      </c>
      <c r="H498" t="s">
        <v>17</v>
      </c>
      <c r="I498">
        <v>298.11</v>
      </c>
      <c r="J498" t="str">
        <f t="shared" si="49"/>
        <v>Medium</v>
      </c>
      <c r="K498" s="4" t="e">
        <f t="shared" si="50"/>
        <v>#N/A</v>
      </c>
      <c r="L498" t="e">
        <f t="shared" si="51"/>
        <v>#N/A</v>
      </c>
      <c r="M498" s="3">
        <f t="shared" si="52"/>
        <v>62582</v>
      </c>
      <c r="N498">
        <f t="shared" si="53"/>
        <v>1</v>
      </c>
      <c r="O498" s="3" t="e">
        <f t="shared" si="54"/>
        <v>#N/A</v>
      </c>
      <c r="P498" t="e">
        <f t="shared" si="55"/>
        <v>#N/A</v>
      </c>
    </row>
    <row r="499" spans="1:16" x14ac:dyDescent="0.25">
      <c r="A499">
        <v>768</v>
      </c>
      <c r="B499">
        <v>33</v>
      </c>
      <c r="C499" t="s">
        <v>45</v>
      </c>
      <c r="D499" s="3">
        <v>92798</v>
      </c>
      <c r="E499">
        <v>80</v>
      </c>
      <c r="F499">
        <v>3</v>
      </c>
      <c r="G499">
        <v>44</v>
      </c>
      <c r="H499" t="s">
        <v>16</v>
      </c>
      <c r="I499">
        <v>367.85</v>
      </c>
      <c r="J499" t="str">
        <f t="shared" si="49"/>
        <v>Medium</v>
      </c>
      <c r="K499" s="4" t="e">
        <f t="shared" si="50"/>
        <v>#N/A</v>
      </c>
      <c r="L499" t="e">
        <f t="shared" si="51"/>
        <v>#N/A</v>
      </c>
      <c r="M499" s="3">
        <f t="shared" si="52"/>
        <v>92798</v>
      </c>
      <c r="N499">
        <f t="shared" si="53"/>
        <v>80</v>
      </c>
      <c r="O499" s="3" t="e">
        <f t="shared" si="54"/>
        <v>#N/A</v>
      </c>
      <c r="P499" t="e">
        <f t="shared" si="55"/>
        <v>#N/A</v>
      </c>
    </row>
    <row r="500" spans="1:16" x14ac:dyDescent="0.25">
      <c r="A500">
        <v>771</v>
      </c>
      <c r="B500">
        <v>55</v>
      </c>
      <c r="C500" t="s">
        <v>45</v>
      </c>
      <c r="D500" s="3">
        <v>53069</v>
      </c>
      <c r="E500">
        <v>3</v>
      </c>
      <c r="F500">
        <v>10</v>
      </c>
      <c r="G500">
        <v>43</v>
      </c>
      <c r="H500" t="s">
        <v>17</v>
      </c>
      <c r="I500">
        <v>777.97</v>
      </c>
      <c r="J500" t="str">
        <f t="shared" si="49"/>
        <v>Medium</v>
      </c>
      <c r="K500" s="4" t="e">
        <f t="shared" si="50"/>
        <v>#N/A</v>
      </c>
      <c r="L500" t="e">
        <f t="shared" si="51"/>
        <v>#N/A</v>
      </c>
      <c r="M500" s="3">
        <f t="shared" si="52"/>
        <v>53069</v>
      </c>
      <c r="N500">
        <f t="shared" si="53"/>
        <v>3</v>
      </c>
      <c r="O500" s="3" t="e">
        <f t="shared" si="54"/>
        <v>#N/A</v>
      </c>
      <c r="P500" t="e">
        <f t="shared" si="55"/>
        <v>#N/A</v>
      </c>
    </row>
    <row r="501" spans="1:16" x14ac:dyDescent="0.25">
      <c r="A501">
        <v>783</v>
      </c>
      <c r="B501">
        <v>39</v>
      </c>
      <c r="C501" t="s">
        <v>45</v>
      </c>
      <c r="D501" s="3">
        <v>71987</v>
      </c>
      <c r="E501">
        <v>42</v>
      </c>
      <c r="F501">
        <v>5</v>
      </c>
      <c r="G501">
        <v>35</v>
      </c>
      <c r="H501" t="s">
        <v>17</v>
      </c>
      <c r="I501">
        <v>196.61</v>
      </c>
      <c r="J501" t="str">
        <f t="shared" si="49"/>
        <v>Medium</v>
      </c>
      <c r="K501" s="4" t="e">
        <f t="shared" si="50"/>
        <v>#N/A</v>
      </c>
      <c r="L501" t="e">
        <f t="shared" si="51"/>
        <v>#N/A</v>
      </c>
      <c r="M501" s="3">
        <f t="shared" si="52"/>
        <v>71987</v>
      </c>
      <c r="N501">
        <f t="shared" si="53"/>
        <v>42</v>
      </c>
      <c r="O501" s="3" t="e">
        <f t="shared" si="54"/>
        <v>#N/A</v>
      </c>
      <c r="P501" t="e">
        <f t="shared" si="55"/>
        <v>#N/A</v>
      </c>
    </row>
    <row r="502" spans="1:16" x14ac:dyDescent="0.25">
      <c r="A502">
        <v>784</v>
      </c>
      <c r="B502">
        <v>47</v>
      </c>
      <c r="C502" t="s">
        <v>45</v>
      </c>
      <c r="D502" s="3">
        <v>64229</v>
      </c>
      <c r="E502">
        <v>74</v>
      </c>
      <c r="F502">
        <v>5</v>
      </c>
      <c r="G502">
        <v>22</v>
      </c>
      <c r="H502" t="s">
        <v>16</v>
      </c>
      <c r="I502">
        <v>438.95</v>
      </c>
      <c r="J502" t="str">
        <f t="shared" si="49"/>
        <v>Medium</v>
      </c>
      <c r="K502" s="4" t="e">
        <f t="shared" si="50"/>
        <v>#N/A</v>
      </c>
      <c r="L502" t="e">
        <f t="shared" si="51"/>
        <v>#N/A</v>
      </c>
      <c r="M502" s="3">
        <f t="shared" si="52"/>
        <v>64229</v>
      </c>
      <c r="N502">
        <f t="shared" si="53"/>
        <v>74</v>
      </c>
      <c r="O502" s="3" t="e">
        <f t="shared" si="54"/>
        <v>#N/A</v>
      </c>
      <c r="P502" t="e">
        <f t="shared" si="55"/>
        <v>#N/A</v>
      </c>
    </row>
    <row r="503" spans="1:16" x14ac:dyDescent="0.25">
      <c r="A503">
        <v>787</v>
      </c>
      <c r="B503">
        <v>57</v>
      </c>
      <c r="C503" t="s">
        <v>45</v>
      </c>
      <c r="D503" s="3">
        <v>56547</v>
      </c>
      <c r="E503">
        <v>65</v>
      </c>
      <c r="F503">
        <v>10</v>
      </c>
      <c r="G503">
        <v>43</v>
      </c>
      <c r="H503" t="s">
        <v>16</v>
      </c>
      <c r="I503">
        <v>686.83</v>
      </c>
      <c r="J503" t="str">
        <f t="shared" si="49"/>
        <v>Medium</v>
      </c>
      <c r="K503" s="4" t="e">
        <f t="shared" si="50"/>
        <v>#N/A</v>
      </c>
      <c r="L503" t="e">
        <f t="shared" si="51"/>
        <v>#N/A</v>
      </c>
      <c r="M503" s="3">
        <f t="shared" si="52"/>
        <v>56547</v>
      </c>
      <c r="N503">
        <f t="shared" si="53"/>
        <v>65</v>
      </c>
      <c r="O503" s="3" t="e">
        <f t="shared" si="54"/>
        <v>#N/A</v>
      </c>
      <c r="P503" t="e">
        <f t="shared" si="55"/>
        <v>#N/A</v>
      </c>
    </row>
    <row r="504" spans="1:16" x14ac:dyDescent="0.25">
      <c r="A504">
        <v>812</v>
      </c>
      <c r="B504">
        <v>53</v>
      </c>
      <c r="C504" t="s">
        <v>45</v>
      </c>
      <c r="D504" s="3">
        <v>76842</v>
      </c>
      <c r="E504">
        <v>73</v>
      </c>
      <c r="F504">
        <v>6</v>
      </c>
      <c r="G504">
        <v>35</v>
      </c>
      <c r="H504" t="s">
        <v>13</v>
      </c>
      <c r="I504">
        <v>701.61</v>
      </c>
      <c r="J504" t="str">
        <f t="shared" si="49"/>
        <v>Medium</v>
      </c>
      <c r="K504" s="4" t="e">
        <f t="shared" si="50"/>
        <v>#N/A</v>
      </c>
      <c r="L504" t="e">
        <f t="shared" si="51"/>
        <v>#N/A</v>
      </c>
      <c r="M504" s="3">
        <f t="shared" si="52"/>
        <v>76842</v>
      </c>
      <c r="N504">
        <f t="shared" si="53"/>
        <v>73</v>
      </c>
      <c r="O504" s="3" t="e">
        <f t="shared" si="54"/>
        <v>#N/A</v>
      </c>
      <c r="P504" t="e">
        <f t="shared" si="55"/>
        <v>#N/A</v>
      </c>
    </row>
    <row r="505" spans="1:16" x14ac:dyDescent="0.25">
      <c r="A505">
        <v>814</v>
      </c>
      <c r="B505">
        <v>56</v>
      </c>
      <c r="C505" t="s">
        <v>45</v>
      </c>
      <c r="D505" s="3">
        <v>145028</v>
      </c>
      <c r="E505">
        <v>2</v>
      </c>
      <c r="F505">
        <v>10</v>
      </c>
      <c r="G505">
        <v>32</v>
      </c>
      <c r="H505" t="s">
        <v>13</v>
      </c>
      <c r="I505">
        <v>849.56</v>
      </c>
      <c r="J505" t="str">
        <f t="shared" si="49"/>
        <v>High</v>
      </c>
      <c r="K505" s="4" t="e">
        <f t="shared" si="50"/>
        <v>#N/A</v>
      </c>
      <c r="L505" t="e">
        <f t="shared" si="51"/>
        <v>#N/A</v>
      </c>
      <c r="M505" s="3" t="e">
        <f t="shared" si="52"/>
        <v>#N/A</v>
      </c>
      <c r="N505" t="e">
        <f t="shared" si="53"/>
        <v>#N/A</v>
      </c>
      <c r="O505" s="3">
        <f t="shared" si="54"/>
        <v>145028</v>
      </c>
      <c r="P505">
        <f t="shared" si="55"/>
        <v>2</v>
      </c>
    </row>
    <row r="506" spans="1:16" x14ac:dyDescent="0.25">
      <c r="A506">
        <v>816</v>
      </c>
      <c r="B506">
        <v>50</v>
      </c>
      <c r="C506" t="s">
        <v>45</v>
      </c>
      <c r="D506" s="3">
        <v>143612</v>
      </c>
      <c r="E506">
        <v>71</v>
      </c>
      <c r="F506">
        <v>9</v>
      </c>
      <c r="G506">
        <v>28</v>
      </c>
      <c r="H506" t="s">
        <v>16</v>
      </c>
      <c r="I506">
        <v>372.69</v>
      </c>
      <c r="J506" t="str">
        <f t="shared" si="49"/>
        <v>High</v>
      </c>
      <c r="K506" s="4" t="e">
        <f t="shared" si="50"/>
        <v>#N/A</v>
      </c>
      <c r="L506" t="e">
        <f t="shared" si="51"/>
        <v>#N/A</v>
      </c>
      <c r="M506" s="3" t="e">
        <f t="shared" si="52"/>
        <v>#N/A</v>
      </c>
      <c r="N506" t="e">
        <f t="shared" si="53"/>
        <v>#N/A</v>
      </c>
      <c r="O506" s="3">
        <f t="shared" si="54"/>
        <v>143612</v>
      </c>
      <c r="P506">
        <f t="shared" si="55"/>
        <v>71</v>
      </c>
    </row>
    <row r="507" spans="1:16" x14ac:dyDescent="0.25">
      <c r="A507">
        <v>819</v>
      </c>
      <c r="B507">
        <v>46</v>
      </c>
      <c r="C507" t="s">
        <v>45</v>
      </c>
      <c r="D507" s="3">
        <v>58692</v>
      </c>
      <c r="E507">
        <v>2</v>
      </c>
      <c r="F507">
        <v>9</v>
      </c>
      <c r="G507">
        <v>22</v>
      </c>
      <c r="H507" t="s">
        <v>13</v>
      </c>
      <c r="I507">
        <v>230.66</v>
      </c>
      <c r="J507" t="str">
        <f t="shared" si="49"/>
        <v>Medium</v>
      </c>
      <c r="K507" s="4" t="e">
        <f t="shared" si="50"/>
        <v>#N/A</v>
      </c>
      <c r="L507" t="e">
        <f t="shared" si="51"/>
        <v>#N/A</v>
      </c>
      <c r="M507" s="3">
        <f t="shared" si="52"/>
        <v>58692</v>
      </c>
      <c r="N507">
        <f t="shared" si="53"/>
        <v>2</v>
      </c>
      <c r="O507" s="3" t="e">
        <f t="shared" si="54"/>
        <v>#N/A</v>
      </c>
      <c r="P507" t="e">
        <f t="shared" si="55"/>
        <v>#N/A</v>
      </c>
    </row>
    <row r="508" spans="1:16" x14ac:dyDescent="0.25">
      <c r="A508">
        <v>821</v>
      </c>
      <c r="B508">
        <v>41</v>
      </c>
      <c r="C508" t="s">
        <v>45</v>
      </c>
      <c r="D508" s="3">
        <v>37547</v>
      </c>
      <c r="E508">
        <v>72</v>
      </c>
      <c r="F508">
        <v>3</v>
      </c>
      <c r="G508">
        <v>24</v>
      </c>
      <c r="H508" t="s">
        <v>16</v>
      </c>
      <c r="I508">
        <v>897.46</v>
      </c>
      <c r="J508" t="str">
        <f t="shared" si="49"/>
        <v>Low</v>
      </c>
      <c r="K508" s="4">
        <f t="shared" si="50"/>
        <v>37547</v>
      </c>
      <c r="L508">
        <f t="shared" si="51"/>
        <v>72</v>
      </c>
      <c r="M508" s="3" t="e">
        <f t="shared" si="52"/>
        <v>#N/A</v>
      </c>
      <c r="N508" t="e">
        <f t="shared" si="53"/>
        <v>#N/A</v>
      </c>
      <c r="O508" s="3" t="e">
        <f t="shared" si="54"/>
        <v>#N/A</v>
      </c>
      <c r="P508" t="e">
        <f t="shared" si="55"/>
        <v>#N/A</v>
      </c>
    </row>
    <row r="509" spans="1:16" x14ac:dyDescent="0.25">
      <c r="A509">
        <v>832</v>
      </c>
      <c r="B509">
        <v>69</v>
      </c>
      <c r="C509" t="s">
        <v>45</v>
      </c>
      <c r="D509" s="3">
        <v>81964</v>
      </c>
      <c r="E509">
        <v>22</v>
      </c>
      <c r="F509">
        <v>1</v>
      </c>
      <c r="G509">
        <v>3</v>
      </c>
      <c r="H509" t="s">
        <v>13</v>
      </c>
      <c r="I509">
        <v>839.2</v>
      </c>
      <c r="J509" t="str">
        <f t="shared" si="49"/>
        <v>Medium</v>
      </c>
      <c r="K509" s="4" t="e">
        <f t="shared" si="50"/>
        <v>#N/A</v>
      </c>
      <c r="L509" t="e">
        <f t="shared" si="51"/>
        <v>#N/A</v>
      </c>
      <c r="M509" s="3">
        <f t="shared" si="52"/>
        <v>81964</v>
      </c>
      <c r="N509">
        <f t="shared" si="53"/>
        <v>22</v>
      </c>
      <c r="O509" s="3" t="e">
        <f t="shared" si="54"/>
        <v>#N/A</v>
      </c>
      <c r="P509" t="e">
        <f t="shared" si="55"/>
        <v>#N/A</v>
      </c>
    </row>
    <row r="510" spans="1:16" x14ac:dyDescent="0.25">
      <c r="A510">
        <v>836</v>
      </c>
      <c r="B510">
        <v>30</v>
      </c>
      <c r="C510" t="s">
        <v>45</v>
      </c>
      <c r="D510" s="3">
        <v>42089</v>
      </c>
      <c r="E510">
        <v>29</v>
      </c>
      <c r="F510">
        <v>3</v>
      </c>
      <c r="G510">
        <v>3</v>
      </c>
      <c r="H510" t="s">
        <v>13</v>
      </c>
      <c r="I510">
        <v>536.52</v>
      </c>
      <c r="J510" t="str">
        <f t="shared" si="49"/>
        <v>Low</v>
      </c>
      <c r="K510" s="4">
        <f t="shared" si="50"/>
        <v>42089</v>
      </c>
      <c r="L510">
        <f t="shared" si="51"/>
        <v>29</v>
      </c>
      <c r="M510" s="3" t="e">
        <f t="shared" si="52"/>
        <v>#N/A</v>
      </c>
      <c r="N510" t="e">
        <f t="shared" si="53"/>
        <v>#N/A</v>
      </c>
      <c r="O510" s="3" t="e">
        <f t="shared" si="54"/>
        <v>#N/A</v>
      </c>
      <c r="P510" t="e">
        <f t="shared" si="55"/>
        <v>#N/A</v>
      </c>
    </row>
    <row r="511" spans="1:16" x14ac:dyDescent="0.25">
      <c r="A511">
        <v>843</v>
      </c>
      <c r="B511">
        <v>50</v>
      </c>
      <c r="C511" t="s">
        <v>45</v>
      </c>
      <c r="D511" s="3">
        <v>149578</v>
      </c>
      <c r="E511">
        <v>28</v>
      </c>
      <c r="F511">
        <v>2</v>
      </c>
      <c r="G511">
        <v>39</v>
      </c>
      <c r="H511" t="s">
        <v>13</v>
      </c>
      <c r="I511">
        <v>839.34</v>
      </c>
      <c r="J511" t="str">
        <f t="shared" si="49"/>
        <v>High</v>
      </c>
      <c r="K511" s="4" t="e">
        <f t="shared" si="50"/>
        <v>#N/A</v>
      </c>
      <c r="L511" t="e">
        <f t="shared" si="51"/>
        <v>#N/A</v>
      </c>
      <c r="M511" s="3" t="e">
        <f t="shared" si="52"/>
        <v>#N/A</v>
      </c>
      <c r="N511" t="e">
        <f t="shared" si="53"/>
        <v>#N/A</v>
      </c>
      <c r="O511" s="3">
        <f t="shared" si="54"/>
        <v>149578</v>
      </c>
      <c r="P511">
        <f t="shared" si="55"/>
        <v>28</v>
      </c>
    </row>
    <row r="512" spans="1:16" x14ac:dyDescent="0.25">
      <c r="A512">
        <v>848</v>
      </c>
      <c r="B512">
        <v>60</v>
      </c>
      <c r="C512" t="s">
        <v>45</v>
      </c>
      <c r="D512" s="3">
        <v>111784</v>
      </c>
      <c r="E512">
        <v>31</v>
      </c>
      <c r="F512">
        <v>1</v>
      </c>
      <c r="G512">
        <v>14</v>
      </c>
      <c r="H512" t="s">
        <v>17</v>
      </c>
      <c r="I512">
        <v>122.12</v>
      </c>
      <c r="J512" t="str">
        <f t="shared" si="49"/>
        <v>High</v>
      </c>
      <c r="K512" s="4" t="e">
        <f t="shared" si="50"/>
        <v>#N/A</v>
      </c>
      <c r="L512" t="e">
        <f t="shared" si="51"/>
        <v>#N/A</v>
      </c>
      <c r="M512" s="3" t="e">
        <f t="shared" si="52"/>
        <v>#N/A</v>
      </c>
      <c r="N512" t="e">
        <f t="shared" si="53"/>
        <v>#N/A</v>
      </c>
      <c r="O512" s="3">
        <f t="shared" si="54"/>
        <v>111784</v>
      </c>
      <c r="P512">
        <f t="shared" si="55"/>
        <v>31</v>
      </c>
    </row>
    <row r="513" spans="1:16" x14ac:dyDescent="0.25">
      <c r="A513">
        <v>851</v>
      </c>
      <c r="B513">
        <v>51</v>
      </c>
      <c r="C513" t="s">
        <v>45</v>
      </c>
      <c r="D513" s="3">
        <v>59566</v>
      </c>
      <c r="E513">
        <v>25</v>
      </c>
      <c r="F513">
        <v>5</v>
      </c>
      <c r="G513">
        <v>22</v>
      </c>
      <c r="H513" t="s">
        <v>16</v>
      </c>
      <c r="I513">
        <v>847.03</v>
      </c>
      <c r="J513" t="str">
        <f t="shared" si="49"/>
        <v>Medium</v>
      </c>
      <c r="K513" s="4" t="e">
        <f t="shared" si="50"/>
        <v>#N/A</v>
      </c>
      <c r="L513" t="e">
        <f t="shared" si="51"/>
        <v>#N/A</v>
      </c>
      <c r="M513" s="3">
        <f t="shared" si="52"/>
        <v>59566</v>
      </c>
      <c r="N513">
        <f t="shared" si="53"/>
        <v>25</v>
      </c>
      <c r="O513" s="3" t="e">
        <f t="shared" si="54"/>
        <v>#N/A</v>
      </c>
      <c r="P513" t="e">
        <f t="shared" si="55"/>
        <v>#N/A</v>
      </c>
    </row>
    <row r="514" spans="1:16" x14ac:dyDescent="0.25">
      <c r="A514">
        <v>853</v>
      </c>
      <c r="B514">
        <v>22</v>
      </c>
      <c r="C514" t="s">
        <v>45</v>
      </c>
      <c r="D514" s="3">
        <v>120644</v>
      </c>
      <c r="E514">
        <v>75</v>
      </c>
      <c r="F514">
        <v>1</v>
      </c>
      <c r="G514">
        <v>4</v>
      </c>
      <c r="H514" t="s">
        <v>17</v>
      </c>
      <c r="I514">
        <v>456.11</v>
      </c>
      <c r="J514" t="str">
        <f t="shared" ref="J514:J577" si="56">IF(D514&lt;50000,"Low",IF(D514&lt;100000,"Medium","High"))</f>
        <v>High</v>
      </c>
      <c r="K514" s="4" t="e">
        <f t="shared" ref="K514:K577" si="57">IF($J514="Low",$D514,NA())</f>
        <v>#N/A</v>
      </c>
      <c r="L514" t="e">
        <f t="shared" ref="L514:L577" si="58">IF($J514="Low",$E514,NA())</f>
        <v>#N/A</v>
      </c>
      <c r="M514" s="3" t="e">
        <f t="shared" ref="M514:M577" si="59">IF($J514="Medium",$D514,NA())</f>
        <v>#N/A</v>
      </c>
      <c r="N514" t="e">
        <f t="shared" ref="N514:N577" si="60">IF($J514="Medium",$E514,NA())</f>
        <v>#N/A</v>
      </c>
      <c r="O514" s="3">
        <f t="shared" ref="O514:O577" si="61">IF($J514="High",$D514,NA())</f>
        <v>120644</v>
      </c>
      <c r="P514">
        <f t="shared" ref="P514:P577" si="62">IF($J514="High",$E514,NA())</f>
        <v>75</v>
      </c>
    </row>
    <row r="515" spans="1:16" x14ac:dyDescent="0.25">
      <c r="A515">
        <v>856</v>
      </c>
      <c r="B515">
        <v>45</v>
      </c>
      <c r="C515" t="s">
        <v>45</v>
      </c>
      <c r="D515" s="3">
        <v>135627</v>
      </c>
      <c r="E515">
        <v>67</v>
      </c>
      <c r="F515">
        <v>2</v>
      </c>
      <c r="G515">
        <v>46</v>
      </c>
      <c r="H515" t="s">
        <v>16</v>
      </c>
      <c r="I515">
        <v>524.16</v>
      </c>
      <c r="J515" t="str">
        <f t="shared" si="56"/>
        <v>High</v>
      </c>
      <c r="K515" s="4" t="e">
        <f t="shared" si="57"/>
        <v>#N/A</v>
      </c>
      <c r="L515" t="e">
        <f t="shared" si="58"/>
        <v>#N/A</v>
      </c>
      <c r="M515" s="3" t="e">
        <f t="shared" si="59"/>
        <v>#N/A</v>
      </c>
      <c r="N515" t="e">
        <f t="shared" si="60"/>
        <v>#N/A</v>
      </c>
      <c r="O515" s="3">
        <f t="shared" si="61"/>
        <v>135627</v>
      </c>
      <c r="P515">
        <f t="shared" si="62"/>
        <v>67</v>
      </c>
    </row>
    <row r="516" spans="1:16" x14ac:dyDescent="0.25">
      <c r="A516">
        <v>861</v>
      </c>
      <c r="B516">
        <v>21</v>
      </c>
      <c r="C516" t="s">
        <v>45</v>
      </c>
      <c r="D516" s="3">
        <v>145884</v>
      </c>
      <c r="E516">
        <v>3</v>
      </c>
      <c r="F516">
        <v>4</v>
      </c>
      <c r="G516">
        <v>25</v>
      </c>
      <c r="H516" t="s">
        <v>13</v>
      </c>
      <c r="I516">
        <v>676.93</v>
      </c>
      <c r="J516" t="str">
        <f t="shared" si="56"/>
        <v>High</v>
      </c>
      <c r="K516" s="4" t="e">
        <f t="shared" si="57"/>
        <v>#N/A</v>
      </c>
      <c r="L516" t="e">
        <f t="shared" si="58"/>
        <v>#N/A</v>
      </c>
      <c r="M516" s="3" t="e">
        <f t="shared" si="59"/>
        <v>#N/A</v>
      </c>
      <c r="N516" t="e">
        <f t="shared" si="60"/>
        <v>#N/A</v>
      </c>
      <c r="O516" s="3">
        <f t="shared" si="61"/>
        <v>145884</v>
      </c>
      <c r="P516">
        <f t="shared" si="62"/>
        <v>3</v>
      </c>
    </row>
    <row r="517" spans="1:16" x14ac:dyDescent="0.25">
      <c r="A517">
        <v>863</v>
      </c>
      <c r="B517">
        <v>42</v>
      </c>
      <c r="C517" t="s">
        <v>45</v>
      </c>
      <c r="D517" s="3">
        <v>77292</v>
      </c>
      <c r="E517">
        <v>73</v>
      </c>
      <c r="F517">
        <v>10</v>
      </c>
      <c r="G517">
        <v>43</v>
      </c>
      <c r="H517" t="s">
        <v>16</v>
      </c>
      <c r="I517">
        <v>787.66</v>
      </c>
      <c r="J517" t="str">
        <f t="shared" si="56"/>
        <v>Medium</v>
      </c>
      <c r="K517" s="4" t="e">
        <f t="shared" si="57"/>
        <v>#N/A</v>
      </c>
      <c r="L517" t="e">
        <f t="shared" si="58"/>
        <v>#N/A</v>
      </c>
      <c r="M517" s="3">
        <f t="shared" si="59"/>
        <v>77292</v>
      </c>
      <c r="N517">
        <f t="shared" si="60"/>
        <v>73</v>
      </c>
      <c r="O517" s="3" t="e">
        <f t="shared" si="61"/>
        <v>#N/A</v>
      </c>
      <c r="P517" t="e">
        <f t="shared" si="62"/>
        <v>#N/A</v>
      </c>
    </row>
    <row r="518" spans="1:16" x14ac:dyDescent="0.25">
      <c r="A518">
        <v>865</v>
      </c>
      <c r="B518">
        <v>57</v>
      </c>
      <c r="C518" t="s">
        <v>45</v>
      </c>
      <c r="D518" s="3">
        <v>106632</v>
      </c>
      <c r="E518">
        <v>26</v>
      </c>
      <c r="F518">
        <v>1</v>
      </c>
      <c r="G518">
        <v>17</v>
      </c>
      <c r="H518" t="s">
        <v>16</v>
      </c>
      <c r="I518">
        <v>610.98</v>
      </c>
      <c r="J518" t="str">
        <f t="shared" si="56"/>
        <v>High</v>
      </c>
      <c r="K518" s="4" t="e">
        <f t="shared" si="57"/>
        <v>#N/A</v>
      </c>
      <c r="L518" t="e">
        <f t="shared" si="58"/>
        <v>#N/A</v>
      </c>
      <c r="M518" s="3" t="e">
        <f t="shared" si="59"/>
        <v>#N/A</v>
      </c>
      <c r="N518" t="e">
        <f t="shared" si="60"/>
        <v>#N/A</v>
      </c>
      <c r="O518" s="3">
        <f t="shared" si="61"/>
        <v>106632</v>
      </c>
      <c r="P518">
        <f t="shared" si="62"/>
        <v>26</v>
      </c>
    </row>
    <row r="519" spans="1:16" x14ac:dyDescent="0.25">
      <c r="A519">
        <v>868</v>
      </c>
      <c r="B519">
        <v>51</v>
      </c>
      <c r="C519" t="s">
        <v>45</v>
      </c>
      <c r="D519" s="3">
        <v>83467</v>
      </c>
      <c r="E519">
        <v>83</v>
      </c>
      <c r="F519">
        <v>1</v>
      </c>
      <c r="G519">
        <v>19</v>
      </c>
      <c r="H519" t="s">
        <v>17</v>
      </c>
      <c r="I519">
        <v>30.88</v>
      </c>
      <c r="J519" t="str">
        <f t="shared" si="56"/>
        <v>Medium</v>
      </c>
      <c r="K519" s="4" t="e">
        <f t="shared" si="57"/>
        <v>#N/A</v>
      </c>
      <c r="L519" t="e">
        <f t="shared" si="58"/>
        <v>#N/A</v>
      </c>
      <c r="M519" s="3">
        <f t="shared" si="59"/>
        <v>83467</v>
      </c>
      <c r="N519">
        <f t="shared" si="60"/>
        <v>83</v>
      </c>
      <c r="O519" s="3" t="e">
        <f t="shared" si="61"/>
        <v>#N/A</v>
      </c>
      <c r="P519" t="e">
        <f t="shared" si="62"/>
        <v>#N/A</v>
      </c>
    </row>
    <row r="520" spans="1:16" x14ac:dyDescent="0.25">
      <c r="A520">
        <v>870</v>
      </c>
      <c r="B520">
        <v>57</v>
      </c>
      <c r="C520" t="s">
        <v>45</v>
      </c>
      <c r="D520" s="3">
        <v>112212</v>
      </c>
      <c r="E520">
        <v>6</v>
      </c>
      <c r="F520">
        <v>6</v>
      </c>
      <c r="G520">
        <v>44</v>
      </c>
      <c r="H520" t="s">
        <v>13</v>
      </c>
      <c r="I520">
        <v>312.64</v>
      </c>
      <c r="J520" t="str">
        <f t="shared" si="56"/>
        <v>High</v>
      </c>
      <c r="K520" s="4" t="e">
        <f t="shared" si="57"/>
        <v>#N/A</v>
      </c>
      <c r="L520" t="e">
        <f t="shared" si="58"/>
        <v>#N/A</v>
      </c>
      <c r="M520" s="3" t="e">
        <f t="shared" si="59"/>
        <v>#N/A</v>
      </c>
      <c r="N520" t="e">
        <f t="shared" si="60"/>
        <v>#N/A</v>
      </c>
      <c r="O520" s="3">
        <f t="shared" si="61"/>
        <v>112212</v>
      </c>
      <c r="P520">
        <f t="shared" si="62"/>
        <v>6</v>
      </c>
    </row>
    <row r="521" spans="1:16" x14ac:dyDescent="0.25">
      <c r="A521">
        <v>880</v>
      </c>
      <c r="B521">
        <v>59</v>
      </c>
      <c r="C521" t="s">
        <v>45</v>
      </c>
      <c r="D521" s="3">
        <v>97355</v>
      </c>
      <c r="E521">
        <v>63</v>
      </c>
      <c r="F521">
        <v>2</v>
      </c>
      <c r="G521">
        <v>22</v>
      </c>
      <c r="H521" t="s">
        <v>16</v>
      </c>
      <c r="I521">
        <v>329.18</v>
      </c>
      <c r="J521" t="str">
        <f t="shared" si="56"/>
        <v>Medium</v>
      </c>
      <c r="K521" s="4" t="e">
        <f t="shared" si="57"/>
        <v>#N/A</v>
      </c>
      <c r="L521" t="e">
        <f t="shared" si="58"/>
        <v>#N/A</v>
      </c>
      <c r="M521" s="3">
        <f t="shared" si="59"/>
        <v>97355</v>
      </c>
      <c r="N521">
        <f t="shared" si="60"/>
        <v>63</v>
      </c>
      <c r="O521" s="3" t="e">
        <f t="shared" si="61"/>
        <v>#N/A</v>
      </c>
      <c r="P521" t="e">
        <f t="shared" si="62"/>
        <v>#N/A</v>
      </c>
    </row>
    <row r="522" spans="1:16" x14ac:dyDescent="0.25">
      <c r="A522">
        <v>883</v>
      </c>
      <c r="B522">
        <v>62</v>
      </c>
      <c r="C522" t="s">
        <v>45</v>
      </c>
      <c r="D522" s="3">
        <v>97909</v>
      </c>
      <c r="E522">
        <v>100</v>
      </c>
      <c r="F522">
        <v>1</v>
      </c>
      <c r="G522">
        <v>5</v>
      </c>
      <c r="H522" t="s">
        <v>13</v>
      </c>
      <c r="I522">
        <v>439.63</v>
      </c>
      <c r="J522" t="str">
        <f t="shared" si="56"/>
        <v>Medium</v>
      </c>
      <c r="K522" s="4" t="e">
        <f t="shared" si="57"/>
        <v>#N/A</v>
      </c>
      <c r="L522" t="e">
        <f t="shared" si="58"/>
        <v>#N/A</v>
      </c>
      <c r="M522" s="3">
        <f t="shared" si="59"/>
        <v>97909</v>
      </c>
      <c r="N522">
        <f t="shared" si="60"/>
        <v>100</v>
      </c>
      <c r="O522" s="3" t="e">
        <f t="shared" si="61"/>
        <v>#N/A</v>
      </c>
      <c r="P522" t="e">
        <f t="shared" si="62"/>
        <v>#N/A</v>
      </c>
    </row>
    <row r="523" spans="1:16" x14ac:dyDescent="0.25">
      <c r="A523">
        <v>890</v>
      </c>
      <c r="B523">
        <v>60</v>
      </c>
      <c r="C523" t="s">
        <v>45</v>
      </c>
      <c r="D523" s="3">
        <v>73059</v>
      </c>
      <c r="E523">
        <v>77</v>
      </c>
      <c r="F523">
        <v>3</v>
      </c>
      <c r="G523">
        <v>31</v>
      </c>
      <c r="H523" t="s">
        <v>17</v>
      </c>
      <c r="I523">
        <v>581.15</v>
      </c>
      <c r="J523" t="str">
        <f t="shared" si="56"/>
        <v>Medium</v>
      </c>
      <c r="K523" s="4" t="e">
        <f t="shared" si="57"/>
        <v>#N/A</v>
      </c>
      <c r="L523" t="e">
        <f t="shared" si="58"/>
        <v>#N/A</v>
      </c>
      <c r="M523" s="3">
        <f t="shared" si="59"/>
        <v>73059</v>
      </c>
      <c r="N523">
        <f t="shared" si="60"/>
        <v>77</v>
      </c>
      <c r="O523" s="3" t="e">
        <f t="shared" si="61"/>
        <v>#N/A</v>
      </c>
      <c r="P523" t="e">
        <f t="shared" si="62"/>
        <v>#N/A</v>
      </c>
    </row>
    <row r="524" spans="1:16" x14ac:dyDescent="0.25">
      <c r="A524">
        <v>898</v>
      </c>
      <c r="B524">
        <v>64</v>
      </c>
      <c r="C524" t="s">
        <v>45</v>
      </c>
      <c r="D524" s="3">
        <v>82140</v>
      </c>
      <c r="E524">
        <v>57</v>
      </c>
      <c r="F524">
        <v>3</v>
      </c>
      <c r="G524">
        <v>7</v>
      </c>
      <c r="H524" t="s">
        <v>13</v>
      </c>
      <c r="I524">
        <v>97.97</v>
      </c>
      <c r="J524" t="str">
        <f t="shared" si="56"/>
        <v>Medium</v>
      </c>
      <c r="K524" s="4" t="e">
        <f t="shared" si="57"/>
        <v>#N/A</v>
      </c>
      <c r="L524" t="e">
        <f t="shared" si="58"/>
        <v>#N/A</v>
      </c>
      <c r="M524" s="3">
        <f t="shared" si="59"/>
        <v>82140</v>
      </c>
      <c r="N524">
        <f t="shared" si="60"/>
        <v>57</v>
      </c>
      <c r="O524" s="3" t="e">
        <f t="shared" si="61"/>
        <v>#N/A</v>
      </c>
      <c r="P524" t="e">
        <f t="shared" si="62"/>
        <v>#N/A</v>
      </c>
    </row>
    <row r="525" spans="1:16" x14ac:dyDescent="0.25">
      <c r="A525">
        <v>907</v>
      </c>
      <c r="B525">
        <v>62</v>
      </c>
      <c r="C525" t="s">
        <v>45</v>
      </c>
      <c r="D525" s="3">
        <v>113706</v>
      </c>
      <c r="E525">
        <v>19</v>
      </c>
      <c r="F525">
        <v>1</v>
      </c>
      <c r="G525">
        <v>13</v>
      </c>
      <c r="H525" t="s">
        <v>13</v>
      </c>
      <c r="I525">
        <v>427.68</v>
      </c>
      <c r="J525" t="str">
        <f t="shared" si="56"/>
        <v>High</v>
      </c>
      <c r="K525" s="4" t="e">
        <f t="shared" si="57"/>
        <v>#N/A</v>
      </c>
      <c r="L525" t="e">
        <f t="shared" si="58"/>
        <v>#N/A</v>
      </c>
      <c r="M525" s="3" t="e">
        <f t="shared" si="59"/>
        <v>#N/A</v>
      </c>
      <c r="N525" t="e">
        <f t="shared" si="60"/>
        <v>#N/A</v>
      </c>
      <c r="O525" s="3">
        <f t="shared" si="61"/>
        <v>113706</v>
      </c>
      <c r="P525">
        <f t="shared" si="62"/>
        <v>19</v>
      </c>
    </row>
    <row r="526" spans="1:16" x14ac:dyDescent="0.25">
      <c r="A526">
        <v>910</v>
      </c>
      <c r="B526">
        <v>55</v>
      </c>
      <c r="C526" t="s">
        <v>45</v>
      </c>
      <c r="D526" s="3">
        <v>45562</v>
      </c>
      <c r="E526">
        <v>68</v>
      </c>
      <c r="F526">
        <v>3</v>
      </c>
      <c r="G526">
        <v>30</v>
      </c>
      <c r="H526" t="s">
        <v>16</v>
      </c>
      <c r="I526">
        <v>628.34</v>
      </c>
      <c r="J526" t="str">
        <f t="shared" si="56"/>
        <v>Low</v>
      </c>
      <c r="K526" s="4">
        <f t="shared" si="57"/>
        <v>45562</v>
      </c>
      <c r="L526">
        <f t="shared" si="58"/>
        <v>68</v>
      </c>
      <c r="M526" s="3" t="e">
        <f t="shared" si="59"/>
        <v>#N/A</v>
      </c>
      <c r="N526" t="e">
        <f t="shared" si="60"/>
        <v>#N/A</v>
      </c>
      <c r="O526" s="3" t="e">
        <f t="shared" si="61"/>
        <v>#N/A</v>
      </c>
      <c r="P526" t="e">
        <f t="shared" si="62"/>
        <v>#N/A</v>
      </c>
    </row>
    <row r="527" spans="1:16" x14ac:dyDescent="0.25">
      <c r="A527">
        <v>919</v>
      </c>
      <c r="B527">
        <v>28</v>
      </c>
      <c r="C527" t="s">
        <v>45</v>
      </c>
      <c r="D527" s="3">
        <v>57107</v>
      </c>
      <c r="E527">
        <v>82</v>
      </c>
      <c r="F527">
        <v>5</v>
      </c>
      <c r="G527">
        <v>2</v>
      </c>
      <c r="H527" t="s">
        <v>13</v>
      </c>
      <c r="I527">
        <v>271.17</v>
      </c>
      <c r="J527" t="str">
        <f t="shared" si="56"/>
        <v>Medium</v>
      </c>
      <c r="K527" s="4" t="e">
        <f t="shared" si="57"/>
        <v>#N/A</v>
      </c>
      <c r="L527" t="e">
        <f t="shared" si="58"/>
        <v>#N/A</v>
      </c>
      <c r="M527" s="3">
        <f t="shared" si="59"/>
        <v>57107</v>
      </c>
      <c r="N527">
        <f t="shared" si="60"/>
        <v>82</v>
      </c>
      <c r="O527" s="3" t="e">
        <f t="shared" si="61"/>
        <v>#N/A</v>
      </c>
      <c r="P527" t="e">
        <f t="shared" si="62"/>
        <v>#N/A</v>
      </c>
    </row>
    <row r="528" spans="1:16" x14ac:dyDescent="0.25">
      <c r="A528">
        <v>925</v>
      </c>
      <c r="B528">
        <v>53</v>
      </c>
      <c r="C528" t="s">
        <v>45</v>
      </c>
      <c r="D528" s="3">
        <v>32539</v>
      </c>
      <c r="E528">
        <v>22</v>
      </c>
      <c r="F528">
        <v>6</v>
      </c>
      <c r="G528">
        <v>42</v>
      </c>
      <c r="H528" t="s">
        <v>13</v>
      </c>
      <c r="I528">
        <v>536.05999999999995</v>
      </c>
      <c r="J528" t="str">
        <f t="shared" si="56"/>
        <v>Low</v>
      </c>
      <c r="K528" s="4">
        <f t="shared" si="57"/>
        <v>32539</v>
      </c>
      <c r="L528">
        <f t="shared" si="58"/>
        <v>22</v>
      </c>
      <c r="M528" s="3" t="e">
        <f t="shared" si="59"/>
        <v>#N/A</v>
      </c>
      <c r="N528" t="e">
        <f t="shared" si="60"/>
        <v>#N/A</v>
      </c>
      <c r="O528" s="3" t="e">
        <f t="shared" si="61"/>
        <v>#N/A</v>
      </c>
      <c r="P528" t="e">
        <f t="shared" si="62"/>
        <v>#N/A</v>
      </c>
    </row>
    <row r="529" spans="1:16" x14ac:dyDescent="0.25">
      <c r="A529">
        <v>927</v>
      </c>
      <c r="B529">
        <v>46</v>
      </c>
      <c r="C529" t="s">
        <v>45</v>
      </c>
      <c r="D529" s="3">
        <v>46368</v>
      </c>
      <c r="E529">
        <v>11</v>
      </c>
      <c r="F529">
        <v>7</v>
      </c>
      <c r="G529">
        <v>17</v>
      </c>
      <c r="H529" t="s">
        <v>13</v>
      </c>
      <c r="I529">
        <v>869.05</v>
      </c>
      <c r="J529" t="str">
        <f t="shared" si="56"/>
        <v>Low</v>
      </c>
      <c r="K529" s="4">
        <f t="shared" si="57"/>
        <v>46368</v>
      </c>
      <c r="L529">
        <f t="shared" si="58"/>
        <v>11</v>
      </c>
      <c r="M529" s="3" t="e">
        <f t="shared" si="59"/>
        <v>#N/A</v>
      </c>
      <c r="N529" t="e">
        <f t="shared" si="60"/>
        <v>#N/A</v>
      </c>
      <c r="O529" s="3" t="e">
        <f t="shared" si="61"/>
        <v>#N/A</v>
      </c>
      <c r="P529" t="e">
        <f t="shared" si="62"/>
        <v>#N/A</v>
      </c>
    </row>
    <row r="530" spans="1:16" x14ac:dyDescent="0.25">
      <c r="A530">
        <v>930</v>
      </c>
      <c r="B530">
        <v>42</v>
      </c>
      <c r="C530" t="s">
        <v>45</v>
      </c>
      <c r="D530" s="3">
        <v>128064</v>
      </c>
      <c r="E530">
        <v>8</v>
      </c>
      <c r="F530">
        <v>8</v>
      </c>
      <c r="G530">
        <v>44</v>
      </c>
      <c r="H530" t="s">
        <v>16</v>
      </c>
      <c r="I530">
        <v>316.5</v>
      </c>
      <c r="J530" t="str">
        <f t="shared" si="56"/>
        <v>High</v>
      </c>
      <c r="K530" s="4" t="e">
        <f t="shared" si="57"/>
        <v>#N/A</v>
      </c>
      <c r="L530" t="e">
        <f t="shared" si="58"/>
        <v>#N/A</v>
      </c>
      <c r="M530" s="3" t="e">
        <f t="shared" si="59"/>
        <v>#N/A</v>
      </c>
      <c r="N530" t="e">
        <f t="shared" si="60"/>
        <v>#N/A</v>
      </c>
      <c r="O530" s="3">
        <f t="shared" si="61"/>
        <v>128064</v>
      </c>
      <c r="P530">
        <f t="shared" si="62"/>
        <v>8</v>
      </c>
    </row>
    <row r="531" spans="1:16" x14ac:dyDescent="0.25">
      <c r="A531">
        <v>935</v>
      </c>
      <c r="B531">
        <v>48</v>
      </c>
      <c r="C531" t="s">
        <v>45</v>
      </c>
      <c r="D531" s="3">
        <v>129592</v>
      </c>
      <c r="E531">
        <v>2</v>
      </c>
      <c r="F531">
        <v>3</v>
      </c>
      <c r="G531">
        <v>26</v>
      </c>
      <c r="H531" t="s">
        <v>17</v>
      </c>
      <c r="I531">
        <v>748.46</v>
      </c>
      <c r="J531" t="str">
        <f t="shared" si="56"/>
        <v>High</v>
      </c>
      <c r="K531" s="4" t="e">
        <f t="shared" si="57"/>
        <v>#N/A</v>
      </c>
      <c r="L531" t="e">
        <f t="shared" si="58"/>
        <v>#N/A</v>
      </c>
      <c r="M531" s="3" t="e">
        <f t="shared" si="59"/>
        <v>#N/A</v>
      </c>
      <c r="N531" t="e">
        <f t="shared" si="60"/>
        <v>#N/A</v>
      </c>
      <c r="O531" s="3">
        <f t="shared" si="61"/>
        <v>129592</v>
      </c>
      <c r="P531">
        <f t="shared" si="62"/>
        <v>2</v>
      </c>
    </row>
    <row r="532" spans="1:16" x14ac:dyDescent="0.25">
      <c r="A532">
        <v>938</v>
      </c>
      <c r="B532">
        <v>64</v>
      </c>
      <c r="C532" t="s">
        <v>45</v>
      </c>
      <c r="D532" s="3">
        <v>65498</v>
      </c>
      <c r="E532">
        <v>23</v>
      </c>
      <c r="F532">
        <v>5</v>
      </c>
      <c r="G532">
        <v>24</v>
      </c>
      <c r="H532" t="s">
        <v>17</v>
      </c>
      <c r="I532">
        <v>351.94</v>
      </c>
      <c r="J532" t="str">
        <f t="shared" si="56"/>
        <v>Medium</v>
      </c>
      <c r="K532" s="4" t="e">
        <f t="shared" si="57"/>
        <v>#N/A</v>
      </c>
      <c r="L532" t="e">
        <f t="shared" si="58"/>
        <v>#N/A</v>
      </c>
      <c r="M532" s="3">
        <f t="shared" si="59"/>
        <v>65498</v>
      </c>
      <c r="N532">
        <f t="shared" si="60"/>
        <v>23</v>
      </c>
      <c r="O532" s="3" t="e">
        <f t="shared" si="61"/>
        <v>#N/A</v>
      </c>
      <c r="P532" t="e">
        <f t="shared" si="62"/>
        <v>#N/A</v>
      </c>
    </row>
    <row r="533" spans="1:16" x14ac:dyDescent="0.25">
      <c r="A533">
        <v>947</v>
      </c>
      <c r="B533">
        <v>60</v>
      </c>
      <c r="C533" t="s">
        <v>45</v>
      </c>
      <c r="D533" s="3">
        <v>111493</v>
      </c>
      <c r="E533">
        <v>40</v>
      </c>
      <c r="F533">
        <v>10</v>
      </c>
      <c r="G533">
        <v>8</v>
      </c>
      <c r="H533" t="s">
        <v>16</v>
      </c>
      <c r="I533">
        <v>190.34</v>
      </c>
      <c r="J533" t="str">
        <f t="shared" si="56"/>
        <v>High</v>
      </c>
      <c r="K533" s="4" t="e">
        <f t="shared" si="57"/>
        <v>#N/A</v>
      </c>
      <c r="L533" t="e">
        <f t="shared" si="58"/>
        <v>#N/A</v>
      </c>
      <c r="M533" s="3" t="e">
        <f t="shared" si="59"/>
        <v>#N/A</v>
      </c>
      <c r="N533" t="e">
        <f t="shared" si="60"/>
        <v>#N/A</v>
      </c>
      <c r="O533" s="3">
        <f t="shared" si="61"/>
        <v>111493</v>
      </c>
      <c r="P533">
        <f t="shared" si="62"/>
        <v>40</v>
      </c>
    </row>
    <row r="534" spans="1:16" x14ac:dyDescent="0.25">
      <c r="A534">
        <v>950</v>
      </c>
      <c r="B534">
        <v>45</v>
      </c>
      <c r="C534" t="s">
        <v>45</v>
      </c>
      <c r="D534" s="3">
        <v>114390</v>
      </c>
      <c r="E534">
        <v>38</v>
      </c>
      <c r="F534">
        <v>3</v>
      </c>
      <c r="G534">
        <v>9</v>
      </c>
      <c r="H534" t="s">
        <v>16</v>
      </c>
      <c r="I534">
        <v>663.25</v>
      </c>
      <c r="J534" t="str">
        <f t="shared" si="56"/>
        <v>High</v>
      </c>
      <c r="K534" s="4" t="e">
        <f t="shared" si="57"/>
        <v>#N/A</v>
      </c>
      <c r="L534" t="e">
        <f t="shared" si="58"/>
        <v>#N/A</v>
      </c>
      <c r="M534" s="3" t="e">
        <f t="shared" si="59"/>
        <v>#N/A</v>
      </c>
      <c r="N534" t="e">
        <f t="shared" si="60"/>
        <v>#N/A</v>
      </c>
      <c r="O534" s="3">
        <f t="shared" si="61"/>
        <v>114390</v>
      </c>
      <c r="P534">
        <f t="shared" si="62"/>
        <v>38</v>
      </c>
    </row>
    <row r="535" spans="1:16" x14ac:dyDescent="0.25">
      <c r="A535">
        <v>956</v>
      </c>
      <c r="B535">
        <v>60</v>
      </c>
      <c r="C535" t="s">
        <v>45</v>
      </c>
      <c r="D535" s="3">
        <v>48802</v>
      </c>
      <c r="E535">
        <v>68</v>
      </c>
      <c r="F535">
        <v>1</v>
      </c>
      <c r="G535">
        <v>40</v>
      </c>
      <c r="H535" t="s">
        <v>16</v>
      </c>
      <c r="I535">
        <v>296.76</v>
      </c>
      <c r="J535" t="str">
        <f t="shared" si="56"/>
        <v>Low</v>
      </c>
      <c r="K535" s="4">
        <f t="shared" si="57"/>
        <v>48802</v>
      </c>
      <c r="L535">
        <f t="shared" si="58"/>
        <v>68</v>
      </c>
      <c r="M535" s="3" t="e">
        <f t="shared" si="59"/>
        <v>#N/A</v>
      </c>
      <c r="N535" t="e">
        <f t="shared" si="60"/>
        <v>#N/A</v>
      </c>
      <c r="O535" s="3" t="e">
        <f t="shared" si="61"/>
        <v>#N/A</v>
      </c>
      <c r="P535" t="e">
        <f t="shared" si="62"/>
        <v>#N/A</v>
      </c>
    </row>
    <row r="536" spans="1:16" x14ac:dyDescent="0.25">
      <c r="A536">
        <v>966</v>
      </c>
      <c r="B536">
        <v>58</v>
      </c>
      <c r="C536" t="s">
        <v>45</v>
      </c>
      <c r="D536" s="3">
        <v>133888</v>
      </c>
      <c r="E536">
        <v>92</v>
      </c>
      <c r="F536">
        <v>10</v>
      </c>
      <c r="G536">
        <v>14</v>
      </c>
      <c r="H536" t="s">
        <v>13</v>
      </c>
      <c r="I536">
        <v>628.29999999999995</v>
      </c>
      <c r="J536" t="str">
        <f t="shared" si="56"/>
        <v>High</v>
      </c>
      <c r="K536" s="4" t="e">
        <f t="shared" si="57"/>
        <v>#N/A</v>
      </c>
      <c r="L536" t="e">
        <f t="shared" si="58"/>
        <v>#N/A</v>
      </c>
      <c r="M536" s="3" t="e">
        <f t="shared" si="59"/>
        <v>#N/A</v>
      </c>
      <c r="N536" t="e">
        <f t="shared" si="60"/>
        <v>#N/A</v>
      </c>
      <c r="O536" s="3">
        <f t="shared" si="61"/>
        <v>133888</v>
      </c>
      <c r="P536">
        <f t="shared" si="62"/>
        <v>92</v>
      </c>
    </row>
    <row r="537" spans="1:16" x14ac:dyDescent="0.25">
      <c r="A537">
        <v>982</v>
      </c>
      <c r="B537">
        <v>59</v>
      </c>
      <c r="C537" t="s">
        <v>45</v>
      </c>
      <c r="D537" s="3">
        <v>87884</v>
      </c>
      <c r="E537">
        <v>79</v>
      </c>
      <c r="F537">
        <v>9</v>
      </c>
      <c r="G537">
        <v>28</v>
      </c>
      <c r="H537" t="s">
        <v>16</v>
      </c>
      <c r="I537">
        <v>491.55</v>
      </c>
      <c r="J537" t="str">
        <f t="shared" si="56"/>
        <v>Medium</v>
      </c>
      <c r="K537" s="4" t="e">
        <f t="shared" si="57"/>
        <v>#N/A</v>
      </c>
      <c r="L537" t="e">
        <f t="shared" si="58"/>
        <v>#N/A</v>
      </c>
      <c r="M537" s="3">
        <f t="shared" si="59"/>
        <v>87884</v>
      </c>
      <c r="N537">
        <f t="shared" si="60"/>
        <v>79</v>
      </c>
      <c r="O537" s="3" t="e">
        <f t="shared" si="61"/>
        <v>#N/A</v>
      </c>
      <c r="P537" t="e">
        <f t="shared" si="62"/>
        <v>#N/A</v>
      </c>
    </row>
    <row r="538" spans="1:16" x14ac:dyDescent="0.25">
      <c r="A538">
        <v>986</v>
      </c>
      <c r="B538">
        <v>66</v>
      </c>
      <c r="C538" t="s">
        <v>45</v>
      </c>
      <c r="D538" s="3">
        <v>78149</v>
      </c>
      <c r="E538">
        <v>2</v>
      </c>
      <c r="F538">
        <v>10</v>
      </c>
      <c r="G538">
        <v>9</v>
      </c>
      <c r="H538" t="s">
        <v>13</v>
      </c>
      <c r="I538">
        <v>579.27</v>
      </c>
      <c r="J538" t="str">
        <f t="shared" si="56"/>
        <v>Medium</v>
      </c>
      <c r="K538" s="4" t="e">
        <f t="shared" si="57"/>
        <v>#N/A</v>
      </c>
      <c r="L538" t="e">
        <f t="shared" si="58"/>
        <v>#N/A</v>
      </c>
      <c r="M538" s="3">
        <f t="shared" si="59"/>
        <v>78149</v>
      </c>
      <c r="N538">
        <f t="shared" si="60"/>
        <v>2</v>
      </c>
      <c r="O538" s="3" t="e">
        <f t="shared" si="61"/>
        <v>#N/A</v>
      </c>
      <c r="P538" t="e">
        <f t="shared" si="62"/>
        <v>#N/A</v>
      </c>
    </row>
    <row r="539" spans="1:16" x14ac:dyDescent="0.25">
      <c r="A539">
        <v>997</v>
      </c>
      <c r="B539">
        <v>23</v>
      </c>
      <c r="C539" t="s">
        <v>45</v>
      </c>
      <c r="D539" s="3">
        <v>65337</v>
      </c>
      <c r="E539">
        <v>76</v>
      </c>
      <c r="F539">
        <v>10</v>
      </c>
      <c r="G539">
        <v>23</v>
      </c>
      <c r="H539" t="s">
        <v>16</v>
      </c>
      <c r="I539">
        <v>632.83000000000004</v>
      </c>
      <c r="J539" t="str">
        <f t="shared" si="56"/>
        <v>Medium</v>
      </c>
      <c r="K539" s="4" t="e">
        <f t="shared" si="57"/>
        <v>#N/A</v>
      </c>
      <c r="L539" t="e">
        <f t="shared" si="58"/>
        <v>#N/A</v>
      </c>
      <c r="M539" s="3">
        <f t="shared" si="59"/>
        <v>65337</v>
      </c>
      <c r="N539">
        <f t="shared" si="60"/>
        <v>76</v>
      </c>
      <c r="O539" s="3" t="e">
        <f t="shared" si="61"/>
        <v>#N/A</v>
      </c>
      <c r="P539" t="e">
        <f t="shared" si="62"/>
        <v>#N/A</v>
      </c>
    </row>
    <row r="540" spans="1:16" x14ac:dyDescent="0.25">
      <c r="A540">
        <v>14</v>
      </c>
      <c r="B540">
        <v>64</v>
      </c>
      <c r="C540" t="s">
        <v>45</v>
      </c>
      <c r="D540" s="3">
        <v>33018</v>
      </c>
      <c r="E540">
        <v>46</v>
      </c>
      <c r="F540">
        <v>4</v>
      </c>
      <c r="G540">
        <v>3</v>
      </c>
      <c r="H540" t="s">
        <v>15</v>
      </c>
      <c r="I540">
        <v>221.35</v>
      </c>
      <c r="J540" t="str">
        <f t="shared" si="56"/>
        <v>Low</v>
      </c>
      <c r="K540" s="4">
        <f t="shared" si="57"/>
        <v>33018</v>
      </c>
      <c r="L540">
        <f t="shared" si="58"/>
        <v>46</v>
      </c>
      <c r="M540" s="3" t="e">
        <f t="shared" si="59"/>
        <v>#N/A</v>
      </c>
      <c r="N540" t="e">
        <f t="shared" si="60"/>
        <v>#N/A</v>
      </c>
      <c r="O540" s="3" t="e">
        <f t="shared" si="61"/>
        <v>#N/A</v>
      </c>
      <c r="P540" t="e">
        <f t="shared" si="62"/>
        <v>#N/A</v>
      </c>
    </row>
    <row r="541" spans="1:16" x14ac:dyDescent="0.25">
      <c r="A541">
        <v>23</v>
      </c>
      <c r="B541">
        <v>36</v>
      </c>
      <c r="C541" t="s">
        <v>45</v>
      </c>
      <c r="D541" s="3">
        <v>85473</v>
      </c>
      <c r="E541">
        <v>68</v>
      </c>
      <c r="F541">
        <v>1</v>
      </c>
      <c r="G541">
        <v>16</v>
      </c>
      <c r="H541" t="s">
        <v>15</v>
      </c>
      <c r="I541">
        <v>806.55</v>
      </c>
      <c r="J541" t="str">
        <f t="shared" si="56"/>
        <v>Medium</v>
      </c>
      <c r="K541" s="4" t="e">
        <f t="shared" si="57"/>
        <v>#N/A</v>
      </c>
      <c r="L541" t="e">
        <f t="shared" si="58"/>
        <v>#N/A</v>
      </c>
      <c r="M541" s="3">
        <f t="shared" si="59"/>
        <v>85473</v>
      </c>
      <c r="N541">
        <f t="shared" si="60"/>
        <v>68</v>
      </c>
      <c r="O541" s="3" t="e">
        <f t="shared" si="61"/>
        <v>#N/A</v>
      </c>
      <c r="P541" t="e">
        <f t="shared" si="62"/>
        <v>#N/A</v>
      </c>
    </row>
    <row r="542" spans="1:16" x14ac:dyDescent="0.25">
      <c r="A542">
        <v>35</v>
      </c>
      <c r="B542">
        <v>45</v>
      </c>
      <c r="C542" t="s">
        <v>45</v>
      </c>
      <c r="D542" s="3">
        <v>43138</v>
      </c>
      <c r="E542">
        <v>54</v>
      </c>
      <c r="F542">
        <v>10</v>
      </c>
      <c r="G542">
        <v>48</v>
      </c>
      <c r="H542" t="s">
        <v>15</v>
      </c>
      <c r="I542">
        <v>639.22</v>
      </c>
      <c r="J542" t="str">
        <f t="shared" si="56"/>
        <v>Low</v>
      </c>
      <c r="K542" s="4">
        <f t="shared" si="57"/>
        <v>43138</v>
      </c>
      <c r="L542">
        <f t="shared" si="58"/>
        <v>54</v>
      </c>
      <c r="M542" s="3" t="e">
        <f t="shared" si="59"/>
        <v>#N/A</v>
      </c>
      <c r="N542" t="e">
        <f t="shared" si="60"/>
        <v>#N/A</v>
      </c>
      <c r="O542" s="3" t="e">
        <f t="shared" si="61"/>
        <v>#N/A</v>
      </c>
      <c r="P542" t="e">
        <f t="shared" si="62"/>
        <v>#N/A</v>
      </c>
    </row>
    <row r="543" spans="1:16" x14ac:dyDescent="0.25">
      <c r="A543">
        <v>49</v>
      </c>
      <c r="B543">
        <v>19</v>
      </c>
      <c r="C543" t="s">
        <v>45</v>
      </c>
      <c r="D543" s="3">
        <v>85309</v>
      </c>
      <c r="E543">
        <v>65</v>
      </c>
      <c r="F543">
        <v>5</v>
      </c>
      <c r="G543">
        <v>10</v>
      </c>
      <c r="H543" t="s">
        <v>15</v>
      </c>
      <c r="I543">
        <v>28.55</v>
      </c>
      <c r="J543" t="str">
        <f t="shared" si="56"/>
        <v>Medium</v>
      </c>
      <c r="K543" s="4" t="e">
        <f t="shared" si="57"/>
        <v>#N/A</v>
      </c>
      <c r="L543" t="e">
        <f t="shared" si="58"/>
        <v>#N/A</v>
      </c>
      <c r="M543" s="3">
        <f t="shared" si="59"/>
        <v>85309</v>
      </c>
      <c r="N543">
        <f t="shared" si="60"/>
        <v>65</v>
      </c>
      <c r="O543" s="3" t="e">
        <f t="shared" si="61"/>
        <v>#N/A</v>
      </c>
      <c r="P543" t="e">
        <f t="shared" si="62"/>
        <v>#N/A</v>
      </c>
    </row>
    <row r="544" spans="1:16" x14ac:dyDescent="0.25">
      <c r="A544">
        <v>56</v>
      </c>
      <c r="B544">
        <v>42</v>
      </c>
      <c r="C544" t="s">
        <v>45</v>
      </c>
      <c r="D544" s="3">
        <v>73466</v>
      </c>
      <c r="E544">
        <v>50</v>
      </c>
      <c r="F544">
        <v>4</v>
      </c>
      <c r="G544">
        <v>13</v>
      </c>
      <c r="H544" t="s">
        <v>15</v>
      </c>
      <c r="I544">
        <v>903.07</v>
      </c>
      <c r="J544" t="str">
        <f t="shared" si="56"/>
        <v>Medium</v>
      </c>
      <c r="K544" s="4" t="e">
        <f t="shared" si="57"/>
        <v>#N/A</v>
      </c>
      <c r="L544" t="e">
        <f t="shared" si="58"/>
        <v>#N/A</v>
      </c>
      <c r="M544" s="3">
        <f t="shared" si="59"/>
        <v>73466</v>
      </c>
      <c r="N544">
        <f t="shared" si="60"/>
        <v>50</v>
      </c>
      <c r="O544" s="3" t="e">
        <f t="shared" si="61"/>
        <v>#N/A</v>
      </c>
      <c r="P544" t="e">
        <f t="shared" si="62"/>
        <v>#N/A</v>
      </c>
    </row>
    <row r="545" spans="1:16" x14ac:dyDescent="0.25">
      <c r="A545">
        <v>65</v>
      </c>
      <c r="B545">
        <v>27</v>
      </c>
      <c r="C545" t="s">
        <v>45</v>
      </c>
      <c r="D545" s="3">
        <v>90557</v>
      </c>
      <c r="E545">
        <v>36</v>
      </c>
      <c r="F545">
        <v>2</v>
      </c>
      <c r="G545">
        <v>2</v>
      </c>
      <c r="H545" t="s">
        <v>15</v>
      </c>
      <c r="I545">
        <v>494.55</v>
      </c>
      <c r="J545" t="str">
        <f t="shared" si="56"/>
        <v>Medium</v>
      </c>
      <c r="K545" s="4" t="e">
        <f t="shared" si="57"/>
        <v>#N/A</v>
      </c>
      <c r="L545" t="e">
        <f t="shared" si="58"/>
        <v>#N/A</v>
      </c>
      <c r="M545" s="3">
        <f t="shared" si="59"/>
        <v>90557</v>
      </c>
      <c r="N545">
        <f t="shared" si="60"/>
        <v>36</v>
      </c>
      <c r="O545" s="3" t="e">
        <f t="shared" si="61"/>
        <v>#N/A</v>
      </c>
      <c r="P545" t="e">
        <f t="shared" si="62"/>
        <v>#N/A</v>
      </c>
    </row>
    <row r="546" spans="1:16" x14ac:dyDescent="0.25">
      <c r="A546">
        <v>70</v>
      </c>
      <c r="B546">
        <v>49</v>
      </c>
      <c r="C546" t="s">
        <v>45</v>
      </c>
      <c r="D546" s="3">
        <v>40936</v>
      </c>
      <c r="E546">
        <v>32</v>
      </c>
      <c r="F546">
        <v>9</v>
      </c>
      <c r="G546">
        <v>49</v>
      </c>
      <c r="H546" t="s">
        <v>15</v>
      </c>
      <c r="I546">
        <v>495.62</v>
      </c>
      <c r="J546" t="str">
        <f t="shared" si="56"/>
        <v>Low</v>
      </c>
      <c r="K546" s="4">
        <f t="shared" si="57"/>
        <v>40936</v>
      </c>
      <c r="L546">
        <f t="shared" si="58"/>
        <v>32</v>
      </c>
      <c r="M546" s="3" t="e">
        <f t="shared" si="59"/>
        <v>#N/A</v>
      </c>
      <c r="N546" t="e">
        <f t="shared" si="60"/>
        <v>#N/A</v>
      </c>
      <c r="O546" s="3" t="e">
        <f t="shared" si="61"/>
        <v>#N/A</v>
      </c>
      <c r="P546" t="e">
        <f t="shared" si="62"/>
        <v>#N/A</v>
      </c>
    </row>
    <row r="547" spans="1:16" x14ac:dyDescent="0.25">
      <c r="A547">
        <v>95</v>
      </c>
      <c r="B547">
        <v>30</v>
      </c>
      <c r="C547" t="s">
        <v>45</v>
      </c>
      <c r="D547" s="3">
        <v>75926</v>
      </c>
      <c r="E547">
        <v>97</v>
      </c>
      <c r="F547">
        <v>10</v>
      </c>
      <c r="G547">
        <v>19</v>
      </c>
      <c r="H547" t="s">
        <v>15</v>
      </c>
      <c r="I547">
        <v>670.87</v>
      </c>
      <c r="J547" t="str">
        <f t="shared" si="56"/>
        <v>Medium</v>
      </c>
      <c r="K547" s="4" t="e">
        <f t="shared" si="57"/>
        <v>#N/A</v>
      </c>
      <c r="L547" t="e">
        <f t="shared" si="58"/>
        <v>#N/A</v>
      </c>
      <c r="M547" s="3">
        <f t="shared" si="59"/>
        <v>75926</v>
      </c>
      <c r="N547">
        <f t="shared" si="60"/>
        <v>97</v>
      </c>
      <c r="O547" s="3" t="e">
        <f t="shared" si="61"/>
        <v>#N/A</v>
      </c>
      <c r="P547" t="e">
        <f t="shared" si="62"/>
        <v>#N/A</v>
      </c>
    </row>
    <row r="548" spans="1:16" x14ac:dyDescent="0.25">
      <c r="A548">
        <v>99</v>
      </c>
      <c r="B548">
        <v>21</v>
      </c>
      <c r="C548" t="s">
        <v>45</v>
      </c>
      <c r="D548" s="3">
        <v>105024</v>
      </c>
      <c r="E548">
        <v>45</v>
      </c>
      <c r="F548">
        <v>3</v>
      </c>
      <c r="G548">
        <v>32</v>
      </c>
      <c r="H548" t="s">
        <v>15</v>
      </c>
      <c r="I548">
        <v>795.84</v>
      </c>
      <c r="J548" t="str">
        <f t="shared" si="56"/>
        <v>High</v>
      </c>
      <c r="K548" s="4" t="e">
        <f t="shared" si="57"/>
        <v>#N/A</v>
      </c>
      <c r="L548" t="e">
        <f t="shared" si="58"/>
        <v>#N/A</v>
      </c>
      <c r="M548" s="3" t="e">
        <f t="shared" si="59"/>
        <v>#N/A</v>
      </c>
      <c r="N548" t="e">
        <f t="shared" si="60"/>
        <v>#N/A</v>
      </c>
      <c r="O548" s="3">
        <f t="shared" si="61"/>
        <v>105024</v>
      </c>
      <c r="P548">
        <f t="shared" si="62"/>
        <v>45</v>
      </c>
    </row>
    <row r="549" spans="1:16" x14ac:dyDescent="0.25">
      <c r="A549">
        <v>107</v>
      </c>
      <c r="B549">
        <v>19</v>
      </c>
      <c r="C549" t="s">
        <v>45</v>
      </c>
      <c r="D549" s="3">
        <v>37993</v>
      </c>
      <c r="E549">
        <v>59</v>
      </c>
      <c r="F549">
        <v>6</v>
      </c>
      <c r="G549">
        <v>30</v>
      </c>
      <c r="H549" t="s">
        <v>15</v>
      </c>
      <c r="I549">
        <v>873.8</v>
      </c>
      <c r="J549" t="str">
        <f t="shared" si="56"/>
        <v>Low</v>
      </c>
      <c r="K549" s="4">
        <f t="shared" si="57"/>
        <v>37993</v>
      </c>
      <c r="L549">
        <f t="shared" si="58"/>
        <v>59</v>
      </c>
      <c r="M549" s="3" t="e">
        <f t="shared" si="59"/>
        <v>#N/A</v>
      </c>
      <c r="N549" t="e">
        <f t="shared" si="60"/>
        <v>#N/A</v>
      </c>
      <c r="O549" s="3" t="e">
        <f t="shared" si="61"/>
        <v>#N/A</v>
      </c>
      <c r="P549" t="e">
        <f t="shared" si="62"/>
        <v>#N/A</v>
      </c>
    </row>
    <row r="550" spans="1:16" x14ac:dyDescent="0.25">
      <c r="A550">
        <v>123</v>
      </c>
      <c r="B550">
        <v>26</v>
      </c>
      <c r="C550" t="s">
        <v>45</v>
      </c>
      <c r="D550" s="3">
        <v>55515</v>
      </c>
      <c r="E550">
        <v>29</v>
      </c>
      <c r="F550">
        <v>9</v>
      </c>
      <c r="G550">
        <v>37</v>
      </c>
      <c r="H550" t="s">
        <v>15</v>
      </c>
      <c r="I550">
        <v>50.57</v>
      </c>
      <c r="J550" t="str">
        <f t="shared" si="56"/>
        <v>Medium</v>
      </c>
      <c r="K550" s="4" t="e">
        <f t="shared" si="57"/>
        <v>#N/A</v>
      </c>
      <c r="L550" t="e">
        <f t="shared" si="58"/>
        <v>#N/A</v>
      </c>
      <c r="M550" s="3">
        <f t="shared" si="59"/>
        <v>55515</v>
      </c>
      <c r="N550">
        <f t="shared" si="60"/>
        <v>29</v>
      </c>
      <c r="O550" s="3" t="e">
        <f t="shared" si="61"/>
        <v>#N/A</v>
      </c>
      <c r="P550" t="e">
        <f t="shared" si="62"/>
        <v>#N/A</v>
      </c>
    </row>
    <row r="551" spans="1:16" x14ac:dyDescent="0.25">
      <c r="A551">
        <v>129</v>
      </c>
      <c r="B551">
        <v>67</v>
      </c>
      <c r="C551" t="s">
        <v>45</v>
      </c>
      <c r="D551" s="3">
        <v>40385</v>
      </c>
      <c r="E551">
        <v>64</v>
      </c>
      <c r="F551">
        <v>1</v>
      </c>
      <c r="G551">
        <v>17</v>
      </c>
      <c r="H551" t="s">
        <v>15</v>
      </c>
      <c r="I551">
        <v>957.06</v>
      </c>
      <c r="J551" t="str">
        <f t="shared" si="56"/>
        <v>Low</v>
      </c>
      <c r="K551" s="4">
        <f t="shared" si="57"/>
        <v>40385</v>
      </c>
      <c r="L551">
        <f t="shared" si="58"/>
        <v>64</v>
      </c>
      <c r="M551" s="3" t="e">
        <f t="shared" si="59"/>
        <v>#N/A</v>
      </c>
      <c r="N551" t="e">
        <f t="shared" si="60"/>
        <v>#N/A</v>
      </c>
      <c r="O551" s="3" t="e">
        <f t="shared" si="61"/>
        <v>#N/A</v>
      </c>
      <c r="P551" t="e">
        <f t="shared" si="62"/>
        <v>#N/A</v>
      </c>
    </row>
    <row r="552" spans="1:16" x14ac:dyDescent="0.25">
      <c r="A552">
        <v>162</v>
      </c>
      <c r="B552">
        <v>64</v>
      </c>
      <c r="C552" t="s">
        <v>45</v>
      </c>
      <c r="D552" s="3">
        <v>122472</v>
      </c>
      <c r="E552">
        <v>75</v>
      </c>
      <c r="F552">
        <v>1</v>
      </c>
      <c r="G552">
        <v>17</v>
      </c>
      <c r="H552" t="s">
        <v>15</v>
      </c>
      <c r="I552">
        <v>771.33</v>
      </c>
      <c r="J552" t="str">
        <f t="shared" si="56"/>
        <v>High</v>
      </c>
      <c r="K552" s="4" t="e">
        <f t="shared" si="57"/>
        <v>#N/A</v>
      </c>
      <c r="L552" t="e">
        <f t="shared" si="58"/>
        <v>#N/A</v>
      </c>
      <c r="M552" s="3" t="e">
        <f t="shared" si="59"/>
        <v>#N/A</v>
      </c>
      <c r="N552" t="e">
        <f t="shared" si="60"/>
        <v>#N/A</v>
      </c>
      <c r="O552" s="3">
        <f t="shared" si="61"/>
        <v>122472</v>
      </c>
      <c r="P552">
        <f t="shared" si="62"/>
        <v>75</v>
      </c>
    </row>
    <row r="553" spans="1:16" x14ac:dyDescent="0.25">
      <c r="A553">
        <v>164</v>
      </c>
      <c r="B553">
        <v>60</v>
      </c>
      <c r="C553" t="s">
        <v>45</v>
      </c>
      <c r="D553" s="3">
        <v>98771</v>
      </c>
      <c r="E553">
        <v>37</v>
      </c>
      <c r="F553">
        <v>8</v>
      </c>
      <c r="G553">
        <v>42</v>
      </c>
      <c r="H553" t="s">
        <v>15</v>
      </c>
      <c r="I553">
        <v>520.37</v>
      </c>
      <c r="J553" t="str">
        <f t="shared" si="56"/>
        <v>Medium</v>
      </c>
      <c r="K553" s="4" t="e">
        <f t="shared" si="57"/>
        <v>#N/A</v>
      </c>
      <c r="L553" t="e">
        <f t="shared" si="58"/>
        <v>#N/A</v>
      </c>
      <c r="M553" s="3">
        <f t="shared" si="59"/>
        <v>98771</v>
      </c>
      <c r="N553">
        <f t="shared" si="60"/>
        <v>37</v>
      </c>
      <c r="O553" s="3" t="e">
        <f t="shared" si="61"/>
        <v>#N/A</v>
      </c>
      <c r="P553" t="e">
        <f t="shared" si="62"/>
        <v>#N/A</v>
      </c>
    </row>
    <row r="554" spans="1:16" x14ac:dyDescent="0.25">
      <c r="A554">
        <v>236</v>
      </c>
      <c r="B554">
        <v>42</v>
      </c>
      <c r="C554" t="s">
        <v>45</v>
      </c>
      <c r="D554" s="3">
        <v>66495</v>
      </c>
      <c r="E554">
        <v>79</v>
      </c>
      <c r="F554">
        <v>9</v>
      </c>
      <c r="G554">
        <v>31</v>
      </c>
      <c r="H554" t="s">
        <v>15</v>
      </c>
      <c r="I554">
        <v>537.66</v>
      </c>
      <c r="J554" t="str">
        <f t="shared" si="56"/>
        <v>Medium</v>
      </c>
      <c r="K554" s="4" t="e">
        <f t="shared" si="57"/>
        <v>#N/A</v>
      </c>
      <c r="L554" t="e">
        <f t="shared" si="58"/>
        <v>#N/A</v>
      </c>
      <c r="M554" s="3">
        <f t="shared" si="59"/>
        <v>66495</v>
      </c>
      <c r="N554">
        <f t="shared" si="60"/>
        <v>79</v>
      </c>
      <c r="O554" s="3" t="e">
        <f t="shared" si="61"/>
        <v>#N/A</v>
      </c>
      <c r="P554" t="e">
        <f t="shared" si="62"/>
        <v>#N/A</v>
      </c>
    </row>
    <row r="555" spans="1:16" x14ac:dyDescent="0.25">
      <c r="A555">
        <v>247</v>
      </c>
      <c r="B555">
        <v>54</v>
      </c>
      <c r="C555" t="s">
        <v>45</v>
      </c>
      <c r="D555" s="3">
        <v>48896</v>
      </c>
      <c r="E555">
        <v>28</v>
      </c>
      <c r="F555">
        <v>9</v>
      </c>
      <c r="G555">
        <v>25</v>
      </c>
      <c r="H555" t="s">
        <v>15</v>
      </c>
      <c r="I555">
        <v>244.79</v>
      </c>
      <c r="J555" t="str">
        <f t="shared" si="56"/>
        <v>Low</v>
      </c>
      <c r="K555" s="4">
        <f t="shared" si="57"/>
        <v>48896</v>
      </c>
      <c r="L555">
        <f t="shared" si="58"/>
        <v>28</v>
      </c>
      <c r="M555" s="3" t="e">
        <f t="shared" si="59"/>
        <v>#N/A</v>
      </c>
      <c r="N555" t="e">
        <f t="shared" si="60"/>
        <v>#N/A</v>
      </c>
      <c r="O555" s="3" t="e">
        <f t="shared" si="61"/>
        <v>#N/A</v>
      </c>
      <c r="P555" t="e">
        <f t="shared" si="62"/>
        <v>#N/A</v>
      </c>
    </row>
    <row r="556" spans="1:16" x14ac:dyDescent="0.25">
      <c r="A556">
        <v>248</v>
      </c>
      <c r="B556">
        <v>28</v>
      </c>
      <c r="C556" t="s">
        <v>45</v>
      </c>
      <c r="D556" s="3">
        <v>48383</v>
      </c>
      <c r="E556">
        <v>57</v>
      </c>
      <c r="F556">
        <v>8</v>
      </c>
      <c r="G556">
        <v>35</v>
      </c>
      <c r="H556" t="s">
        <v>15</v>
      </c>
      <c r="I556">
        <v>17.97</v>
      </c>
      <c r="J556" t="str">
        <f t="shared" si="56"/>
        <v>Low</v>
      </c>
      <c r="K556" s="4">
        <f t="shared" si="57"/>
        <v>48383</v>
      </c>
      <c r="L556">
        <f t="shared" si="58"/>
        <v>57</v>
      </c>
      <c r="M556" s="3" t="e">
        <f t="shared" si="59"/>
        <v>#N/A</v>
      </c>
      <c r="N556" t="e">
        <f t="shared" si="60"/>
        <v>#N/A</v>
      </c>
      <c r="O556" s="3" t="e">
        <f t="shared" si="61"/>
        <v>#N/A</v>
      </c>
      <c r="P556" t="e">
        <f t="shared" si="62"/>
        <v>#N/A</v>
      </c>
    </row>
    <row r="557" spans="1:16" x14ac:dyDescent="0.25">
      <c r="A557">
        <v>261</v>
      </c>
      <c r="B557">
        <v>39</v>
      </c>
      <c r="C557" t="s">
        <v>45</v>
      </c>
      <c r="D557" s="3">
        <v>117432</v>
      </c>
      <c r="E557">
        <v>96</v>
      </c>
      <c r="F557">
        <v>7</v>
      </c>
      <c r="G557">
        <v>41</v>
      </c>
      <c r="H557" t="s">
        <v>15</v>
      </c>
      <c r="I557">
        <v>25.44</v>
      </c>
      <c r="J557" t="str">
        <f t="shared" si="56"/>
        <v>High</v>
      </c>
      <c r="K557" s="4" t="e">
        <f t="shared" si="57"/>
        <v>#N/A</v>
      </c>
      <c r="L557" t="e">
        <f t="shared" si="58"/>
        <v>#N/A</v>
      </c>
      <c r="M557" s="3" t="e">
        <f t="shared" si="59"/>
        <v>#N/A</v>
      </c>
      <c r="N557" t="e">
        <f t="shared" si="60"/>
        <v>#N/A</v>
      </c>
      <c r="O557" s="3">
        <f t="shared" si="61"/>
        <v>117432</v>
      </c>
      <c r="P557">
        <f t="shared" si="62"/>
        <v>96</v>
      </c>
    </row>
    <row r="558" spans="1:16" x14ac:dyDescent="0.25">
      <c r="A558">
        <v>293</v>
      </c>
      <c r="B558">
        <v>45</v>
      </c>
      <c r="C558" t="s">
        <v>45</v>
      </c>
      <c r="D558" s="3">
        <v>54819</v>
      </c>
      <c r="E558">
        <v>72</v>
      </c>
      <c r="F558">
        <v>3</v>
      </c>
      <c r="G558">
        <v>47</v>
      </c>
      <c r="H558" t="s">
        <v>15</v>
      </c>
      <c r="I558">
        <v>553.44000000000005</v>
      </c>
      <c r="J558" t="str">
        <f t="shared" si="56"/>
        <v>Medium</v>
      </c>
      <c r="K558" s="4" t="e">
        <f t="shared" si="57"/>
        <v>#N/A</v>
      </c>
      <c r="L558" t="e">
        <f t="shared" si="58"/>
        <v>#N/A</v>
      </c>
      <c r="M558" s="3">
        <f t="shared" si="59"/>
        <v>54819</v>
      </c>
      <c r="N558">
        <f t="shared" si="60"/>
        <v>72</v>
      </c>
      <c r="O558" s="3" t="e">
        <f t="shared" si="61"/>
        <v>#N/A</v>
      </c>
      <c r="P558" t="e">
        <f t="shared" si="62"/>
        <v>#N/A</v>
      </c>
    </row>
    <row r="559" spans="1:16" x14ac:dyDescent="0.25">
      <c r="A559">
        <v>296</v>
      </c>
      <c r="B559">
        <v>56</v>
      </c>
      <c r="C559" t="s">
        <v>45</v>
      </c>
      <c r="D559" s="3">
        <v>129611</v>
      </c>
      <c r="E559">
        <v>23</v>
      </c>
      <c r="F559">
        <v>3</v>
      </c>
      <c r="G559">
        <v>48</v>
      </c>
      <c r="H559" t="s">
        <v>15</v>
      </c>
      <c r="I559">
        <v>98.85</v>
      </c>
      <c r="J559" t="str">
        <f t="shared" si="56"/>
        <v>High</v>
      </c>
      <c r="K559" s="4" t="e">
        <f t="shared" si="57"/>
        <v>#N/A</v>
      </c>
      <c r="L559" t="e">
        <f t="shared" si="58"/>
        <v>#N/A</v>
      </c>
      <c r="M559" s="3" t="e">
        <f t="shared" si="59"/>
        <v>#N/A</v>
      </c>
      <c r="N559" t="e">
        <f t="shared" si="60"/>
        <v>#N/A</v>
      </c>
      <c r="O559" s="3">
        <f t="shared" si="61"/>
        <v>129611</v>
      </c>
      <c r="P559">
        <f t="shared" si="62"/>
        <v>23</v>
      </c>
    </row>
    <row r="560" spans="1:16" x14ac:dyDescent="0.25">
      <c r="A560">
        <v>332</v>
      </c>
      <c r="B560">
        <v>38</v>
      </c>
      <c r="C560" t="s">
        <v>45</v>
      </c>
      <c r="D560" s="3">
        <v>50518</v>
      </c>
      <c r="E560">
        <v>70</v>
      </c>
      <c r="F560">
        <v>1</v>
      </c>
      <c r="G560">
        <v>38</v>
      </c>
      <c r="H560" t="s">
        <v>15</v>
      </c>
      <c r="I560">
        <v>816.09</v>
      </c>
      <c r="J560" t="str">
        <f t="shared" si="56"/>
        <v>Medium</v>
      </c>
      <c r="K560" s="4" t="e">
        <f t="shared" si="57"/>
        <v>#N/A</v>
      </c>
      <c r="L560" t="e">
        <f t="shared" si="58"/>
        <v>#N/A</v>
      </c>
      <c r="M560" s="3">
        <f t="shared" si="59"/>
        <v>50518</v>
      </c>
      <c r="N560">
        <f t="shared" si="60"/>
        <v>70</v>
      </c>
      <c r="O560" s="3" t="e">
        <f t="shared" si="61"/>
        <v>#N/A</v>
      </c>
      <c r="P560" t="e">
        <f t="shared" si="62"/>
        <v>#N/A</v>
      </c>
    </row>
    <row r="561" spans="1:16" x14ac:dyDescent="0.25">
      <c r="A561">
        <v>333</v>
      </c>
      <c r="B561">
        <v>21</v>
      </c>
      <c r="C561" t="s">
        <v>45</v>
      </c>
      <c r="D561" s="3">
        <v>126598</v>
      </c>
      <c r="E561">
        <v>14</v>
      </c>
      <c r="F561">
        <v>3</v>
      </c>
      <c r="G561">
        <v>1</v>
      </c>
      <c r="H561" t="s">
        <v>15</v>
      </c>
      <c r="I561">
        <v>505.98</v>
      </c>
      <c r="J561" t="str">
        <f t="shared" si="56"/>
        <v>High</v>
      </c>
      <c r="K561" s="4" t="e">
        <f t="shared" si="57"/>
        <v>#N/A</v>
      </c>
      <c r="L561" t="e">
        <f t="shared" si="58"/>
        <v>#N/A</v>
      </c>
      <c r="M561" s="3" t="e">
        <f t="shared" si="59"/>
        <v>#N/A</v>
      </c>
      <c r="N561" t="e">
        <f t="shared" si="60"/>
        <v>#N/A</v>
      </c>
      <c r="O561" s="3">
        <f t="shared" si="61"/>
        <v>126598</v>
      </c>
      <c r="P561">
        <f t="shared" si="62"/>
        <v>14</v>
      </c>
    </row>
    <row r="562" spans="1:16" x14ac:dyDescent="0.25">
      <c r="A562">
        <v>354</v>
      </c>
      <c r="B562">
        <v>63</v>
      </c>
      <c r="C562" t="s">
        <v>45</v>
      </c>
      <c r="D562" s="3">
        <v>37003</v>
      </c>
      <c r="E562">
        <v>57</v>
      </c>
      <c r="F562">
        <v>4</v>
      </c>
      <c r="G562">
        <v>25</v>
      </c>
      <c r="H562" t="s">
        <v>15</v>
      </c>
      <c r="I562">
        <v>857.68</v>
      </c>
      <c r="J562" t="str">
        <f t="shared" si="56"/>
        <v>Low</v>
      </c>
      <c r="K562" s="4">
        <f t="shared" si="57"/>
        <v>37003</v>
      </c>
      <c r="L562">
        <f t="shared" si="58"/>
        <v>57</v>
      </c>
      <c r="M562" s="3" t="e">
        <f t="shared" si="59"/>
        <v>#N/A</v>
      </c>
      <c r="N562" t="e">
        <f t="shared" si="60"/>
        <v>#N/A</v>
      </c>
      <c r="O562" s="3" t="e">
        <f t="shared" si="61"/>
        <v>#N/A</v>
      </c>
      <c r="P562" t="e">
        <f t="shared" si="62"/>
        <v>#N/A</v>
      </c>
    </row>
    <row r="563" spans="1:16" x14ac:dyDescent="0.25">
      <c r="A563">
        <v>355</v>
      </c>
      <c r="B563">
        <v>38</v>
      </c>
      <c r="C563" t="s">
        <v>45</v>
      </c>
      <c r="D563" s="3">
        <v>81837</v>
      </c>
      <c r="E563">
        <v>68</v>
      </c>
      <c r="F563">
        <v>5</v>
      </c>
      <c r="G563">
        <v>6</v>
      </c>
      <c r="H563" t="s">
        <v>15</v>
      </c>
      <c r="I563">
        <v>349.35</v>
      </c>
      <c r="J563" t="str">
        <f t="shared" si="56"/>
        <v>Medium</v>
      </c>
      <c r="K563" s="4" t="e">
        <f t="shared" si="57"/>
        <v>#N/A</v>
      </c>
      <c r="L563" t="e">
        <f t="shared" si="58"/>
        <v>#N/A</v>
      </c>
      <c r="M563" s="3">
        <f t="shared" si="59"/>
        <v>81837</v>
      </c>
      <c r="N563">
        <f t="shared" si="60"/>
        <v>68</v>
      </c>
      <c r="O563" s="3" t="e">
        <f t="shared" si="61"/>
        <v>#N/A</v>
      </c>
      <c r="P563" t="e">
        <f t="shared" si="62"/>
        <v>#N/A</v>
      </c>
    </row>
    <row r="564" spans="1:16" x14ac:dyDescent="0.25">
      <c r="A564">
        <v>364</v>
      </c>
      <c r="B564">
        <v>63</v>
      </c>
      <c r="C564" t="s">
        <v>45</v>
      </c>
      <c r="D564" s="3">
        <v>145117</v>
      </c>
      <c r="E564">
        <v>66</v>
      </c>
      <c r="F564">
        <v>7</v>
      </c>
      <c r="G564">
        <v>12</v>
      </c>
      <c r="H564" t="s">
        <v>15</v>
      </c>
      <c r="I564">
        <v>971.02</v>
      </c>
      <c r="J564" t="str">
        <f t="shared" si="56"/>
        <v>High</v>
      </c>
      <c r="K564" s="4" t="e">
        <f t="shared" si="57"/>
        <v>#N/A</v>
      </c>
      <c r="L564" t="e">
        <f t="shared" si="58"/>
        <v>#N/A</v>
      </c>
      <c r="M564" s="3" t="e">
        <f t="shared" si="59"/>
        <v>#N/A</v>
      </c>
      <c r="N564" t="e">
        <f t="shared" si="60"/>
        <v>#N/A</v>
      </c>
      <c r="O564" s="3">
        <f t="shared" si="61"/>
        <v>145117</v>
      </c>
      <c r="P564">
        <f t="shared" si="62"/>
        <v>66</v>
      </c>
    </row>
    <row r="565" spans="1:16" x14ac:dyDescent="0.25">
      <c r="A565">
        <v>369</v>
      </c>
      <c r="B565">
        <v>63</v>
      </c>
      <c r="C565" t="s">
        <v>45</v>
      </c>
      <c r="D565" s="3">
        <v>77411</v>
      </c>
      <c r="E565">
        <v>20</v>
      </c>
      <c r="F565">
        <v>2</v>
      </c>
      <c r="G565">
        <v>37</v>
      </c>
      <c r="H565" t="s">
        <v>15</v>
      </c>
      <c r="I565">
        <v>648.38</v>
      </c>
      <c r="J565" t="str">
        <f t="shared" si="56"/>
        <v>Medium</v>
      </c>
      <c r="K565" s="4" t="e">
        <f t="shared" si="57"/>
        <v>#N/A</v>
      </c>
      <c r="L565" t="e">
        <f t="shared" si="58"/>
        <v>#N/A</v>
      </c>
      <c r="M565" s="3">
        <f t="shared" si="59"/>
        <v>77411</v>
      </c>
      <c r="N565">
        <f t="shared" si="60"/>
        <v>20</v>
      </c>
      <c r="O565" s="3" t="e">
        <f t="shared" si="61"/>
        <v>#N/A</v>
      </c>
      <c r="P565" t="e">
        <f t="shared" si="62"/>
        <v>#N/A</v>
      </c>
    </row>
    <row r="566" spans="1:16" x14ac:dyDescent="0.25">
      <c r="A566">
        <v>374</v>
      </c>
      <c r="B566">
        <v>64</v>
      </c>
      <c r="C566" t="s">
        <v>45</v>
      </c>
      <c r="D566" s="3">
        <v>84380</v>
      </c>
      <c r="E566">
        <v>69</v>
      </c>
      <c r="F566">
        <v>10</v>
      </c>
      <c r="G566">
        <v>28</v>
      </c>
      <c r="H566" t="s">
        <v>15</v>
      </c>
      <c r="I566">
        <v>212.08</v>
      </c>
      <c r="J566" t="str">
        <f t="shared" si="56"/>
        <v>Medium</v>
      </c>
      <c r="K566" s="4" t="e">
        <f t="shared" si="57"/>
        <v>#N/A</v>
      </c>
      <c r="L566" t="e">
        <f t="shared" si="58"/>
        <v>#N/A</v>
      </c>
      <c r="M566" s="3">
        <f t="shared" si="59"/>
        <v>84380</v>
      </c>
      <c r="N566">
        <f t="shared" si="60"/>
        <v>69</v>
      </c>
      <c r="O566" s="3" t="e">
        <f t="shared" si="61"/>
        <v>#N/A</v>
      </c>
      <c r="P566" t="e">
        <f t="shared" si="62"/>
        <v>#N/A</v>
      </c>
    </row>
    <row r="567" spans="1:16" x14ac:dyDescent="0.25">
      <c r="A567">
        <v>380</v>
      </c>
      <c r="B567">
        <v>59</v>
      </c>
      <c r="C567" t="s">
        <v>45</v>
      </c>
      <c r="D567" s="3">
        <v>140349</v>
      </c>
      <c r="E567">
        <v>75</v>
      </c>
      <c r="F567">
        <v>2</v>
      </c>
      <c r="G567">
        <v>6</v>
      </c>
      <c r="H567" t="s">
        <v>15</v>
      </c>
      <c r="I567">
        <v>383.64</v>
      </c>
      <c r="J567" t="str">
        <f t="shared" si="56"/>
        <v>High</v>
      </c>
      <c r="K567" s="4" t="e">
        <f t="shared" si="57"/>
        <v>#N/A</v>
      </c>
      <c r="L567" t="e">
        <f t="shared" si="58"/>
        <v>#N/A</v>
      </c>
      <c r="M567" s="3" t="e">
        <f t="shared" si="59"/>
        <v>#N/A</v>
      </c>
      <c r="N567" t="e">
        <f t="shared" si="60"/>
        <v>#N/A</v>
      </c>
      <c r="O567" s="3">
        <f t="shared" si="61"/>
        <v>140349</v>
      </c>
      <c r="P567">
        <f t="shared" si="62"/>
        <v>75</v>
      </c>
    </row>
    <row r="568" spans="1:16" x14ac:dyDescent="0.25">
      <c r="A568">
        <v>389</v>
      </c>
      <c r="B568">
        <v>34</v>
      </c>
      <c r="C568" t="s">
        <v>45</v>
      </c>
      <c r="D568" s="3">
        <v>118622</v>
      </c>
      <c r="E568">
        <v>99</v>
      </c>
      <c r="F568">
        <v>4</v>
      </c>
      <c r="G568">
        <v>47</v>
      </c>
      <c r="H568" t="s">
        <v>15</v>
      </c>
      <c r="I568">
        <v>122.21</v>
      </c>
      <c r="J568" t="str">
        <f t="shared" si="56"/>
        <v>High</v>
      </c>
      <c r="K568" s="4" t="e">
        <f t="shared" si="57"/>
        <v>#N/A</v>
      </c>
      <c r="L568" t="e">
        <f t="shared" si="58"/>
        <v>#N/A</v>
      </c>
      <c r="M568" s="3" t="e">
        <f t="shared" si="59"/>
        <v>#N/A</v>
      </c>
      <c r="N568" t="e">
        <f t="shared" si="60"/>
        <v>#N/A</v>
      </c>
      <c r="O568" s="3">
        <f t="shared" si="61"/>
        <v>118622</v>
      </c>
      <c r="P568">
        <f t="shared" si="62"/>
        <v>99</v>
      </c>
    </row>
    <row r="569" spans="1:16" x14ac:dyDescent="0.25">
      <c r="A569">
        <v>416</v>
      </c>
      <c r="B569">
        <v>38</v>
      </c>
      <c r="C569" t="s">
        <v>45</v>
      </c>
      <c r="D569" s="3">
        <v>51327</v>
      </c>
      <c r="E569">
        <v>62</v>
      </c>
      <c r="F569">
        <v>5</v>
      </c>
      <c r="G569">
        <v>24</v>
      </c>
      <c r="H569" t="s">
        <v>15</v>
      </c>
      <c r="I569">
        <v>645.42999999999995</v>
      </c>
      <c r="J569" t="str">
        <f t="shared" si="56"/>
        <v>Medium</v>
      </c>
      <c r="K569" s="4" t="e">
        <f t="shared" si="57"/>
        <v>#N/A</v>
      </c>
      <c r="L569" t="e">
        <f t="shared" si="58"/>
        <v>#N/A</v>
      </c>
      <c r="M569" s="3">
        <f t="shared" si="59"/>
        <v>51327</v>
      </c>
      <c r="N569">
        <f t="shared" si="60"/>
        <v>62</v>
      </c>
      <c r="O569" s="3" t="e">
        <f t="shared" si="61"/>
        <v>#N/A</v>
      </c>
      <c r="P569" t="e">
        <f t="shared" si="62"/>
        <v>#N/A</v>
      </c>
    </row>
    <row r="570" spans="1:16" x14ac:dyDescent="0.25">
      <c r="A570">
        <v>436</v>
      </c>
      <c r="B570">
        <v>52</v>
      </c>
      <c r="C570" t="s">
        <v>45</v>
      </c>
      <c r="D570" s="3">
        <v>136827</v>
      </c>
      <c r="E570">
        <v>87</v>
      </c>
      <c r="F570">
        <v>5</v>
      </c>
      <c r="G570">
        <v>20</v>
      </c>
      <c r="H570" t="s">
        <v>15</v>
      </c>
      <c r="I570">
        <v>322.29000000000002</v>
      </c>
      <c r="J570" t="str">
        <f t="shared" si="56"/>
        <v>High</v>
      </c>
      <c r="K570" s="4" t="e">
        <f t="shared" si="57"/>
        <v>#N/A</v>
      </c>
      <c r="L570" t="e">
        <f t="shared" si="58"/>
        <v>#N/A</v>
      </c>
      <c r="M570" s="3" t="e">
        <f t="shared" si="59"/>
        <v>#N/A</v>
      </c>
      <c r="N570" t="e">
        <f t="shared" si="60"/>
        <v>#N/A</v>
      </c>
      <c r="O570" s="3">
        <f t="shared" si="61"/>
        <v>136827</v>
      </c>
      <c r="P570">
        <f t="shared" si="62"/>
        <v>87</v>
      </c>
    </row>
    <row r="571" spans="1:16" x14ac:dyDescent="0.25">
      <c r="A571">
        <v>508</v>
      </c>
      <c r="B571">
        <v>48</v>
      </c>
      <c r="C571" t="s">
        <v>45</v>
      </c>
      <c r="D571" s="3">
        <v>72108</v>
      </c>
      <c r="E571">
        <v>85</v>
      </c>
      <c r="F571">
        <v>8</v>
      </c>
      <c r="G571">
        <v>13</v>
      </c>
      <c r="H571" t="s">
        <v>15</v>
      </c>
      <c r="I571">
        <v>486.58</v>
      </c>
      <c r="J571" t="str">
        <f t="shared" si="56"/>
        <v>Medium</v>
      </c>
      <c r="K571" s="4" t="e">
        <f t="shared" si="57"/>
        <v>#N/A</v>
      </c>
      <c r="L571" t="e">
        <f t="shared" si="58"/>
        <v>#N/A</v>
      </c>
      <c r="M571" s="3">
        <f t="shared" si="59"/>
        <v>72108</v>
      </c>
      <c r="N571">
        <f t="shared" si="60"/>
        <v>85</v>
      </c>
      <c r="O571" s="3" t="e">
        <f t="shared" si="61"/>
        <v>#N/A</v>
      </c>
      <c r="P571" t="e">
        <f t="shared" si="62"/>
        <v>#N/A</v>
      </c>
    </row>
    <row r="572" spans="1:16" x14ac:dyDescent="0.25">
      <c r="A572">
        <v>509</v>
      </c>
      <c r="B572">
        <v>68</v>
      </c>
      <c r="C572" t="s">
        <v>45</v>
      </c>
      <c r="D572" s="3">
        <v>113760</v>
      </c>
      <c r="E572">
        <v>64</v>
      </c>
      <c r="F572">
        <v>2</v>
      </c>
      <c r="G572">
        <v>37</v>
      </c>
      <c r="H572" t="s">
        <v>15</v>
      </c>
      <c r="I572">
        <v>462.62</v>
      </c>
      <c r="J572" t="str">
        <f t="shared" si="56"/>
        <v>High</v>
      </c>
      <c r="K572" s="4" t="e">
        <f t="shared" si="57"/>
        <v>#N/A</v>
      </c>
      <c r="L572" t="e">
        <f t="shared" si="58"/>
        <v>#N/A</v>
      </c>
      <c r="M572" s="3" t="e">
        <f t="shared" si="59"/>
        <v>#N/A</v>
      </c>
      <c r="N572" t="e">
        <f t="shared" si="60"/>
        <v>#N/A</v>
      </c>
      <c r="O572" s="3">
        <f t="shared" si="61"/>
        <v>113760</v>
      </c>
      <c r="P572">
        <f t="shared" si="62"/>
        <v>64</v>
      </c>
    </row>
    <row r="573" spans="1:16" x14ac:dyDescent="0.25">
      <c r="A573">
        <v>511</v>
      </c>
      <c r="B573">
        <v>24</v>
      </c>
      <c r="C573" t="s">
        <v>45</v>
      </c>
      <c r="D573" s="3">
        <v>109039</v>
      </c>
      <c r="E573">
        <v>71</v>
      </c>
      <c r="F573">
        <v>9</v>
      </c>
      <c r="G573">
        <v>41</v>
      </c>
      <c r="H573" t="s">
        <v>15</v>
      </c>
      <c r="I573">
        <v>606.17999999999995</v>
      </c>
      <c r="J573" t="str">
        <f t="shared" si="56"/>
        <v>High</v>
      </c>
      <c r="K573" s="4" t="e">
        <f t="shared" si="57"/>
        <v>#N/A</v>
      </c>
      <c r="L573" t="e">
        <f t="shared" si="58"/>
        <v>#N/A</v>
      </c>
      <c r="M573" s="3" t="e">
        <f t="shared" si="59"/>
        <v>#N/A</v>
      </c>
      <c r="N573" t="e">
        <f t="shared" si="60"/>
        <v>#N/A</v>
      </c>
      <c r="O573" s="3">
        <f t="shared" si="61"/>
        <v>109039</v>
      </c>
      <c r="P573">
        <f t="shared" si="62"/>
        <v>71</v>
      </c>
    </row>
    <row r="574" spans="1:16" x14ac:dyDescent="0.25">
      <c r="A574">
        <v>533</v>
      </c>
      <c r="B574">
        <v>36</v>
      </c>
      <c r="C574" t="s">
        <v>45</v>
      </c>
      <c r="D574" s="3">
        <v>113794</v>
      </c>
      <c r="E574">
        <v>74</v>
      </c>
      <c r="F574">
        <v>1</v>
      </c>
      <c r="G574">
        <v>27</v>
      </c>
      <c r="H574" t="s">
        <v>15</v>
      </c>
      <c r="I574">
        <v>377.75</v>
      </c>
      <c r="J574" t="str">
        <f t="shared" si="56"/>
        <v>High</v>
      </c>
      <c r="K574" s="4" t="e">
        <f t="shared" si="57"/>
        <v>#N/A</v>
      </c>
      <c r="L574" t="e">
        <f t="shared" si="58"/>
        <v>#N/A</v>
      </c>
      <c r="M574" s="3" t="e">
        <f t="shared" si="59"/>
        <v>#N/A</v>
      </c>
      <c r="N574" t="e">
        <f t="shared" si="60"/>
        <v>#N/A</v>
      </c>
      <c r="O574" s="3">
        <f t="shared" si="61"/>
        <v>113794</v>
      </c>
      <c r="P574">
        <f t="shared" si="62"/>
        <v>74</v>
      </c>
    </row>
    <row r="575" spans="1:16" x14ac:dyDescent="0.25">
      <c r="A575">
        <v>535</v>
      </c>
      <c r="B575">
        <v>46</v>
      </c>
      <c r="C575" t="s">
        <v>45</v>
      </c>
      <c r="D575" s="3">
        <v>61090</v>
      </c>
      <c r="E575">
        <v>3</v>
      </c>
      <c r="F575">
        <v>4</v>
      </c>
      <c r="G575">
        <v>3</v>
      </c>
      <c r="H575" t="s">
        <v>15</v>
      </c>
      <c r="I575">
        <v>213.68</v>
      </c>
      <c r="J575" t="str">
        <f t="shared" si="56"/>
        <v>Medium</v>
      </c>
      <c r="K575" s="4" t="e">
        <f t="shared" si="57"/>
        <v>#N/A</v>
      </c>
      <c r="L575" t="e">
        <f t="shared" si="58"/>
        <v>#N/A</v>
      </c>
      <c r="M575" s="3">
        <f t="shared" si="59"/>
        <v>61090</v>
      </c>
      <c r="N575">
        <f t="shared" si="60"/>
        <v>3</v>
      </c>
      <c r="O575" s="3" t="e">
        <f t="shared" si="61"/>
        <v>#N/A</v>
      </c>
      <c r="P575" t="e">
        <f t="shared" si="62"/>
        <v>#N/A</v>
      </c>
    </row>
    <row r="576" spans="1:16" x14ac:dyDescent="0.25">
      <c r="A576">
        <v>555</v>
      </c>
      <c r="B576">
        <v>66</v>
      </c>
      <c r="C576" t="s">
        <v>45</v>
      </c>
      <c r="D576" s="3">
        <v>53345</v>
      </c>
      <c r="E576">
        <v>100</v>
      </c>
      <c r="F576">
        <v>4</v>
      </c>
      <c r="G576">
        <v>22</v>
      </c>
      <c r="H576" t="s">
        <v>15</v>
      </c>
      <c r="I576">
        <v>221.75</v>
      </c>
      <c r="J576" t="str">
        <f t="shared" si="56"/>
        <v>Medium</v>
      </c>
      <c r="K576" s="4" t="e">
        <f t="shared" si="57"/>
        <v>#N/A</v>
      </c>
      <c r="L576" t="e">
        <f t="shared" si="58"/>
        <v>#N/A</v>
      </c>
      <c r="M576" s="3">
        <f t="shared" si="59"/>
        <v>53345</v>
      </c>
      <c r="N576">
        <f t="shared" si="60"/>
        <v>100</v>
      </c>
      <c r="O576" s="3" t="e">
        <f t="shared" si="61"/>
        <v>#N/A</v>
      </c>
      <c r="P576" t="e">
        <f t="shared" si="62"/>
        <v>#N/A</v>
      </c>
    </row>
    <row r="577" spans="1:16" x14ac:dyDescent="0.25">
      <c r="A577">
        <v>594</v>
      </c>
      <c r="B577">
        <v>29</v>
      </c>
      <c r="C577" t="s">
        <v>45</v>
      </c>
      <c r="D577" s="3">
        <v>98150</v>
      </c>
      <c r="E577">
        <v>42</v>
      </c>
      <c r="F577">
        <v>9</v>
      </c>
      <c r="G577">
        <v>34</v>
      </c>
      <c r="H577" t="s">
        <v>15</v>
      </c>
      <c r="I577">
        <v>324.11</v>
      </c>
      <c r="J577" t="str">
        <f t="shared" si="56"/>
        <v>Medium</v>
      </c>
      <c r="K577" s="4" t="e">
        <f t="shared" si="57"/>
        <v>#N/A</v>
      </c>
      <c r="L577" t="e">
        <f t="shared" si="58"/>
        <v>#N/A</v>
      </c>
      <c r="M577" s="3">
        <f t="shared" si="59"/>
        <v>98150</v>
      </c>
      <c r="N577">
        <f t="shared" si="60"/>
        <v>42</v>
      </c>
      <c r="O577" s="3" t="e">
        <f t="shared" si="61"/>
        <v>#N/A</v>
      </c>
      <c r="P577" t="e">
        <f t="shared" si="62"/>
        <v>#N/A</v>
      </c>
    </row>
    <row r="578" spans="1:16" x14ac:dyDescent="0.25">
      <c r="A578">
        <v>618</v>
      </c>
      <c r="B578">
        <v>53</v>
      </c>
      <c r="C578" t="s">
        <v>45</v>
      </c>
      <c r="D578" s="3">
        <v>62024</v>
      </c>
      <c r="E578">
        <v>13</v>
      </c>
      <c r="F578">
        <v>2</v>
      </c>
      <c r="G578">
        <v>39</v>
      </c>
      <c r="H578" t="s">
        <v>15</v>
      </c>
      <c r="I578">
        <v>66.599999999999994</v>
      </c>
      <c r="J578" t="str">
        <f t="shared" ref="J578:J641" si="63">IF(D578&lt;50000,"Low",IF(D578&lt;100000,"Medium","High"))</f>
        <v>Medium</v>
      </c>
      <c r="K578" s="4" t="e">
        <f t="shared" ref="K578:K641" si="64">IF($J578="Low",$D578,NA())</f>
        <v>#N/A</v>
      </c>
      <c r="L578" t="e">
        <f t="shared" ref="L578:L641" si="65">IF($J578="Low",$E578,NA())</f>
        <v>#N/A</v>
      </c>
      <c r="M578" s="3">
        <f t="shared" ref="M578:M641" si="66">IF($J578="Medium",$D578,NA())</f>
        <v>62024</v>
      </c>
      <c r="N578">
        <f t="shared" ref="N578:N641" si="67">IF($J578="Medium",$E578,NA())</f>
        <v>13</v>
      </c>
      <c r="O578" s="3" t="e">
        <f t="shared" ref="O578:O641" si="68">IF($J578="High",$D578,NA())</f>
        <v>#N/A</v>
      </c>
      <c r="P578" t="e">
        <f t="shared" ref="P578:P641" si="69">IF($J578="High",$E578,NA())</f>
        <v>#N/A</v>
      </c>
    </row>
    <row r="579" spans="1:16" x14ac:dyDescent="0.25">
      <c r="A579">
        <v>620</v>
      </c>
      <c r="B579">
        <v>53</v>
      </c>
      <c r="C579" t="s">
        <v>45</v>
      </c>
      <c r="D579" s="3">
        <v>50215</v>
      </c>
      <c r="E579">
        <v>92</v>
      </c>
      <c r="F579">
        <v>6</v>
      </c>
      <c r="G579">
        <v>48</v>
      </c>
      <c r="H579" t="s">
        <v>15</v>
      </c>
      <c r="I579">
        <v>814.52</v>
      </c>
      <c r="J579" t="str">
        <f t="shared" si="63"/>
        <v>Medium</v>
      </c>
      <c r="K579" s="4" t="e">
        <f t="shared" si="64"/>
        <v>#N/A</v>
      </c>
      <c r="L579" t="e">
        <f t="shared" si="65"/>
        <v>#N/A</v>
      </c>
      <c r="M579" s="3">
        <f t="shared" si="66"/>
        <v>50215</v>
      </c>
      <c r="N579">
        <f t="shared" si="67"/>
        <v>92</v>
      </c>
      <c r="O579" s="3" t="e">
        <f t="shared" si="68"/>
        <v>#N/A</v>
      </c>
      <c r="P579" t="e">
        <f t="shared" si="69"/>
        <v>#N/A</v>
      </c>
    </row>
    <row r="580" spans="1:16" x14ac:dyDescent="0.25">
      <c r="A580">
        <v>622</v>
      </c>
      <c r="B580">
        <v>33</v>
      </c>
      <c r="C580" t="s">
        <v>45</v>
      </c>
      <c r="D580" s="3">
        <v>102269</v>
      </c>
      <c r="E580">
        <v>26</v>
      </c>
      <c r="F580">
        <v>8</v>
      </c>
      <c r="G580">
        <v>47</v>
      </c>
      <c r="H580" t="s">
        <v>15</v>
      </c>
      <c r="I580">
        <v>356.67</v>
      </c>
      <c r="J580" t="str">
        <f t="shared" si="63"/>
        <v>High</v>
      </c>
      <c r="K580" s="4" t="e">
        <f t="shared" si="64"/>
        <v>#N/A</v>
      </c>
      <c r="L580" t="e">
        <f t="shared" si="65"/>
        <v>#N/A</v>
      </c>
      <c r="M580" s="3" t="e">
        <f t="shared" si="66"/>
        <v>#N/A</v>
      </c>
      <c r="N580" t="e">
        <f t="shared" si="67"/>
        <v>#N/A</v>
      </c>
      <c r="O580" s="3">
        <f t="shared" si="68"/>
        <v>102269</v>
      </c>
      <c r="P580">
        <f t="shared" si="69"/>
        <v>26</v>
      </c>
    </row>
    <row r="581" spans="1:16" x14ac:dyDescent="0.25">
      <c r="A581">
        <v>628</v>
      </c>
      <c r="B581">
        <v>39</v>
      </c>
      <c r="C581" t="s">
        <v>45</v>
      </c>
      <c r="D581" s="3">
        <v>108744</v>
      </c>
      <c r="E581">
        <v>63</v>
      </c>
      <c r="F581">
        <v>2</v>
      </c>
      <c r="G581">
        <v>23</v>
      </c>
      <c r="H581" t="s">
        <v>15</v>
      </c>
      <c r="I581">
        <v>411.86</v>
      </c>
      <c r="J581" t="str">
        <f t="shared" si="63"/>
        <v>High</v>
      </c>
      <c r="K581" s="4" t="e">
        <f t="shared" si="64"/>
        <v>#N/A</v>
      </c>
      <c r="L581" t="e">
        <f t="shared" si="65"/>
        <v>#N/A</v>
      </c>
      <c r="M581" s="3" t="e">
        <f t="shared" si="66"/>
        <v>#N/A</v>
      </c>
      <c r="N581" t="e">
        <f t="shared" si="67"/>
        <v>#N/A</v>
      </c>
      <c r="O581" s="3">
        <f t="shared" si="68"/>
        <v>108744</v>
      </c>
      <c r="P581">
        <f t="shared" si="69"/>
        <v>63</v>
      </c>
    </row>
    <row r="582" spans="1:16" x14ac:dyDescent="0.25">
      <c r="A582">
        <v>641</v>
      </c>
      <c r="B582">
        <v>59</v>
      </c>
      <c r="C582" t="s">
        <v>45</v>
      </c>
      <c r="D582" s="3">
        <v>141667</v>
      </c>
      <c r="E582">
        <v>28</v>
      </c>
      <c r="F582">
        <v>4</v>
      </c>
      <c r="G582">
        <v>5</v>
      </c>
      <c r="H582" t="s">
        <v>15</v>
      </c>
      <c r="I582">
        <v>204.25</v>
      </c>
      <c r="J582" t="str">
        <f t="shared" si="63"/>
        <v>High</v>
      </c>
      <c r="K582" s="4" t="e">
        <f t="shared" si="64"/>
        <v>#N/A</v>
      </c>
      <c r="L582" t="e">
        <f t="shared" si="65"/>
        <v>#N/A</v>
      </c>
      <c r="M582" s="3" t="e">
        <f t="shared" si="66"/>
        <v>#N/A</v>
      </c>
      <c r="N582" t="e">
        <f t="shared" si="67"/>
        <v>#N/A</v>
      </c>
      <c r="O582" s="3">
        <f t="shared" si="68"/>
        <v>141667</v>
      </c>
      <c r="P582">
        <f t="shared" si="69"/>
        <v>28</v>
      </c>
    </row>
    <row r="583" spans="1:16" x14ac:dyDescent="0.25">
      <c r="A583">
        <v>666</v>
      </c>
      <c r="B583">
        <v>31</v>
      </c>
      <c r="C583" t="s">
        <v>45</v>
      </c>
      <c r="D583" s="3">
        <v>85972</v>
      </c>
      <c r="E583">
        <v>62</v>
      </c>
      <c r="F583">
        <v>9</v>
      </c>
      <c r="G583">
        <v>25</v>
      </c>
      <c r="H583" t="s">
        <v>15</v>
      </c>
      <c r="I583">
        <v>914.63</v>
      </c>
      <c r="J583" t="str">
        <f t="shared" si="63"/>
        <v>Medium</v>
      </c>
      <c r="K583" s="4" t="e">
        <f t="shared" si="64"/>
        <v>#N/A</v>
      </c>
      <c r="L583" t="e">
        <f t="shared" si="65"/>
        <v>#N/A</v>
      </c>
      <c r="M583" s="3">
        <f t="shared" si="66"/>
        <v>85972</v>
      </c>
      <c r="N583">
        <f t="shared" si="67"/>
        <v>62</v>
      </c>
      <c r="O583" s="3" t="e">
        <f t="shared" si="68"/>
        <v>#N/A</v>
      </c>
      <c r="P583" t="e">
        <f t="shared" si="69"/>
        <v>#N/A</v>
      </c>
    </row>
    <row r="584" spans="1:16" x14ac:dyDescent="0.25">
      <c r="A584">
        <v>711</v>
      </c>
      <c r="B584">
        <v>43</v>
      </c>
      <c r="C584" t="s">
        <v>45</v>
      </c>
      <c r="D584" s="3">
        <v>51398</v>
      </c>
      <c r="E584">
        <v>12</v>
      </c>
      <c r="F584">
        <v>4</v>
      </c>
      <c r="G584">
        <v>26</v>
      </c>
      <c r="H584" t="s">
        <v>15</v>
      </c>
      <c r="I584">
        <v>117.85</v>
      </c>
      <c r="J584" t="str">
        <f t="shared" si="63"/>
        <v>Medium</v>
      </c>
      <c r="K584" s="4" t="e">
        <f t="shared" si="64"/>
        <v>#N/A</v>
      </c>
      <c r="L584" t="e">
        <f t="shared" si="65"/>
        <v>#N/A</v>
      </c>
      <c r="M584" s="3">
        <f t="shared" si="66"/>
        <v>51398</v>
      </c>
      <c r="N584">
        <f t="shared" si="67"/>
        <v>12</v>
      </c>
      <c r="O584" s="3" t="e">
        <f t="shared" si="68"/>
        <v>#N/A</v>
      </c>
      <c r="P584" t="e">
        <f t="shared" si="69"/>
        <v>#N/A</v>
      </c>
    </row>
    <row r="585" spans="1:16" x14ac:dyDescent="0.25">
      <c r="A585">
        <v>724</v>
      </c>
      <c r="B585">
        <v>21</v>
      </c>
      <c r="C585" t="s">
        <v>45</v>
      </c>
      <c r="D585" s="3">
        <v>114762</v>
      </c>
      <c r="E585">
        <v>28</v>
      </c>
      <c r="F585">
        <v>3</v>
      </c>
      <c r="G585">
        <v>7</v>
      </c>
      <c r="H585" t="s">
        <v>15</v>
      </c>
      <c r="I585">
        <v>397.54</v>
      </c>
      <c r="J585" t="str">
        <f t="shared" si="63"/>
        <v>High</v>
      </c>
      <c r="K585" s="4" t="e">
        <f t="shared" si="64"/>
        <v>#N/A</v>
      </c>
      <c r="L585" t="e">
        <f t="shared" si="65"/>
        <v>#N/A</v>
      </c>
      <c r="M585" s="3" t="e">
        <f t="shared" si="66"/>
        <v>#N/A</v>
      </c>
      <c r="N585" t="e">
        <f t="shared" si="67"/>
        <v>#N/A</v>
      </c>
      <c r="O585" s="3">
        <f t="shared" si="68"/>
        <v>114762</v>
      </c>
      <c r="P585">
        <f t="shared" si="69"/>
        <v>28</v>
      </c>
    </row>
    <row r="586" spans="1:16" x14ac:dyDescent="0.25">
      <c r="A586">
        <v>777</v>
      </c>
      <c r="B586">
        <v>19</v>
      </c>
      <c r="C586" t="s">
        <v>45</v>
      </c>
      <c r="D586" s="3">
        <v>45781</v>
      </c>
      <c r="E586">
        <v>93</v>
      </c>
      <c r="F586">
        <v>6</v>
      </c>
      <c r="G586">
        <v>43</v>
      </c>
      <c r="H586" t="s">
        <v>15</v>
      </c>
      <c r="I586">
        <v>412.99</v>
      </c>
      <c r="J586" t="str">
        <f t="shared" si="63"/>
        <v>Low</v>
      </c>
      <c r="K586" s="4">
        <f t="shared" si="64"/>
        <v>45781</v>
      </c>
      <c r="L586">
        <f t="shared" si="65"/>
        <v>93</v>
      </c>
      <c r="M586" s="3" t="e">
        <f t="shared" si="66"/>
        <v>#N/A</v>
      </c>
      <c r="N586" t="e">
        <f t="shared" si="67"/>
        <v>#N/A</v>
      </c>
      <c r="O586" s="3" t="e">
        <f t="shared" si="68"/>
        <v>#N/A</v>
      </c>
      <c r="P586" t="e">
        <f t="shared" si="69"/>
        <v>#N/A</v>
      </c>
    </row>
    <row r="587" spans="1:16" x14ac:dyDescent="0.25">
      <c r="A587">
        <v>780</v>
      </c>
      <c r="B587">
        <v>65</v>
      </c>
      <c r="C587" t="s">
        <v>45</v>
      </c>
      <c r="D587" s="3">
        <v>80686</v>
      </c>
      <c r="E587">
        <v>2</v>
      </c>
      <c r="F587">
        <v>8</v>
      </c>
      <c r="G587">
        <v>30</v>
      </c>
      <c r="H587" t="s">
        <v>15</v>
      </c>
      <c r="I587">
        <v>491.8</v>
      </c>
      <c r="J587" t="str">
        <f t="shared" si="63"/>
        <v>Medium</v>
      </c>
      <c r="K587" s="4" t="e">
        <f t="shared" si="64"/>
        <v>#N/A</v>
      </c>
      <c r="L587" t="e">
        <f t="shared" si="65"/>
        <v>#N/A</v>
      </c>
      <c r="M587" s="3">
        <f t="shared" si="66"/>
        <v>80686</v>
      </c>
      <c r="N587">
        <f t="shared" si="67"/>
        <v>2</v>
      </c>
      <c r="O587" s="3" t="e">
        <f t="shared" si="68"/>
        <v>#N/A</v>
      </c>
      <c r="P587" t="e">
        <f t="shared" si="69"/>
        <v>#N/A</v>
      </c>
    </row>
    <row r="588" spans="1:16" x14ac:dyDescent="0.25">
      <c r="A588">
        <v>792</v>
      </c>
      <c r="B588">
        <v>18</v>
      </c>
      <c r="C588" t="s">
        <v>45</v>
      </c>
      <c r="D588" s="3">
        <v>140475</v>
      </c>
      <c r="E588">
        <v>38</v>
      </c>
      <c r="F588">
        <v>8</v>
      </c>
      <c r="G588">
        <v>7</v>
      </c>
      <c r="H588" t="s">
        <v>15</v>
      </c>
      <c r="I588">
        <v>442.42</v>
      </c>
      <c r="J588" t="str">
        <f t="shared" si="63"/>
        <v>High</v>
      </c>
      <c r="K588" s="4" t="e">
        <f t="shared" si="64"/>
        <v>#N/A</v>
      </c>
      <c r="L588" t="e">
        <f t="shared" si="65"/>
        <v>#N/A</v>
      </c>
      <c r="M588" s="3" t="e">
        <f t="shared" si="66"/>
        <v>#N/A</v>
      </c>
      <c r="N588" t="e">
        <f t="shared" si="67"/>
        <v>#N/A</v>
      </c>
      <c r="O588" s="3">
        <f t="shared" si="68"/>
        <v>140475</v>
      </c>
      <c r="P588">
        <f t="shared" si="69"/>
        <v>38</v>
      </c>
    </row>
    <row r="589" spans="1:16" x14ac:dyDescent="0.25">
      <c r="A589">
        <v>798</v>
      </c>
      <c r="B589">
        <v>68</v>
      </c>
      <c r="C589" t="s">
        <v>45</v>
      </c>
      <c r="D589" s="3">
        <v>44597</v>
      </c>
      <c r="E589">
        <v>3</v>
      </c>
      <c r="F589">
        <v>1</v>
      </c>
      <c r="G589">
        <v>36</v>
      </c>
      <c r="H589" t="s">
        <v>15</v>
      </c>
      <c r="I589">
        <v>743.73</v>
      </c>
      <c r="J589" t="str">
        <f t="shared" si="63"/>
        <v>Low</v>
      </c>
      <c r="K589" s="4">
        <f t="shared" si="64"/>
        <v>44597</v>
      </c>
      <c r="L589">
        <f t="shared" si="65"/>
        <v>3</v>
      </c>
      <c r="M589" s="3" t="e">
        <f t="shared" si="66"/>
        <v>#N/A</v>
      </c>
      <c r="N589" t="e">
        <f t="shared" si="67"/>
        <v>#N/A</v>
      </c>
      <c r="O589" s="3" t="e">
        <f t="shared" si="68"/>
        <v>#N/A</v>
      </c>
      <c r="P589" t="e">
        <f t="shared" si="69"/>
        <v>#N/A</v>
      </c>
    </row>
    <row r="590" spans="1:16" x14ac:dyDescent="0.25">
      <c r="A590">
        <v>800</v>
      </c>
      <c r="B590">
        <v>35</v>
      </c>
      <c r="C590" t="s">
        <v>45</v>
      </c>
      <c r="D590" s="3">
        <v>114874</v>
      </c>
      <c r="E590">
        <v>40</v>
      </c>
      <c r="F590">
        <v>3</v>
      </c>
      <c r="G590">
        <v>15</v>
      </c>
      <c r="H590" t="s">
        <v>15</v>
      </c>
      <c r="I590">
        <v>333.55</v>
      </c>
      <c r="J590" t="str">
        <f t="shared" si="63"/>
        <v>High</v>
      </c>
      <c r="K590" s="4" t="e">
        <f t="shared" si="64"/>
        <v>#N/A</v>
      </c>
      <c r="L590" t="e">
        <f t="shared" si="65"/>
        <v>#N/A</v>
      </c>
      <c r="M590" s="3" t="e">
        <f t="shared" si="66"/>
        <v>#N/A</v>
      </c>
      <c r="N590" t="e">
        <f t="shared" si="67"/>
        <v>#N/A</v>
      </c>
      <c r="O590" s="3">
        <f t="shared" si="68"/>
        <v>114874</v>
      </c>
      <c r="P590">
        <f t="shared" si="69"/>
        <v>40</v>
      </c>
    </row>
    <row r="591" spans="1:16" x14ac:dyDescent="0.25">
      <c r="A591">
        <v>801</v>
      </c>
      <c r="B591">
        <v>61</v>
      </c>
      <c r="C591" t="s">
        <v>45</v>
      </c>
      <c r="D591" s="3">
        <v>69791</v>
      </c>
      <c r="E591">
        <v>33</v>
      </c>
      <c r="F591">
        <v>8</v>
      </c>
      <c r="G591">
        <v>1</v>
      </c>
      <c r="H591" t="s">
        <v>15</v>
      </c>
      <c r="I591">
        <v>165.39</v>
      </c>
      <c r="J591" t="str">
        <f t="shared" si="63"/>
        <v>Medium</v>
      </c>
      <c r="K591" s="4" t="e">
        <f t="shared" si="64"/>
        <v>#N/A</v>
      </c>
      <c r="L591" t="e">
        <f t="shared" si="65"/>
        <v>#N/A</v>
      </c>
      <c r="M591" s="3">
        <f t="shared" si="66"/>
        <v>69791</v>
      </c>
      <c r="N591">
        <f t="shared" si="67"/>
        <v>33</v>
      </c>
      <c r="O591" s="3" t="e">
        <f t="shared" si="68"/>
        <v>#N/A</v>
      </c>
      <c r="P591" t="e">
        <f t="shared" si="69"/>
        <v>#N/A</v>
      </c>
    </row>
    <row r="592" spans="1:16" x14ac:dyDescent="0.25">
      <c r="A592">
        <v>820</v>
      </c>
      <c r="B592">
        <v>52</v>
      </c>
      <c r="C592" t="s">
        <v>45</v>
      </c>
      <c r="D592" s="3">
        <v>73723</v>
      </c>
      <c r="E592">
        <v>69</v>
      </c>
      <c r="F592">
        <v>10</v>
      </c>
      <c r="G592">
        <v>19</v>
      </c>
      <c r="H592" t="s">
        <v>15</v>
      </c>
      <c r="I592">
        <v>321.92</v>
      </c>
      <c r="J592" t="str">
        <f t="shared" si="63"/>
        <v>Medium</v>
      </c>
      <c r="K592" s="4" t="e">
        <f t="shared" si="64"/>
        <v>#N/A</v>
      </c>
      <c r="L592" t="e">
        <f t="shared" si="65"/>
        <v>#N/A</v>
      </c>
      <c r="M592" s="3">
        <f t="shared" si="66"/>
        <v>73723</v>
      </c>
      <c r="N592">
        <f t="shared" si="67"/>
        <v>69</v>
      </c>
      <c r="O592" s="3" t="e">
        <f t="shared" si="68"/>
        <v>#N/A</v>
      </c>
      <c r="P592" t="e">
        <f t="shared" si="69"/>
        <v>#N/A</v>
      </c>
    </row>
    <row r="593" spans="1:16" x14ac:dyDescent="0.25">
      <c r="A593">
        <v>827</v>
      </c>
      <c r="B593">
        <v>62</v>
      </c>
      <c r="C593" t="s">
        <v>45</v>
      </c>
      <c r="D593" s="3">
        <v>88975</v>
      </c>
      <c r="E593">
        <v>58</v>
      </c>
      <c r="F593">
        <v>6</v>
      </c>
      <c r="G593">
        <v>24</v>
      </c>
      <c r="H593" t="s">
        <v>15</v>
      </c>
      <c r="I593">
        <v>921.21</v>
      </c>
      <c r="J593" t="str">
        <f t="shared" si="63"/>
        <v>Medium</v>
      </c>
      <c r="K593" s="4" t="e">
        <f t="shared" si="64"/>
        <v>#N/A</v>
      </c>
      <c r="L593" t="e">
        <f t="shared" si="65"/>
        <v>#N/A</v>
      </c>
      <c r="M593" s="3">
        <f t="shared" si="66"/>
        <v>88975</v>
      </c>
      <c r="N593">
        <f t="shared" si="67"/>
        <v>58</v>
      </c>
      <c r="O593" s="3" t="e">
        <f t="shared" si="68"/>
        <v>#N/A</v>
      </c>
      <c r="P593" t="e">
        <f t="shared" si="69"/>
        <v>#N/A</v>
      </c>
    </row>
    <row r="594" spans="1:16" x14ac:dyDescent="0.25">
      <c r="A594">
        <v>867</v>
      </c>
      <c r="B594">
        <v>68</v>
      </c>
      <c r="C594" t="s">
        <v>45</v>
      </c>
      <c r="D594" s="3">
        <v>35122</v>
      </c>
      <c r="E594">
        <v>72</v>
      </c>
      <c r="F594">
        <v>6</v>
      </c>
      <c r="G594">
        <v>33</v>
      </c>
      <c r="H594" t="s">
        <v>15</v>
      </c>
      <c r="I594">
        <v>983.84</v>
      </c>
      <c r="J594" t="str">
        <f t="shared" si="63"/>
        <v>Low</v>
      </c>
      <c r="K594" s="4">
        <f t="shared" si="64"/>
        <v>35122</v>
      </c>
      <c r="L594">
        <f t="shared" si="65"/>
        <v>72</v>
      </c>
      <c r="M594" s="3" t="e">
        <f t="shared" si="66"/>
        <v>#N/A</v>
      </c>
      <c r="N594" t="e">
        <f t="shared" si="67"/>
        <v>#N/A</v>
      </c>
      <c r="O594" s="3" t="e">
        <f t="shared" si="68"/>
        <v>#N/A</v>
      </c>
      <c r="P594" t="e">
        <f t="shared" si="69"/>
        <v>#N/A</v>
      </c>
    </row>
    <row r="595" spans="1:16" x14ac:dyDescent="0.25">
      <c r="A595">
        <v>876</v>
      </c>
      <c r="B595">
        <v>60</v>
      </c>
      <c r="C595" t="s">
        <v>45</v>
      </c>
      <c r="D595" s="3">
        <v>120195</v>
      </c>
      <c r="E595">
        <v>68</v>
      </c>
      <c r="F595">
        <v>9</v>
      </c>
      <c r="G595">
        <v>26</v>
      </c>
      <c r="H595" t="s">
        <v>15</v>
      </c>
      <c r="I595">
        <v>600.21</v>
      </c>
      <c r="J595" t="str">
        <f t="shared" si="63"/>
        <v>High</v>
      </c>
      <c r="K595" s="4" t="e">
        <f t="shared" si="64"/>
        <v>#N/A</v>
      </c>
      <c r="L595" t="e">
        <f t="shared" si="65"/>
        <v>#N/A</v>
      </c>
      <c r="M595" s="3" t="e">
        <f t="shared" si="66"/>
        <v>#N/A</v>
      </c>
      <c r="N595" t="e">
        <f t="shared" si="67"/>
        <v>#N/A</v>
      </c>
      <c r="O595" s="3">
        <f t="shared" si="68"/>
        <v>120195</v>
      </c>
      <c r="P595">
        <f t="shared" si="69"/>
        <v>68</v>
      </c>
    </row>
    <row r="596" spans="1:16" x14ac:dyDescent="0.25">
      <c r="A596">
        <v>886</v>
      </c>
      <c r="B596">
        <v>26</v>
      </c>
      <c r="C596" t="s">
        <v>45</v>
      </c>
      <c r="D596" s="3">
        <v>113532</v>
      </c>
      <c r="E596">
        <v>70</v>
      </c>
      <c r="F596">
        <v>7</v>
      </c>
      <c r="G596">
        <v>28</v>
      </c>
      <c r="H596" t="s">
        <v>15</v>
      </c>
      <c r="I596">
        <v>679.69</v>
      </c>
      <c r="J596" t="str">
        <f t="shared" si="63"/>
        <v>High</v>
      </c>
      <c r="K596" s="4" t="e">
        <f t="shared" si="64"/>
        <v>#N/A</v>
      </c>
      <c r="L596" t="e">
        <f t="shared" si="65"/>
        <v>#N/A</v>
      </c>
      <c r="M596" s="3" t="e">
        <f t="shared" si="66"/>
        <v>#N/A</v>
      </c>
      <c r="N596" t="e">
        <f t="shared" si="67"/>
        <v>#N/A</v>
      </c>
      <c r="O596" s="3">
        <f t="shared" si="68"/>
        <v>113532</v>
      </c>
      <c r="P596">
        <f t="shared" si="69"/>
        <v>70</v>
      </c>
    </row>
    <row r="597" spans="1:16" x14ac:dyDescent="0.25">
      <c r="A597">
        <v>889</v>
      </c>
      <c r="B597">
        <v>33</v>
      </c>
      <c r="C597" t="s">
        <v>45</v>
      </c>
      <c r="D597" s="3">
        <v>146269</v>
      </c>
      <c r="E597">
        <v>92</v>
      </c>
      <c r="F597">
        <v>6</v>
      </c>
      <c r="G597">
        <v>10</v>
      </c>
      <c r="H597" t="s">
        <v>15</v>
      </c>
      <c r="I597">
        <v>486.86</v>
      </c>
      <c r="J597" t="str">
        <f t="shared" si="63"/>
        <v>High</v>
      </c>
      <c r="K597" s="4" t="e">
        <f t="shared" si="64"/>
        <v>#N/A</v>
      </c>
      <c r="L597" t="e">
        <f t="shared" si="65"/>
        <v>#N/A</v>
      </c>
      <c r="M597" s="3" t="e">
        <f t="shared" si="66"/>
        <v>#N/A</v>
      </c>
      <c r="N597" t="e">
        <f t="shared" si="67"/>
        <v>#N/A</v>
      </c>
      <c r="O597" s="3">
        <f t="shared" si="68"/>
        <v>146269</v>
      </c>
      <c r="P597">
        <f t="shared" si="69"/>
        <v>92</v>
      </c>
    </row>
    <row r="598" spans="1:16" x14ac:dyDescent="0.25">
      <c r="A598">
        <v>891</v>
      </c>
      <c r="B598">
        <v>22</v>
      </c>
      <c r="C598" t="s">
        <v>45</v>
      </c>
      <c r="D598" s="3">
        <v>87909</v>
      </c>
      <c r="E598">
        <v>19</v>
      </c>
      <c r="F598">
        <v>7</v>
      </c>
      <c r="G598">
        <v>39</v>
      </c>
      <c r="H598" t="s">
        <v>15</v>
      </c>
      <c r="I598">
        <v>20.52</v>
      </c>
      <c r="J598" t="str">
        <f t="shared" si="63"/>
        <v>Medium</v>
      </c>
      <c r="K598" s="4" t="e">
        <f t="shared" si="64"/>
        <v>#N/A</v>
      </c>
      <c r="L598" t="e">
        <f t="shared" si="65"/>
        <v>#N/A</v>
      </c>
      <c r="M598" s="3">
        <f t="shared" si="66"/>
        <v>87909</v>
      </c>
      <c r="N598">
        <f t="shared" si="67"/>
        <v>19</v>
      </c>
      <c r="O598" s="3" t="e">
        <f t="shared" si="68"/>
        <v>#N/A</v>
      </c>
      <c r="P598" t="e">
        <f t="shared" si="69"/>
        <v>#N/A</v>
      </c>
    </row>
    <row r="599" spans="1:16" x14ac:dyDescent="0.25">
      <c r="A599">
        <v>892</v>
      </c>
      <c r="B599">
        <v>66</v>
      </c>
      <c r="C599" t="s">
        <v>45</v>
      </c>
      <c r="D599" s="3">
        <v>40932</v>
      </c>
      <c r="E599">
        <v>5</v>
      </c>
      <c r="F599">
        <v>1</v>
      </c>
      <c r="G599">
        <v>48</v>
      </c>
      <c r="H599" t="s">
        <v>15</v>
      </c>
      <c r="I599">
        <v>546.05999999999995</v>
      </c>
      <c r="J599" t="str">
        <f t="shared" si="63"/>
        <v>Low</v>
      </c>
      <c r="K599" s="4">
        <f t="shared" si="64"/>
        <v>40932</v>
      </c>
      <c r="L599">
        <f t="shared" si="65"/>
        <v>5</v>
      </c>
      <c r="M599" s="3" t="e">
        <f t="shared" si="66"/>
        <v>#N/A</v>
      </c>
      <c r="N599" t="e">
        <f t="shared" si="67"/>
        <v>#N/A</v>
      </c>
      <c r="O599" s="3" t="e">
        <f t="shared" si="68"/>
        <v>#N/A</v>
      </c>
      <c r="P599" t="e">
        <f t="shared" si="69"/>
        <v>#N/A</v>
      </c>
    </row>
    <row r="600" spans="1:16" x14ac:dyDescent="0.25">
      <c r="A600">
        <v>894</v>
      </c>
      <c r="B600">
        <v>63</v>
      </c>
      <c r="C600" t="s">
        <v>45</v>
      </c>
      <c r="D600" s="3">
        <v>119492</v>
      </c>
      <c r="E600">
        <v>25</v>
      </c>
      <c r="F600">
        <v>8</v>
      </c>
      <c r="G600">
        <v>40</v>
      </c>
      <c r="H600" t="s">
        <v>15</v>
      </c>
      <c r="I600">
        <v>758.1</v>
      </c>
      <c r="J600" t="str">
        <f t="shared" si="63"/>
        <v>High</v>
      </c>
      <c r="K600" s="4" t="e">
        <f t="shared" si="64"/>
        <v>#N/A</v>
      </c>
      <c r="L600" t="e">
        <f t="shared" si="65"/>
        <v>#N/A</v>
      </c>
      <c r="M600" s="3" t="e">
        <f t="shared" si="66"/>
        <v>#N/A</v>
      </c>
      <c r="N600" t="e">
        <f t="shared" si="67"/>
        <v>#N/A</v>
      </c>
      <c r="O600" s="3">
        <f t="shared" si="68"/>
        <v>119492</v>
      </c>
      <c r="P600">
        <f t="shared" si="69"/>
        <v>25</v>
      </c>
    </row>
    <row r="601" spans="1:16" x14ac:dyDescent="0.25">
      <c r="A601">
        <v>903</v>
      </c>
      <c r="B601">
        <v>33</v>
      </c>
      <c r="C601" t="s">
        <v>45</v>
      </c>
      <c r="D601" s="3">
        <v>106771</v>
      </c>
      <c r="E601">
        <v>23</v>
      </c>
      <c r="F601">
        <v>7</v>
      </c>
      <c r="G601">
        <v>3</v>
      </c>
      <c r="H601" t="s">
        <v>15</v>
      </c>
      <c r="I601">
        <v>609.79999999999995</v>
      </c>
      <c r="J601" t="str">
        <f t="shared" si="63"/>
        <v>High</v>
      </c>
      <c r="K601" s="4" t="e">
        <f t="shared" si="64"/>
        <v>#N/A</v>
      </c>
      <c r="L601" t="e">
        <f t="shared" si="65"/>
        <v>#N/A</v>
      </c>
      <c r="M601" s="3" t="e">
        <f t="shared" si="66"/>
        <v>#N/A</v>
      </c>
      <c r="N601" t="e">
        <f t="shared" si="67"/>
        <v>#N/A</v>
      </c>
      <c r="O601" s="3">
        <f t="shared" si="68"/>
        <v>106771</v>
      </c>
      <c r="P601">
        <f t="shared" si="69"/>
        <v>23</v>
      </c>
    </row>
    <row r="602" spans="1:16" x14ac:dyDescent="0.25">
      <c r="A602">
        <v>908</v>
      </c>
      <c r="B602">
        <v>59</v>
      </c>
      <c r="C602" t="s">
        <v>45</v>
      </c>
      <c r="D602" s="3">
        <v>141567</v>
      </c>
      <c r="E602">
        <v>27</v>
      </c>
      <c r="F602">
        <v>8</v>
      </c>
      <c r="G602">
        <v>30</v>
      </c>
      <c r="H602" t="s">
        <v>15</v>
      </c>
      <c r="I602">
        <v>95.96</v>
      </c>
      <c r="J602" t="str">
        <f t="shared" si="63"/>
        <v>High</v>
      </c>
      <c r="K602" s="4" t="e">
        <f t="shared" si="64"/>
        <v>#N/A</v>
      </c>
      <c r="L602" t="e">
        <f t="shared" si="65"/>
        <v>#N/A</v>
      </c>
      <c r="M602" s="3" t="e">
        <f t="shared" si="66"/>
        <v>#N/A</v>
      </c>
      <c r="N602" t="e">
        <f t="shared" si="67"/>
        <v>#N/A</v>
      </c>
      <c r="O602" s="3">
        <f t="shared" si="68"/>
        <v>141567</v>
      </c>
      <c r="P602">
        <f t="shared" si="69"/>
        <v>27</v>
      </c>
    </row>
    <row r="603" spans="1:16" x14ac:dyDescent="0.25">
      <c r="A603">
        <v>915</v>
      </c>
      <c r="B603">
        <v>18</v>
      </c>
      <c r="C603" t="s">
        <v>45</v>
      </c>
      <c r="D603" s="3">
        <v>69502</v>
      </c>
      <c r="E603">
        <v>83</v>
      </c>
      <c r="F603">
        <v>6</v>
      </c>
      <c r="G603">
        <v>32</v>
      </c>
      <c r="H603" t="s">
        <v>15</v>
      </c>
      <c r="I603">
        <v>236.83</v>
      </c>
      <c r="J603" t="str">
        <f t="shared" si="63"/>
        <v>Medium</v>
      </c>
      <c r="K603" s="4" t="e">
        <f t="shared" si="64"/>
        <v>#N/A</v>
      </c>
      <c r="L603" t="e">
        <f t="shared" si="65"/>
        <v>#N/A</v>
      </c>
      <c r="M603" s="3">
        <f t="shared" si="66"/>
        <v>69502</v>
      </c>
      <c r="N603">
        <f t="shared" si="67"/>
        <v>83</v>
      </c>
      <c r="O603" s="3" t="e">
        <f t="shared" si="68"/>
        <v>#N/A</v>
      </c>
      <c r="P603" t="e">
        <f t="shared" si="69"/>
        <v>#N/A</v>
      </c>
    </row>
    <row r="604" spans="1:16" x14ac:dyDescent="0.25">
      <c r="A604">
        <v>932</v>
      </c>
      <c r="B604">
        <v>31</v>
      </c>
      <c r="C604" t="s">
        <v>45</v>
      </c>
      <c r="D604" s="3">
        <v>30969</v>
      </c>
      <c r="E604">
        <v>32</v>
      </c>
      <c r="F604">
        <v>9</v>
      </c>
      <c r="G604">
        <v>11</v>
      </c>
      <c r="H604" t="s">
        <v>15</v>
      </c>
      <c r="I604">
        <v>562.47</v>
      </c>
      <c r="J604" t="str">
        <f t="shared" si="63"/>
        <v>Low</v>
      </c>
      <c r="K604" s="4">
        <f t="shared" si="64"/>
        <v>30969</v>
      </c>
      <c r="L604">
        <f t="shared" si="65"/>
        <v>32</v>
      </c>
      <c r="M604" s="3" t="e">
        <f t="shared" si="66"/>
        <v>#N/A</v>
      </c>
      <c r="N604" t="e">
        <f t="shared" si="67"/>
        <v>#N/A</v>
      </c>
      <c r="O604" s="3" t="e">
        <f t="shared" si="68"/>
        <v>#N/A</v>
      </c>
      <c r="P604" t="e">
        <f t="shared" si="69"/>
        <v>#N/A</v>
      </c>
    </row>
    <row r="605" spans="1:16" x14ac:dyDescent="0.25">
      <c r="A605">
        <v>948</v>
      </c>
      <c r="B605">
        <v>21</v>
      </c>
      <c r="C605" t="s">
        <v>45</v>
      </c>
      <c r="D605" s="3">
        <v>117520</v>
      </c>
      <c r="E605">
        <v>34</v>
      </c>
      <c r="F605">
        <v>3</v>
      </c>
      <c r="G605">
        <v>32</v>
      </c>
      <c r="H605" t="s">
        <v>15</v>
      </c>
      <c r="I605">
        <v>256.98</v>
      </c>
      <c r="J605" t="str">
        <f t="shared" si="63"/>
        <v>High</v>
      </c>
      <c r="K605" s="4" t="e">
        <f t="shared" si="64"/>
        <v>#N/A</v>
      </c>
      <c r="L605" t="e">
        <f t="shared" si="65"/>
        <v>#N/A</v>
      </c>
      <c r="M605" s="3" t="e">
        <f t="shared" si="66"/>
        <v>#N/A</v>
      </c>
      <c r="N605" t="e">
        <f t="shared" si="67"/>
        <v>#N/A</v>
      </c>
      <c r="O605" s="3">
        <f t="shared" si="68"/>
        <v>117520</v>
      </c>
      <c r="P605">
        <f t="shared" si="69"/>
        <v>34</v>
      </c>
    </row>
    <row r="606" spans="1:16" x14ac:dyDescent="0.25">
      <c r="A606">
        <v>949</v>
      </c>
      <c r="B606">
        <v>62</v>
      </c>
      <c r="C606" t="s">
        <v>45</v>
      </c>
      <c r="D606" s="3">
        <v>128667</v>
      </c>
      <c r="E606">
        <v>37</v>
      </c>
      <c r="F606">
        <v>5</v>
      </c>
      <c r="G606">
        <v>17</v>
      </c>
      <c r="H606" t="s">
        <v>15</v>
      </c>
      <c r="I606">
        <v>150.62</v>
      </c>
      <c r="J606" t="str">
        <f t="shared" si="63"/>
        <v>High</v>
      </c>
      <c r="K606" s="4" t="e">
        <f t="shared" si="64"/>
        <v>#N/A</v>
      </c>
      <c r="L606" t="e">
        <f t="shared" si="65"/>
        <v>#N/A</v>
      </c>
      <c r="M606" s="3" t="e">
        <f t="shared" si="66"/>
        <v>#N/A</v>
      </c>
      <c r="N606" t="e">
        <f t="shared" si="67"/>
        <v>#N/A</v>
      </c>
      <c r="O606" s="3">
        <f t="shared" si="68"/>
        <v>128667</v>
      </c>
      <c r="P606">
        <f t="shared" si="69"/>
        <v>37</v>
      </c>
    </row>
    <row r="607" spans="1:16" x14ac:dyDescent="0.25">
      <c r="A607">
        <v>964</v>
      </c>
      <c r="B607">
        <v>26</v>
      </c>
      <c r="C607" t="s">
        <v>45</v>
      </c>
      <c r="D607" s="3">
        <v>109221</v>
      </c>
      <c r="E607">
        <v>91</v>
      </c>
      <c r="F607">
        <v>2</v>
      </c>
      <c r="G607">
        <v>44</v>
      </c>
      <c r="H607" t="s">
        <v>15</v>
      </c>
      <c r="I607">
        <v>660.05</v>
      </c>
      <c r="J607" t="str">
        <f t="shared" si="63"/>
        <v>High</v>
      </c>
      <c r="K607" s="4" t="e">
        <f t="shared" si="64"/>
        <v>#N/A</v>
      </c>
      <c r="L607" t="e">
        <f t="shared" si="65"/>
        <v>#N/A</v>
      </c>
      <c r="M607" s="3" t="e">
        <f t="shared" si="66"/>
        <v>#N/A</v>
      </c>
      <c r="N607" t="e">
        <f t="shared" si="67"/>
        <v>#N/A</v>
      </c>
      <c r="O607" s="3">
        <f t="shared" si="68"/>
        <v>109221</v>
      </c>
      <c r="P607">
        <f t="shared" si="69"/>
        <v>91</v>
      </c>
    </row>
    <row r="608" spans="1:16" x14ac:dyDescent="0.25">
      <c r="A608">
        <v>969</v>
      </c>
      <c r="B608">
        <v>61</v>
      </c>
      <c r="C608" t="s">
        <v>45</v>
      </c>
      <c r="D608" s="3">
        <v>38209</v>
      </c>
      <c r="E608">
        <v>79</v>
      </c>
      <c r="F608">
        <v>8</v>
      </c>
      <c r="G608">
        <v>40</v>
      </c>
      <c r="H608" t="s">
        <v>15</v>
      </c>
      <c r="I608">
        <v>724.23</v>
      </c>
      <c r="J608" t="str">
        <f t="shared" si="63"/>
        <v>Low</v>
      </c>
      <c r="K608" s="4">
        <f t="shared" si="64"/>
        <v>38209</v>
      </c>
      <c r="L608">
        <f t="shared" si="65"/>
        <v>79</v>
      </c>
      <c r="M608" s="3" t="e">
        <f t="shared" si="66"/>
        <v>#N/A</v>
      </c>
      <c r="N608" t="e">
        <f t="shared" si="67"/>
        <v>#N/A</v>
      </c>
      <c r="O608" s="3" t="e">
        <f t="shared" si="68"/>
        <v>#N/A</v>
      </c>
      <c r="P608" t="e">
        <f t="shared" si="69"/>
        <v>#N/A</v>
      </c>
    </row>
    <row r="609" spans="1:16" x14ac:dyDescent="0.25">
      <c r="A609">
        <v>985</v>
      </c>
      <c r="B609">
        <v>35</v>
      </c>
      <c r="C609" t="s">
        <v>45</v>
      </c>
      <c r="D609" s="3">
        <v>82057</v>
      </c>
      <c r="E609">
        <v>66</v>
      </c>
      <c r="F609">
        <v>4</v>
      </c>
      <c r="G609">
        <v>9</v>
      </c>
      <c r="H609" t="s">
        <v>15</v>
      </c>
      <c r="I609">
        <v>683.93</v>
      </c>
      <c r="J609" t="str">
        <f t="shared" si="63"/>
        <v>Medium</v>
      </c>
      <c r="K609" s="4" t="e">
        <f t="shared" si="64"/>
        <v>#N/A</v>
      </c>
      <c r="L609" t="e">
        <f t="shared" si="65"/>
        <v>#N/A</v>
      </c>
      <c r="M609" s="3">
        <f t="shared" si="66"/>
        <v>82057</v>
      </c>
      <c r="N609">
        <f t="shared" si="67"/>
        <v>66</v>
      </c>
      <c r="O609" s="3" t="e">
        <f t="shared" si="68"/>
        <v>#N/A</v>
      </c>
      <c r="P609" t="e">
        <f t="shared" si="69"/>
        <v>#N/A</v>
      </c>
    </row>
    <row r="610" spans="1:16" x14ac:dyDescent="0.25">
      <c r="A610">
        <v>991</v>
      </c>
      <c r="B610">
        <v>21</v>
      </c>
      <c r="C610" t="s">
        <v>45</v>
      </c>
      <c r="D610" s="3">
        <v>80264</v>
      </c>
      <c r="E610">
        <v>41</v>
      </c>
      <c r="F610">
        <v>4</v>
      </c>
      <c r="G610">
        <v>26</v>
      </c>
      <c r="H610" t="s">
        <v>15</v>
      </c>
      <c r="I610">
        <v>458.93</v>
      </c>
      <c r="J610" t="str">
        <f t="shared" si="63"/>
        <v>Medium</v>
      </c>
      <c r="K610" s="4" t="e">
        <f t="shared" si="64"/>
        <v>#N/A</v>
      </c>
      <c r="L610" t="e">
        <f t="shared" si="65"/>
        <v>#N/A</v>
      </c>
      <c r="M610" s="3">
        <f t="shared" si="66"/>
        <v>80264</v>
      </c>
      <c r="N610">
        <f t="shared" si="67"/>
        <v>41</v>
      </c>
      <c r="O610" s="3" t="e">
        <f t="shared" si="68"/>
        <v>#N/A</v>
      </c>
      <c r="P610" t="e">
        <f t="shared" si="69"/>
        <v>#N/A</v>
      </c>
    </row>
    <row r="611" spans="1:16" x14ac:dyDescent="0.25">
      <c r="A611">
        <v>992</v>
      </c>
      <c r="B611">
        <v>53</v>
      </c>
      <c r="C611" t="s">
        <v>45</v>
      </c>
      <c r="D611" s="3">
        <v>83578</v>
      </c>
      <c r="E611">
        <v>97</v>
      </c>
      <c r="F611">
        <v>5</v>
      </c>
      <c r="G611">
        <v>50</v>
      </c>
      <c r="H611" t="s">
        <v>15</v>
      </c>
      <c r="I611">
        <v>917.08</v>
      </c>
      <c r="J611" t="str">
        <f t="shared" si="63"/>
        <v>Medium</v>
      </c>
      <c r="K611" s="4" t="e">
        <f t="shared" si="64"/>
        <v>#N/A</v>
      </c>
      <c r="L611" t="e">
        <f t="shared" si="65"/>
        <v>#N/A</v>
      </c>
      <c r="M611" s="3">
        <f t="shared" si="66"/>
        <v>83578</v>
      </c>
      <c r="N611">
        <f t="shared" si="67"/>
        <v>97</v>
      </c>
      <c r="O611" s="3" t="e">
        <f t="shared" si="68"/>
        <v>#N/A</v>
      </c>
      <c r="P611" t="e">
        <f t="shared" si="69"/>
        <v>#N/A</v>
      </c>
    </row>
    <row r="612" spans="1:16" x14ac:dyDescent="0.25">
      <c r="A612">
        <v>38</v>
      </c>
      <c r="B612">
        <v>48</v>
      </c>
      <c r="C612" t="s">
        <v>45</v>
      </c>
      <c r="D612" s="3">
        <v>81794</v>
      </c>
      <c r="E612">
        <v>89</v>
      </c>
      <c r="F612">
        <v>7</v>
      </c>
      <c r="G612">
        <v>50</v>
      </c>
      <c r="H612" t="s">
        <v>14</v>
      </c>
      <c r="I612">
        <v>967.99</v>
      </c>
      <c r="J612" t="str">
        <f t="shared" si="63"/>
        <v>Medium</v>
      </c>
      <c r="K612" s="4" t="e">
        <f t="shared" si="64"/>
        <v>#N/A</v>
      </c>
      <c r="L612" t="e">
        <f t="shared" si="65"/>
        <v>#N/A</v>
      </c>
      <c r="M612" s="3">
        <f t="shared" si="66"/>
        <v>81794</v>
      </c>
      <c r="N612">
        <f t="shared" si="67"/>
        <v>89</v>
      </c>
      <c r="O612" s="3" t="e">
        <f t="shared" si="68"/>
        <v>#N/A</v>
      </c>
      <c r="P612" t="e">
        <f t="shared" si="69"/>
        <v>#N/A</v>
      </c>
    </row>
    <row r="613" spans="1:16" x14ac:dyDescent="0.25">
      <c r="A613">
        <v>57</v>
      </c>
      <c r="B613">
        <v>63</v>
      </c>
      <c r="C613" t="s">
        <v>45</v>
      </c>
      <c r="D613" s="3">
        <v>49607</v>
      </c>
      <c r="E613">
        <v>7</v>
      </c>
      <c r="F613">
        <v>9</v>
      </c>
      <c r="G613">
        <v>20</v>
      </c>
      <c r="H613" t="s">
        <v>14</v>
      </c>
      <c r="I613">
        <v>195.34</v>
      </c>
      <c r="J613" t="str">
        <f t="shared" si="63"/>
        <v>Low</v>
      </c>
      <c r="K613" s="4">
        <f t="shared" si="64"/>
        <v>49607</v>
      </c>
      <c r="L613">
        <f t="shared" si="65"/>
        <v>7</v>
      </c>
      <c r="M613" s="3" t="e">
        <f t="shared" si="66"/>
        <v>#N/A</v>
      </c>
      <c r="N613" t="e">
        <f t="shared" si="67"/>
        <v>#N/A</v>
      </c>
      <c r="O613" s="3" t="e">
        <f t="shared" si="68"/>
        <v>#N/A</v>
      </c>
      <c r="P613" t="e">
        <f t="shared" si="69"/>
        <v>#N/A</v>
      </c>
    </row>
    <row r="614" spans="1:16" x14ac:dyDescent="0.25">
      <c r="A614">
        <v>80</v>
      </c>
      <c r="B614">
        <v>68</v>
      </c>
      <c r="C614" t="s">
        <v>45</v>
      </c>
      <c r="D614" s="3">
        <v>45092</v>
      </c>
      <c r="E614">
        <v>54</v>
      </c>
      <c r="F614">
        <v>4</v>
      </c>
      <c r="G614">
        <v>40</v>
      </c>
      <c r="H614" t="s">
        <v>14</v>
      </c>
      <c r="I614">
        <v>738.6</v>
      </c>
      <c r="J614" t="str">
        <f t="shared" si="63"/>
        <v>Low</v>
      </c>
      <c r="K614" s="4">
        <f t="shared" si="64"/>
        <v>45092</v>
      </c>
      <c r="L614">
        <f t="shared" si="65"/>
        <v>54</v>
      </c>
      <c r="M614" s="3" t="e">
        <f t="shared" si="66"/>
        <v>#N/A</v>
      </c>
      <c r="N614" t="e">
        <f t="shared" si="67"/>
        <v>#N/A</v>
      </c>
      <c r="O614" s="3" t="e">
        <f t="shared" si="68"/>
        <v>#N/A</v>
      </c>
      <c r="P614" t="e">
        <f t="shared" si="69"/>
        <v>#N/A</v>
      </c>
    </row>
    <row r="615" spans="1:16" x14ac:dyDescent="0.25">
      <c r="A615">
        <v>81</v>
      </c>
      <c r="B615">
        <v>65</v>
      </c>
      <c r="C615" t="s">
        <v>45</v>
      </c>
      <c r="D615" s="3">
        <v>117157</v>
      </c>
      <c r="E615">
        <v>90</v>
      </c>
      <c r="F615">
        <v>9</v>
      </c>
      <c r="G615">
        <v>39</v>
      </c>
      <c r="H615" t="s">
        <v>14</v>
      </c>
      <c r="I615">
        <v>812.36</v>
      </c>
      <c r="J615" t="str">
        <f t="shared" si="63"/>
        <v>High</v>
      </c>
      <c r="K615" s="4" t="e">
        <f t="shared" si="64"/>
        <v>#N/A</v>
      </c>
      <c r="L615" t="e">
        <f t="shared" si="65"/>
        <v>#N/A</v>
      </c>
      <c r="M615" s="3" t="e">
        <f t="shared" si="66"/>
        <v>#N/A</v>
      </c>
      <c r="N615" t="e">
        <f t="shared" si="67"/>
        <v>#N/A</v>
      </c>
      <c r="O615" s="3">
        <f t="shared" si="68"/>
        <v>117157</v>
      </c>
      <c r="P615">
        <f t="shared" si="69"/>
        <v>90</v>
      </c>
    </row>
    <row r="616" spans="1:16" x14ac:dyDescent="0.25">
      <c r="A616">
        <v>97</v>
      </c>
      <c r="B616">
        <v>63</v>
      </c>
      <c r="C616" t="s">
        <v>45</v>
      </c>
      <c r="D616" s="3">
        <v>102834</v>
      </c>
      <c r="E616">
        <v>31</v>
      </c>
      <c r="F616">
        <v>7</v>
      </c>
      <c r="G616">
        <v>20</v>
      </c>
      <c r="H616" t="s">
        <v>14</v>
      </c>
      <c r="I616">
        <v>582.57000000000005</v>
      </c>
      <c r="J616" t="str">
        <f t="shared" si="63"/>
        <v>High</v>
      </c>
      <c r="K616" s="4" t="e">
        <f t="shared" si="64"/>
        <v>#N/A</v>
      </c>
      <c r="L616" t="e">
        <f t="shared" si="65"/>
        <v>#N/A</v>
      </c>
      <c r="M616" s="3" t="e">
        <f t="shared" si="66"/>
        <v>#N/A</v>
      </c>
      <c r="N616" t="e">
        <f t="shared" si="67"/>
        <v>#N/A</v>
      </c>
      <c r="O616" s="3">
        <f t="shared" si="68"/>
        <v>102834</v>
      </c>
      <c r="P616">
        <f t="shared" si="69"/>
        <v>31</v>
      </c>
    </row>
    <row r="617" spans="1:16" x14ac:dyDescent="0.25">
      <c r="A617">
        <v>128</v>
      </c>
      <c r="B617">
        <v>40</v>
      </c>
      <c r="C617" t="s">
        <v>45</v>
      </c>
      <c r="D617" s="3">
        <v>81037</v>
      </c>
      <c r="E617">
        <v>70</v>
      </c>
      <c r="F617">
        <v>10</v>
      </c>
      <c r="G617">
        <v>45</v>
      </c>
      <c r="H617" t="s">
        <v>14</v>
      </c>
      <c r="I617">
        <v>370.75</v>
      </c>
      <c r="J617" t="str">
        <f t="shared" si="63"/>
        <v>Medium</v>
      </c>
      <c r="K617" s="4" t="e">
        <f t="shared" si="64"/>
        <v>#N/A</v>
      </c>
      <c r="L617" t="e">
        <f t="shared" si="65"/>
        <v>#N/A</v>
      </c>
      <c r="M617" s="3">
        <f t="shared" si="66"/>
        <v>81037</v>
      </c>
      <c r="N617">
        <f t="shared" si="67"/>
        <v>70</v>
      </c>
      <c r="O617" s="3" t="e">
        <f t="shared" si="68"/>
        <v>#N/A</v>
      </c>
      <c r="P617" t="e">
        <f t="shared" si="69"/>
        <v>#N/A</v>
      </c>
    </row>
    <row r="618" spans="1:16" x14ac:dyDescent="0.25">
      <c r="A618">
        <v>141</v>
      </c>
      <c r="B618">
        <v>23</v>
      </c>
      <c r="C618" t="s">
        <v>45</v>
      </c>
      <c r="D618" s="3">
        <v>67237</v>
      </c>
      <c r="E618">
        <v>85</v>
      </c>
      <c r="F618">
        <v>9</v>
      </c>
      <c r="G618">
        <v>40</v>
      </c>
      <c r="H618" t="s">
        <v>14</v>
      </c>
      <c r="I618">
        <v>673.02</v>
      </c>
      <c r="J618" t="str">
        <f t="shared" si="63"/>
        <v>Medium</v>
      </c>
      <c r="K618" s="4" t="e">
        <f t="shared" si="64"/>
        <v>#N/A</v>
      </c>
      <c r="L618" t="e">
        <f t="shared" si="65"/>
        <v>#N/A</v>
      </c>
      <c r="M618" s="3">
        <f t="shared" si="66"/>
        <v>67237</v>
      </c>
      <c r="N618">
        <f t="shared" si="67"/>
        <v>85</v>
      </c>
      <c r="O618" s="3" t="e">
        <f t="shared" si="68"/>
        <v>#N/A</v>
      </c>
      <c r="P618" t="e">
        <f t="shared" si="69"/>
        <v>#N/A</v>
      </c>
    </row>
    <row r="619" spans="1:16" x14ac:dyDescent="0.25">
      <c r="A619">
        <v>145</v>
      </c>
      <c r="B619">
        <v>44</v>
      </c>
      <c r="C619" t="s">
        <v>45</v>
      </c>
      <c r="D619" s="3">
        <v>122987</v>
      </c>
      <c r="E619">
        <v>29</v>
      </c>
      <c r="F619">
        <v>10</v>
      </c>
      <c r="G619">
        <v>25</v>
      </c>
      <c r="H619" t="s">
        <v>14</v>
      </c>
      <c r="I619">
        <v>898.68</v>
      </c>
      <c r="J619" t="str">
        <f t="shared" si="63"/>
        <v>High</v>
      </c>
      <c r="K619" s="4" t="e">
        <f t="shared" si="64"/>
        <v>#N/A</v>
      </c>
      <c r="L619" t="e">
        <f t="shared" si="65"/>
        <v>#N/A</v>
      </c>
      <c r="M619" s="3" t="e">
        <f t="shared" si="66"/>
        <v>#N/A</v>
      </c>
      <c r="N619" t="e">
        <f t="shared" si="67"/>
        <v>#N/A</v>
      </c>
      <c r="O619" s="3">
        <f t="shared" si="68"/>
        <v>122987</v>
      </c>
      <c r="P619">
        <f t="shared" si="69"/>
        <v>29</v>
      </c>
    </row>
    <row r="620" spans="1:16" x14ac:dyDescent="0.25">
      <c r="A620">
        <v>146</v>
      </c>
      <c r="B620">
        <v>58</v>
      </c>
      <c r="C620" t="s">
        <v>45</v>
      </c>
      <c r="D620" s="3">
        <v>90389</v>
      </c>
      <c r="E620">
        <v>17</v>
      </c>
      <c r="F620">
        <v>5</v>
      </c>
      <c r="G620">
        <v>12</v>
      </c>
      <c r="H620" t="s">
        <v>14</v>
      </c>
      <c r="I620">
        <v>855.21</v>
      </c>
      <c r="J620" t="str">
        <f t="shared" si="63"/>
        <v>Medium</v>
      </c>
      <c r="K620" s="4" t="e">
        <f t="shared" si="64"/>
        <v>#N/A</v>
      </c>
      <c r="L620" t="e">
        <f t="shared" si="65"/>
        <v>#N/A</v>
      </c>
      <c r="M620" s="3">
        <f t="shared" si="66"/>
        <v>90389</v>
      </c>
      <c r="N620">
        <f t="shared" si="67"/>
        <v>17</v>
      </c>
      <c r="O620" s="3" t="e">
        <f t="shared" si="68"/>
        <v>#N/A</v>
      </c>
      <c r="P620" t="e">
        <f t="shared" si="69"/>
        <v>#N/A</v>
      </c>
    </row>
    <row r="621" spans="1:16" x14ac:dyDescent="0.25">
      <c r="A621">
        <v>151</v>
      </c>
      <c r="B621">
        <v>55</v>
      </c>
      <c r="C621" t="s">
        <v>45</v>
      </c>
      <c r="D621" s="3">
        <v>138064</v>
      </c>
      <c r="E621">
        <v>86</v>
      </c>
      <c r="F621">
        <v>5</v>
      </c>
      <c r="G621">
        <v>22</v>
      </c>
      <c r="H621" t="s">
        <v>14</v>
      </c>
      <c r="I621">
        <v>368.75</v>
      </c>
      <c r="J621" t="str">
        <f t="shared" si="63"/>
        <v>High</v>
      </c>
      <c r="K621" s="4" t="e">
        <f t="shared" si="64"/>
        <v>#N/A</v>
      </c>
      <c r="L621" t="e">
        <f t="shared" si="65"/>
        <v>#N/A</v>
      </c>
      <c r="M621" s="3" t="e">
        <f t="shared" si="66"/>
        <v>#N/A</v>
      </c>
      <c r="N621" t="e">
        <f t="shared" si="67"/>
        <v>#N/A</v>
      </c>
      <c r="O621" s="3">
        <f t="shared" si="68"/>
        <v>138064</v>
      </c>
      <c r="P621">
        <f t="shared" si="69"/>
        <v>86</v>
      </c>
    </row>
    <row r="622" spans="1:16" x14ac:dyDescent="0.25">
      <c r="A622">
        <v>154</v>
      </c>
      <c r="B622">
        <v>30</v>
      </c>
      <c r="C622" t="s">
        <v>45</v>
      </c>
      <c r="D622" s="3">
        <v>78653</v>
      </c>
      <c r="E622">
        <v>43</v>
      </c>
      <c r="F622">
        <v>4</v>
      </c>
      <c r="G622">
        <v>2</v>
      </c>
      <c r="H622" t="s">
        <v>14</v>
      </c>
      <c r="I622">
        <v>933.73</v>
      </c>
      <c r="J622" t="str">
        <f t="shared" si="63"/>
        <v>Medium</v>
      </c>
      <c r="K622" s="4" t="e">
        <f t="shared" si="64"/>
        <v>#N/A</v>
      </c>
      <c r="L622" t="e">
        <f t="shared" si="65"/>
        <v>#N/A</v>
      </c>
      <c r="M622" s="3">
        <f t="shared" si="66"/>
        <v>78653</v>
      </c>
      <c r="N622">
        <f t="shared" si="67"/>
        <v>43</v>
      </c>
      <c r="O622" s="3" t="e">
        <f t="shared" si="68"/>
        <v>#N/A</v>
      </c>
      <c r="P622" t="e">
        <f t="shared" si="69"/>
        <v>#N/A</v>
      </c>
    </row>
    <row r="623" spans="1:16" x14ac:dyDescent="0.25">
      <c r="A623">
        <v>155</v>
      </c>
      <c r="B623">
        <v>53</v>
      </c>
      <c r="C623" t="s">
        <v>45</v>
      </c>
      <c r="D623" s="3">
        <v>146312</v>
      </c>
      <c r="E623">
        <v>58</v>
      </c>
      <c r="F623">
        <v>2</v>
      </c>
      <c r="G623">
        <v>32</v>
      </c>
      <c r="H623" t="s">
        <v>14</v>
      </c>
      <c r="I623">
        <v>880.78</v>
      </c>
      <c r="J623" t="str">
        <f t="shared" si="63"/>
        <v>High</v>
      </c>
      <c r="K623" s="4" t="e">
        <f t="shared" si="64"/>
        <v>#N/A</v>
      </c>
      <c r="L623" t="e">
        <f t="shared" si="65"/>
        <v>#N/A</v>
      </c>
      <c r="M623" s="3" t="e">
        <f t="shared" si="66"/>
        <v>#N/A</v>
      </c>
      <c r="N623" t="e">
        <f t="shared" si="67"/>
        <v>#N/A</v>
      </c>
      <c r="O623" s="3">
        <f t="shared" si="68"/>
        <v>146312</v>
      </c>
      <c r="P623">
        <f t="shared" si="69"/>
        <v>58</v>
      </c>
    </row>
    <row r="624" spans="1:16" x14ac:dyDescent="0.25">
      <c r="A624">
        <v>177</v>
      </c>
      <c r="B624">
        <v>65</v>
      </c>
      <c r="C624" t="s">
        <v>45</v>
      </c>
      <c r="D624" s="3">
        <v>123680</v>
      </c>
      <c r="E624">
        <v>30</v>
      </c>
      <c r="F624">
        <v>2</v>
      </c>
      <c r="G624">
        <v>35</v>
      </c>
      <c r="H624" t="s">
        <v>14</v>
      </c>
      <c r="I624">
        <v>218.74</v>
      </c>
      <c r="J624" t="str">
        <f t="shared" si="63"/>
        <v>High</v>
      </c>
      <c r="K624" s="4" t="e">
        <f t="shared" si="64"/>
        <v>#N/A</v>
      </c>
      <c r="L624" t="e">
        <f t="shared" si="65"/>
        <v>#N/A</v>
      </c>
      <c r="M624" s="3" t="e">
        <f t="shared" si="66"/>
        <v>#N/A</v>
      </c>
      <c r="N624" t="e">
        <f t="shared" si="67"/>
        <v>#N/A</v>
      </c>
      <c r="O624" s="3">
        <f t="shared" si="68"/>
        <v>123680</v>
      </c>
      <c r="P624">
        <f t="shared" si="69"/>
        <v>30</v>
      </c>
    </row>
    <row r="625" spans="1:16" x14ac:dyDescent="0.25">
      <c r="A625">
        <v>190</v>
      </c>
      <c r="B625">
        <v>41</v>
      </c>
      <c r="C625" t="s">
        <v>45</v>
      </c>
      <c r="D625" s="3">
        <v>59408</v>
      </c>
      <c r="E625">
        <v>68</v>
      </c>
      <c r="F625">
        <v>1</v>
      </c>
      <c r="G625">
        <v>16</v>
      </c>
      <c r="H625" t="s">
        <v>14</v>
      </c>
      <c r="I625">
        <v>504.16</v>
      </c>
      <c r="J625" t="str">
        <f t="shared" si="63"/>
        <v>Medium</v>
      </c>
      <c r="K625" s="4" t="e">
        <f t="shared" si="64"/>
        <v>#N/A</v>
      </c>
      <c r="L625" t="e">
        <f t="shared" si="65"/>
        <v>#N/A</v>
      </c>
      <c r="M625" s="3">
        <f t="shared" si="66"/>
        <v>59408</v>
      </c>
      <c r="N625">
        <f t="shared" si="67"/>
        <v>68</v>
      </c>
      <c r="O625" s="3" t="e">
        <f t="shared" si="68"/>
        <v>#N/A</v>
      </c>
      <c r="P625" t="e">
        <f t="shared" si="69"/>
        <v>#N/A</v>
      </c>
    </row>
    <row r="626" spans="1:16" x14ac:dyDescent="0.25">
      <c r="A626">
        <v>192</v>
      </c>
      <c r="B626">
        <v>63</v>
      </c>
      <c r="C626" t="s">
        <v>45</v>
      </c>
      <c r="D626" s="3">
        <v>109506</v>
      </c>
      <c r="E626">
        <v>48</v>
      </c>
      <c r="F626">
        <v>10</v>
      </c>
      <c r="G626">
        <v>50</v>
      </c>
      <c r="H626" t="s">
        <v>14</v>
      </c>
      <c r="I626">
        <v>26.85</v>
      </c>
      <c r="J626" t="str">
        <f t="shared" si="63"/>
        <v>High</v>
      </c>
      <c r="K626" s="4" t="e">
        <f t="shared" si="64"/>
        <v>#N/A</v>
      </c>
      <c r="L626" t="e">
        <f t="shared" si="65"/>
        <v>#N/A</v>
      </c>
      <c r="M626" s="3" t="e">
        <f t="shared" si="66"/>
        <v>#N/A</v>
      </c>
      <c r="N626" t="e">
        <f t="shared" si="67"/>
        <v>#N/A</v>
      </c>
      <c r="O626" s="3">
        <f t="shared" si="68"/>
        <v>109506</v>
      </c>
      <c r="P626">
        <f t="shared" si="69"/>
        <v>48</v>
      </c>
    </row>
    <row r="627" spans="1:16" x14ac:dyDescent="0.25">
      <c r="A627">
        <v>195</v>
      </c>
      <c r="B627">
        <v>67</v>
      </c>
      <c r="C627" t="s">
        <v>45</v>
      </c>
      <c r="D627" s="3">
        <v>31806</v>
      </c>
      <c r="E627">
        <v>79</v>
      </c>
      <c r="F627">
        <v>8</v>
      </c>
      <c r="G627">
        <v>13</v>
      </c>
      <c r="H627" t="s">
        <v>14</v>
      </c>
      <c r="I627">
        <v>261.07</v>
      </c>
      <c r="J627" t="str">
        <f t="shared" si="63"/>
        <v>Low</v>
      </c>
      <c r="K627" s="4">
        <f t="shared" si="64"/>
        <v>31806</v>
      </c>
      <c r="L627">
        <f t="shared" si="65"/>
        <v>79</v>
      </c>
      <c r="M627" s="3" t="e">
        <f t="shared" si="66"/>
        <v>#N/A</v>
      </c>
      <c r="N627" t="e">
        <f t="shared" si="67"/>
        <v>#N/A</v>
      </c>
      <c r="O627" s="3" t="e">
        <f t="shared" si="68"/>
        <v>#N/A</v>
      </c>
      <c r="P627" t="e">
        <f t="shared" si="69"/>
        <v>#N/A</v>
      </c>
    </row>
    <row r="628" spans="1:16" x14ac:dyDescent="0.25">
      <c r="A628">
        <v>210</v>
      </c>
      <c r="B628">
        <v>47</v>
      </c>
      <c r="C628" t="s">
        <v>45</v>
      </c>
      <c r="D628" s="3">
        <v>93783</v>
      </c>
      <c r="E628">
        <v>24</v>
      </c>
      <c r="F628">
        <v>10</v>
      </c>
      <c r="G628">
        <v>3</v>
      </c>
      <c r="H628" t="s">
        <v>14</v>
      </c>
      <c r="I628">
        <v>406.56</v>
      </c>
      <c r="J628" t="str">
        <f t="shared" si="63"/>
        <v>Medium</v>
      </c>
      <c r="K628" s="4" t="e">
        <f t="shared" si="64"/>
        <v>#N/A</v>
      </c>
      <c r="L628" t="e">
        <f t="shared" si="65"/>
        <v>#N/A</v>
      </c>
      <c r="M628" s="3">
        <f t="shared" si="66"/>
        <v>93783</v>
      </c>
      <c r="N628">
        <f t="shared" si="67"/>
        <v>24</v>
      </c>
      <c r="O628" s="3" t="e">
        <f t="shared" si="68"/>
        <v>#N/A</v>
      </c>
      <c r="P628" t="e">
        <f t="shared" si="69"/>
        <v>#N/A</v>
      </c>
    </row>
    <row r="629" spans="1:16" x14ac:dyDescent="0.25">
      <c r="A629">
        <v>215</v>
      </c>
      <c r="B629">
        <v>69</v>
      </c>
      <c r="C629" t="s">
        <v>45</v>
      </c>
      <c r="D629" s="3">
        <v>127086</v>
      </c>
      <c r="E629">
        <v>93</v>
      </c>
      <c r="F629">
        <v>4</v>
      </c>
      <c r="G629">
        <v>45</v>
      </c>
      <c r="H629" t="s">
        <v>14</v>
      </c>
      <c r="I629">
        <v>339.9</v>
      </c>
      <c r="J629" t="str">
        <f t="shared" si="63"/>
        <v>High</v>
      </c>
      <c r="K629" s="4" t="e">
        <f t="shared" si="64"/>
        <v>#N/A</v>
      </c>
      <c r="L629" t="e">
        <f t="shared" si="65"/>
        <v>#N/A</v>
      </c>
      <c r="M629" s="3" t="e">
        <f t="shared" si="66"/>
        <v>#N/A</v>
      </c>
      <c r="N629" t="e">
        <f t="shared" si="67"/>
        <v>#N/A</v>
      </c>
      <c r="O629" s="3">
        <f t="shared" si="68"/>
        <v>127086</v>
      </c>
      <c r="P629">
        <f t="shared" si="69"/>
        <v>93</v>
      </c>
    </row>
    <row r="630" spans="1:16" x14ac:dyDescent="0.25">
      <c r="A630">
        <v>216</v>
      </c>
      <c r="B630">
        <v>26</v>
      </c>
      <c r="C630" t="s">
        <v>45</v>
      </c>
      <c r="D630" s="3">
        <v>133538</v>
      </c>
      <c r="E630">
        <v>27</v>
      </c>
      <c r="F630">
        <v>5</v>
      </c>
      <c r="G630">
        <v>46</v>
      </c>
      <c r="H630" t="s">
        <v>14</v>
      </c>
      <c r="I630">
        <v>761.08</v>
      </c>
      <c r="J630" t="str">
        <f t="shared" si="63"/>
        <v>High</v>
      </c>
      <c r="K630" s="4" t="e">
        <f t="shared" si="64"/>
        <v>#N/A</v>
      </c>
      <c r="L630" t="e">
        <f t="shared" si="65"/>
        <v>#N/A</v>
      </c>
      <c r="M630" s="3" t="e">
        <f t="shared" si="66"/>
        <v>#N/A</v>
      </c>
      <c r="N630" t="e">
        <f t="shared" si="67"/>
        <v>#N/A</v>
      </c>
      <c r="O630" s="3">
        <f t="shared" si="68"/>
        <v>133538</v>
      </c>
      <c r="P630">
        <f t="shared" si="69"/>
        <v>27</v>
      </c>
    </row>
    <row r="631" spans="1:16" x14ac:dyDescent="0.25">
      <c r="A631">
        <v>237</v>
      </c>
      <c r="B631">
        <v>62</v>
      </c>
      <c r="C631" t="s">
        <v>45</v>
      </c>
      <c r="D631" s="3">
        <v>52480</v>
      </c>
      <c r="E631">
        <v>22</v>
      </c>
      <c r="F631">
        <v>3</v>
      </c>
      <c r="G631">
        <v>14</v>
      </c>
      <c r="H631" t="s">
        <v>14</v>
      </c>
      <c r="I631">
        <v>821.42</v>
      </c>
      <c r="J631" t="str">
        <f t="shared" si="63"/>
        <v>Medium</v>
      </c>
      <c r="K631" s="4" t="e">
        <f t="shared" si="64"/>
        <v>#N/A</v>
      </c>
      <c r="L631" t="e">
        <f t="shared" si="65"/>
        <v>#N/A</v>
      </c>
      <c r="M631" s="3">
        <f t="shared" si="66"/>
        <v>52480</v>
      </c>
      <c r="N631">
        <f t="shared" si="67"/>
        <v>22</v>
      </c>
      <c r="O631" s="3" t="e">
        <f t="shared" si="68"/>
        <v>#N/A</v>
      </c>
      <c r="P631" t="e">
        <f t="shared" si="69"/>
        <v>#N/A</v>
      </c>
    </row>
    <row r="632" spans="1:16" x14ac:dyDescent="0.25">
      <c r="A632">
        <v>243</v>
      </c>
      <c r="B632">
        <v>25</v>
      </c>
      <c r="C632" t="s">
        <v>45</v>
      </c>
      <c r="D632" s="3">
        <v>109583</v>
      </c>
      <c r="E632">
        <v>6</v>
      </c>
      <c r="F632">
        <v>4</v>
      </c>
      <c r="G632">
        <v>30</v>
      </c>
      <c r="H632" t="s">
        <v>14</v>
      </c>
      <c r="I632">
        <v>923.64</v>
      </c>
      <c r="J632" t="str">
        <f t="shared" si="63"/>
        <v>High</v>
      </c>
      <c r="K632" s="4" t="e">
        <f t="shared" si="64"/>
        <v>#N/A</v>
      </c>
      <c r="L632" t="e">
        <f t="shared" si="65"/>
        <v>#N/A</v>
      </c>
      <c r="M632" s="3" t="e">
        <f t="shared" si="66"/>
        <v>#N/A</v>
      </c>
      <c r="N632" t="e">
        <f t="shared" si="67"/>
        <v>#N/A</v>
      </c>
      <c r="O632" s="3">
        <f t="shared" si="68"/>
        <v>109583</v>
      </c>
      <c r="P632">
        <f t="shared" si="69"/>
        <v>6</v>
      </c>
    </row>
    <row r="633" spans="1:16" x14ac:dyDescent="0.25">
      <c r="A633">
        <v>258</v>
      </c>
      <c r="B633">
        <v>37</v>
      </c>
      <c r="C633" t="s">
        <v>45</v>
      </c>
      <c r="D633" s="3">
        <v>86856</v>
      </c>
      <c r="E633">
        <v>74</v>
      </c>
      <c r="F633">
        <v>3</v>
      </c>
      <c r="G633">
        <v>10</v>
      </c>
      <c r="H633" t="s">
        <v>14</v>
      </c>
      <c r="I633">
        <v>624.29</v>
      </c>
      <c r="J633" t="str">
        <f t="shared" si="63"/>
        <v>Medium</v>
      </c>
      <c r="K633" s="4" t="e">
        <f t="shared" si="64"/>
        <v>#N/A</v>
      </c>
      <c r="L633" t="e">
        <f t="shared" si="65"/>
        <v>#N/A</v>
      </c>
      <c r="M633" s="3">
        <f t="shared" si="66"/>
        <v>86856</v>
      </c>
      <c r="N633">
        <f t="shared" si="67"/>
        <v>74</v>
      </c>
      <c r="O633" s="3" t="e">
        <f t="shared" si="68"/>
        <v>#N/A</v>
      </c>
      <c r="P633" t="e">
        <f t="shared" si="69"/>
        <v>#N/A</v>
      </c>
    </row>
    <row r="634" spans="1:16" x14ac:dyDescent="0.25">
      <c r="A634">
        <v>262</v>
      </c>
      <c r="B634">
        <v>60</v>
      </c>
      <c r="C634" t="s">
        <v>45</v>
      </c>
      <c r="D634" s="3">
        <v>45827</v>
      </c>
      <c r="E634">
        <v>18</v>
      </c>
      <c r="F634">
        <v>2</v>
      </c>
      <c r="G634">
        <v>47</v>
      </c>
      <c r="H634" t="s">
        <v>14</v>
      </c>
      <c r="I634">
        <v>599.66</v>
      </c>
      <c r="J634" t="str">
        <f t="shared" si="63"/>
        <v>Low</v>
      </c>
      <c r="K634" s="4">
        <f t="shared" si="64"/>
        <v>45827</v>
      </c>
      <c r="L634">
        <f t="shared" si="65"/>
        <v>18</v>
      </c>
      <c r="M634" s="3" t="e">
        <f t="shared" si="66"/>
        <v>#N/A</v>
      </c>
      <c r="N634" t="e">
        <f t="shared" si="67"/>
        <v>#N/A</v>
      </c>
      <c r="O634" s="3" t="e">
        <f t="shared" si="68"/>
        <v>#N/A</v>
      </c>
      <c r="P634" t="e">
        <f t="shared" si="69"/>
        <v>#N/A</v>
      </c>
    </row>
    <row r="635" spans="1:16" x14ac:dyDescent="0.25">
      <c r="A635">
        <v>263</v>
      </c>
      <c r="B635">
        <v>64</v>
      </c>
      <c r="C635" t="s">
        <v>45</v>
      </c>
      <c r="D635" s="3">
        <v>115366</v>
      </c>
      <c r="E635">
        <v>68</v>
      </c>
      <c r="F635">
        <v>9</v>
      </c>
      <c r="G635">
        <v>28</v>
      </c>
      <c r="H635" t="s">
        <v>14</v>
      </c>
      <c r="I635">
        <v>934.88</v>
      </c>
      <c r="J635" t="str">
        <f t="shared" si="63"/>
        <v>High</v>
      </c>
      <c r="K635" s="4" t="e">
        <f t="shared" si="64"/>
        <v>#N/A</v>
      </c>
      <c r="L635" t="e">
        <f t="shared" si="65"/>
        <v>#N/A</v>
      </c>
      <c r="M635" s="3" t="e">
        <f t="shared" si="66"/>
        <v>#N/A</v>
      </c>
      <c r="N635" t="e">
        <f t="shared" si="67"/>
        <v>#N/A</v>
      </c>
      <c r="O635" s="3">
        <f t="shared" si="68"/>
        <v>115366</v>
      </c>
      <c r="P635">
        <f t="shared" si="69"/>
        <v>68</v>
      </c>
    </row>
    <row r="636" spans="1:16" x14ac:dyDescent="0.25">
      <c r="A636">
        <v>279</v>
      </c>
      <c r="B636">
        <v>47</v>
      </c>
      <c r="C636" t="s">
        <v>45</v>
      </c>
      <c r="D636" s="3">
        <v>95656</v>
      </c>
      <c r="E636">
        <v>63</v>
      </c>
      <c r="F636">
        <v>2</v>
      </c>
      <c r="G636">
        <v>30</v>
      </c>
      <c r="H636" t="s">
        <v>14</v>
      </c>
      <c r="I636">
        <v>634.19000000000005</v>
      </c>
      <c r="J636" t="str">
        <f t="shared" si="63"/>
        <v>Medium</v>
      </c>
      <c r="K636" s="4" t="e">
        <f t="shared" si="64"/>
        <v>#N/A</v>
      </c>
      <c r="L636" t="e">
        <f t="shared" si="65"/>
        <v>#N/A</v>
      </c>
      <c r="M636" s="3">
        <f t="shared" si="66"/>
        <v>95656</v>
      </c>
      <c r="N636">
        <f t="shared" si="67"/>
        <v>63</v>
      </c>
      <c r="O636" s="3" t="e">
        <f t="shared" si="68"/>
        <v>#N/A</v>
      </c>
      <c r="P636" t="e">
        <f t="shared" si="69"/>
        <v>#N/A</v>
      </c>
    </row>
    <row r="637" spans="1:16" x14ac:dyDescent="0.25">
      <c r="A637">
        <v>295</v>
      </c>
      <c r="B637">
        <v>18</v>
      </c>
      <c r="C637" t="s">
        <v>45</v>
      </c>
      <c r="D637" s="3">
        <v>135713</v>
      </c>
      <c r="E637">
        <v>79</v>
      </c>
      <c r="F637">
        <v>7</v>
      </c>
      <c r="G637">
        <v>18</v>
      </c>
      <c r="H637" t="s">
        <v>14</v>
      </c>
      <c r="I637">
        <v>871.12</v>
      </c>
      <c r="J637" t="str">
        <f t="shared" si="63"/>
        <v>High</v>
      </c>
      <c r="K637" s="4" t="e">
        <f t="shared" si="64"/>
        <v>#N/A</v>
      </c>
      <c r="L637" t="e">
        <f t="shared" si="65"/>
        <v>#N/A</v>
      </c>
      <c r="M637" s="3" t="e">
        <f t="shared" si="66"/>
        <v>#N/A</v>
      </c>
      <c r="N637" t="e">
        <f t="shared" si="67"/>
        <v>#N/A</v>
      </c>
      <c r="O637" s="3">
        <f t="shared" si="68"/>
        <v>135713</v>
      </c>
      <c r="P637">
        <f t="shared" si="69"/>
        <v>79</v>
      </c>
    </row>
    <row r="638" spans="1:16" x14ac:dyDescent="0.25">
      <c r="A638">
        <v>313</v>
      </c>
      <c r="B638">
        <v>69</v>
      </c>
      <c r="C638" t="s">
        <v>45</v>
      </c>
      <c r="D638" s="3">
        <v>35218</v>
      </c>
      <c r="E638">
        <v>47</v>
      </c>
      <c r="F638">
        <v>4</v>
      </c>
      <c r="G638">
        <v>33</v>
      </c>
      <c r="H638" t="s">
        <v>14</v>
      </c>
      <c r="I638">
        <v>315.49</v>
      </c>
      <c r="J638" t="str">
        <f t="shared" si="63"/>
        <v>Low</v>
      </c>
      <c r="K638" s="4">
        <f t="shared" si="64"/>
        <v>35218</v>
      </c>
      <c r="L638">
        <f t="shared" si="65"/>
        <v>47</v>
      </c>
      <c r="M638" s="3" t="e">
        <f t="shared" si="66"/>
        <v>#N/A</v>
      </c>
      <c r="N638" t="e">
        <f t="shared" si="67"/>
        <v>#N/A</v>
      </c>
      <c r="O638" s="3" t="e">
        <f t="shared" si="68"/>
        <v>#N/A</v>
      </c>
      <c r="P638" t="e">
        <f t="shared" si="69"/>
        <v>#N/A</v>
      </c>
    </row>
    <row r="639" spans="1:16" x14ac:dyDescent="0.25">
      <c r="A639">
        <v>317</v>
      </c>
      <c r="B639">
        <v>18</v>
      </c>
      <c r="C639" t="s">
        <v>45</v>
      </c>
      <c r="D639" s="3">
        <v>92363</v>
      </c>
      <c r="E639">
        <v>84</v>
      </c>
      <c r="F639">
        <v>1</v>
      </c>
      <c r="G639">
        <v>10</v>
      </c>
      <c r="H639" t="s">
        <v>14</v>
      </c>
      <c r="I639">
        <v>539.74</v>
      </c>
      <c r="J639" t="str">
        <f t="shared" si="63"/>
        <v>Medium</v>
      </c>
      <c r="K639" s="4" t="e">
        <f t="shared" si="64"/>
        <v>#N/A</v>
      </c>
      <c r="L639" t="e">
        <f t="shared" si="65"/>
        <v>#N/A</v>
      </c>
      <c r="M639" s="3">
        <f t="shared" si="66"/>
        <v>92363</v>
      </c>
      <c r="N639">
        <f t="shared" si="67"/>
        <v>84</v>
      </c>
      <c r="O639" s="3" t="e">
        <f t="shared" si="68"/>
        <v>#N/A</v>
      </c>
      <c r="P639" t="e">
        <f t="shared" si="69"/>
        <v>#N/A</v>
      </c>
    </row>
    <row r="640" spans="1:16" x14ac:dyDescent="0.25">
      <c r="A640">
        <v>318</v>
      </c>
      <c r="B640">
        <v>23</v>
      </c>
      <c r="C640" t="s">
        <v>45</v>
      </c>
      <c r="D640" s="3">
        <v>84664</v>
      </c>
      <c r="E640">
        <v>45</v>
      </c>
      <c r="F640">
        <v>5</v>
      </c>
      <c r="G640">
        <v>12</v>
      </c>
      <c r="H640" t="s">
        <v>14</v>
      </c>
      <c r="I640">
        <v>592.72</v>
      </c>
      <c r="J640" t="str">
        <f t="shared" si="63"/>
        <v>Medium</v>
      </c>
      <c r="K640" s="4" t="e">
        <f t="shared" si="64"/>
        <v>#N/A</v>
      </c>
      <c r="L640" t="e">
        <f t="shared" si="65"/>
        <v>#N/A</v>
      </c>
      <c r="M640" s="3">
        <f t="shared" si="66"/>
        <v>84664</v>
      </c>
      <c r="N640">
        <f t="shared" si="67"/>
        <v>45</v>
      </c>
      <c r="O640" s="3" t="e">
        <f t="shared" si="68"/>
        <v>#N/A</v>
      </c>
      <c r="P640" t="e">
        <f t="shared" si="69"/>
        <v>#N/A</v>
      </c>
    </row>
    <row r="641" spans="1:16" x14ac:dyDescent="0.25">
      <c r="A641">
        <v>341</v>
      </c>
      <c r="B641">
        <v>31</v>
      </c>
      <c r="C641" t="s">
        <v>45</v>
      </c>
      <c r="D641" s="3">
        <v>35406</v>
      </c>
      <c r="E641">
        <v>45</v>
      </c>
      <c r="F641">
        <v>10</v>
      </c>
      <c r="G641">
        <v>9</v>
      </c>
      <c r="H641" t="s">
        <v>14</v>
      </c>
      <c r="I641">
        <v>637.02</v>
      </c>
      <c r="J641" t="str">
        <f t="shared" si="63"/>
        <v>Low</v>
      </c>
      <c r="K641" s="4">
        <f t="shared" si="64"/>
        <v>35406</v>
      </c>
      <c r="L641">
        <f t="shared" si="65"/>
        <v>45</v>
      </c>
      <c r="M641" s="3" t="e">
        <f t="shared" si="66"/>
        <v>#N/A</v>
      </c>
      <c r="N641" t="e">
        <f t="shared" si="67"/>
        <v>#N/A</v>
      </c>
      <c r="O641" s="3" t="e">
        <f t="shared" si="68"/>
        <v>#N/A</v>
      </c>
      <c r="P641" t="e">
        <f t="shared" si="69"/>
        <v>#N/A</v>
      </c>
    </row>
    <row r="642" spans="1:16" x14ac:dyDescent="0.25">
      <c r="A642">
        <v>373</v>
      </c>
      <c r="B642">
        <v>30</v>
      </c>
      <c r="C642" t="s">
        <v>45</v>
      </c>
      <c r="D642" s="3">
        <v>80320</v>
      </c>
      <c r="E642">
        <v>91</v>
      </c>
      <c r="F642">
        <v>1</v>
      </c>
      <c r="G642">
        <v>31</v>
      </c>
      <c r="H642" t="s">
        <v>14</v>
      </c>
      <c r="I642">
        <v>930.97</v>
      </c>
      <c r="J642" t="str">
        <f t="shared" ref="J642:J705" si="70">IF(D642&lt;50000,"Low",IF(D642&lt;100000,"Medium","High"))</f>
        <v>Medium</v>
      </c>
      <c r="K642" s="4" t="e">
        <f t="shared" ref="K642:K705" si="71">IF($J642="Low",$D642,NA())</f>
        <v>#N/A</v>
      </c>
      <c r="L642" t="e">
        <f t="shared" ref="L642:L705" si="72">IF($J642="Low",$E642,NA())</f>
        <v>#N/A</v>
      </c>
      <c r="M642" s="3">
        <f t="shared" ref="M642:M705" si="73">IF($J642="Medium",$D642,NA())</f>
        <v>80320</v>
      </c>
      <c r="N642">
        <f t="shared" ref="N642:N705" si="74">IF($J642="Medium",$E642,NA())</f>
        <v>91</v>
      </c>
      <c r="O642" s="3" t="e">
        <f t="shared" ref="O642:O705" si="75">IF($J642="High",$D642,NA())</f>
        <v>#N/A</v>
      </c>
      <c r="P642" t="e">
        <f t="shared" ref="P642:P705" si="76">IF($J642="High",$E642,NA())</f>
        <v>#N/A</v>
      </c>
    </row>
    <row r="643" spans="1:16" x14ac:dyDescent="0.25">
      <c r="A643">
        <v>382</v>
      </c>
      <c r="B643">
        <v>68</v>
      </c>
      <c r="C643" t="s">
        <v>45</v>
      </c>
      <c r="D643" s="3">
        <v>93926</v>
      </c>
      <c r="E643">
        <v>45</v>
      </c>
      <c r="F643">
        <v>5</v>
      </c>
      <c r="G643">
        <v>22</v>
      </c>
      <c r="H643" t="s">
        <v>14</v>
      </c>
      <c r="I643">
        <v>19.14</v>
      </c>
      <c r="J643" t="str">
        <f t="shared" si="70"/>
        <v>Medium</v>
      </c>
      <c r="K643" s="4" t="e">
        <f t="shared" si="71"/>
        <v>#N/A</v>
      </c>
      <c r="L643" t="e">
        <f t="shared" si="72"/>
        <v>#N/A</v>
      </c>
      <c r="M643" s="3">
        <f t="shared" si="73"/>
        <v>93926</v>
      </c>
      <c r="N643">
        <f t="shared" si="74"/>
        <v>45</v>
      </c>
      <c r="O643" s="3" t="e">
        <f t="shared" si="75"/>
        <v>#N/A</v>
      </c>
      <c r="P643" t="e">
        <f t="shared" si="76"/>
        <v>#N/A</v>
      </c>
    </row>
    <row r="644" spans="1:16" x14ac:dyDescent="0.25">
      <c r="A644">
        <v>397</v>
      </c>
      <c r="B644">
        <v>23</v>
      </c>
      <c r="C644" t="s">
        <v>45</v>
      </c>
      <c r="D644" s="3">
        <v>37713</v>
      </c>
      <c r="E644">
        <v>11</v>
      </c>
      <c r="F644">
        <v>8</v>
      </c>
      <c r="G644">
        <v>31</v>
      </c>
      <c r="H644" t="s">
        <v>14</v>
      </c>
      <c r="I644">
        <v>481.24</v>
      </c>
      <c r="J644" t="str">
        <f t="shared" si="70"/>
        <v>Low</v>
      </c>
      <c r="K644" s="4">
        <f t="shared" si="71"/>
        <v>37713</v>
      </c>
      <c r="L644">
        <f t="shared" si="72"/>
        <v>11</v>
      </c>
      <c r="M644" s="3" t="e">
        <f t="shared" si="73"/>
        <v>#N/A</v>
      </c>
      <c r="N644" t="e">
        <f t="shared" si="74"/>
        <v>#N/A</v>
      </c>
      <c r="O644" s="3" t="e">
        <f t="shared" si="75"/>
        <v>#N/A</v>
      </c>
      <c r="P644" t="e">
        <f t="shared" si="76"/>
        <v>#N/A</v>
      </c>
    </row>
    <row r="645" spans="1:16" x14ac:dyDescent="0.25">
      <c r="A645">
        <v>401</v>
      </c>
      <c r="B645">
        <v>32</v>
      </c>
      <c r="C645" t="s">
        <v>45</v>
      </c>
      <c r="D645" s="3">
        <v>86268</v>
      </c>
      <c r="E645">
        <v>96</v>
      </c>
      <c r="F645">
        <v>3</v>
      </c>
      <c r="G645">
        <v>21</v>
      </c>
      <c r="H645" t="s">
        <v>14</v>
      </c>
      <c r="I645">
        <v>643.36</v>
      </c>
      <c r="J645" t="str">
        <f t="shared" si="70"/>
        <v>Medium</v>
      </c>
      <c r="K645" s="4" t="e">
        <f t="shared" si="71"/>
        <v>#N/A</v>
      </c>
      <c r="L645" t="e">
        <f t="shared" si="72"/>
        <v>#N/A</v>
      </c>
      <c r="M645" s="3">
        <f t="shared" si="73"/>
        <v>86268</v>
      </c>
      <c r="N645">
        <f t="shared" si="74"/>
        <v>96</v>
      </c>
      <c r="O645" s="3" t="e">
        <f t="shared" si="75"/>
        <v>#N/A</v>
      </c>
      <c r="P645" t="e">
        <f t="shared" si="76"/>
        <v>#N/A</v>
      </c>
    </row>
    <row r="646" spans="1:16" x14ac:dyDescent="0.25">
      <c r="A646">
        <v>426</v>
      </c>
      <c r="B646">
        <v>40</v>
      </c>
      <c r="C646" t="s">
        <v>45</v>
      </c>
      <c r="D646" s="3">
        <v>142251</v>
      </c>
      <c r="E646">
        <v>90</v>
      </c>
      <c r="F646">
        <v>10</v>
      </c>
      <c r="G646">
        <v>14</v>
      </c>
      <c r="H646" t="s">
        <v>14</v>
      </c>
      <c r="I646">
        <v>866.52</v>
      </c>
      <c r="J646" t="str">
        <f t="shared" si="70"/>
        <v>High</v>
      </c>
      <c r="K646" s="4" t="e">
        <f t="shared" si="71"/>
        <v>#N/A</v>
      </c>
      <c r="L646" t="e">
        <f t="shared" si="72"/>
        <v>#N/A</v>
      </c>
      <c r="M646" s="3" t="e">
        <f t="shared" si="73"/>
        <v>#N/A</v>
      </c>
      <c r="N646" t="e">
        <f t="shared" si="74"/>
        <v>#N/A</v>
      </c>
      <c r="O646" s="3">
        <f t="shared" si="75"/>
        <v>142251</v>
      </c>
      <c r="P646">
        <f t="shared" si="76"/>
        <v>90</v>
      </c>
    </row>
    <row r="647" spans="1:16" x14ac:dyDescent="0.25">
      <c r="A647">
        <v>443</v>
      </c>
      <c r="B647">
        <v>47</v>
      </c>
      <c r="C647" t="s">
        <v>45</v>
      </c>
      <c r="D647" s="3">
        <v>138199</v>
      </c>
      <c r="E647">
        <v>79</v>
      </c>
      <c r="F647">
        <v>10</v>
      </c>
      <c r="G647">
        <v>43</v>
      </c>
      <c r="H647" t="s">
        <v>14</v>
      </c>
      <c r="I647">
        <v>171.38</v>
      </c>
      <c r="J647" t="str">
        <f t="shared" si="70"/>
        <v>High</v>
      </c>
      <c r="K647" s="4" t="e">
        <f t="shared" si="71"/>
        <v>#N/A</v>
      </c>
      <c r="L647" t="e">
        <f t="shared" si="72"/>
        <v>#N/A</v>
      </c>
      <c r="M647" s="3" t="e">
        <f t="shared" si="73"/>
        <v>#N/A</v>
      </c>
      <c r="N647" t="e">
        <f t="shared" si="74"/>
        <v>#N/A</v>
      </c>
      <c r="O647" s="3">
        <f t="shared" si="75"/>
        <v>138199</v>
      </c>
      <c r="P647">
        <f t="shared" si="76"/>
        <v>79</v>
      </c>
    </row>
    <row r="648" spans="1:16" x14ac:dyDescent="0.25">
      <c r="A648">
        <v>455</v>
      </c>
      <c r="B648">
        <v>28</v>
      </c>
      <c r="C648" t="s">
        <v>45</v>
      </c>
      <c r="D648" s="3">
        <v>126571</v>
      </c>
      <c r="E648">
        <v>82</v>
      </c>
      <c r="F648">
        <v>10</v>
      </c>
      <c r="G648">
        <v>8</v>
      </c>
      <c r="H648" t="s">
        <v>14</v>
      </c>
      <c r="I648">
        <v>26.12</v>
      </c>
      <c r="J648" t="str">
        <f t="shared" si="70"/>
        <v>High</v>
      </c>
      <c r="K648" s="4" t="e">
        <f t="shared" si="71"/>
        <v>#N/A</v>
      </c>
      <c r="L648" t="e">
        <f t="shared" si="72"/>
        <v>#N/A</v>
      </c>
      <c r="M648" s="3" t="e">
        <f t="shared" si="73"/>
        <v>#N/A</v>
      </c>
      <c r="N648" t="e">
        <f t="shared" si="74"/>
        <v>#N/A</v>
      </c>
      <c r="O648" s="3">
        <f t="shared" si="75"/>
        <v>126571</v>
      </c>
      <c r="P648">
        <f t="shared" si="76"/>
        <v>82</v>
      </c>
    </row>
    <row r="649" spans="1:16" x14ac:dyDescent="0.25">
      <c r="A649">
        <v>457</v>
      </c>
      <c r="B649">
        <v>30</v>
      </c>
      <c r="C649" t="s">
        <v>45</v>
      </c>
      <c r="D649" s="3">
        <v>120083</v>
      </c>
      <c r="E649">
        <v>47</v>
      </c>
      <c r="F649">
        <v>1</v>
      </c>
      <c r="G649">
        <v>49</v>
      </c>
      <c r="H649" t="s">
        <v>14</v>
      </c>
      <c r="I649">
        <v>443.12</v>
      </c>
      <c r="J649" t="str">
        <f t="shared" si="70"/>
        <v>High</v>
      </c>
      <c r="K649" s="4" t="e">
        <f t="shared" si="71"/>
        <v>#N/A</v>
      </c>
      <c r="L649" t="e">
        <f t="shared" si="72"/>
        <v>#N/A</v>
      </c>
      <c r="M649" s="3" t="e">
        <f t="shared" si="73"/>
        <v>#N/A</v>
      </c>
      <c r="N649" t="e">
        <f t="shared" si="74"/>
        <v>#N/A</v>
      </c>
      <c r="O649" s="3">
        <f t="shared" si="75"/>
        <v>120083</v>
      </c>
      <c r="P649">
        <f t="shared" si="76"/>
        <v>47</v>
      </c>
    </row>
    <row r="650" spans="1:16" x14ac:dyDescent="0.25">
      <c r="A650">
        <v>472</v>
      </c>
      <c r="B650">
        <v>35</v>
      </c>
      <c r="C650" t="s">
        <v>45</v>
      </c>
      <c r="D650" s="3">
        <v>42390</v>
      </c>
      <c r="E650">
        <v>27</v>
      </c>
      <c r="F650">
        <v>3</v>
      </c>
      <c r="G650">
        <v>41</v>
      </c>
      <c r="H650" t="s">
        <v>14</v>
      </c>
      <c r="I650">
        <v>781.31</v>
      </c>
      <c r="J650" t="str">
        <f t="shared" si="70"/>
        <v>Low</v>
      </c>
      <c r="K650" s="4">
        <f t="shared" si="71"/>
        <v>42390</v>
      </c>
      <c r="L650">
        <f t="shared" si="72"/>
        <v>27</v>
      </c>
      <c r="M650" s="3" t="e">
        <f t="shared" si="73"/>
        <v>#N/A</v>
      </c>
      <c r="N650" t="e">
        <f t="shared" si="74"/>
        <v>#N/A</v>
      </c>
      <c r="O650" s="3" t="e">
        <f t="shared" si="75"/>
        <v>#N/A</v>
      </c>
      <c r="P650" t="e">
        <f t="shared" si="76"/>
        <v>#N/A</v>
      </c>
    </row>
    <row r="651" spans="1:16" x14ac:dyDescent="0.25">
      <c r="A651">
        <v>504</v>
      </c>
      <c r="B651">
        <v>18</v>
      </c>
      <c r="C651" t="s">
        <v>45</v>
      </c>
      <c r="D651" s="3">
        <v>142641</v>
      </c>
      <c r="E651">
        <v>40</v>
      </c>
      <c r="F651">
        <v>7</v>
      </c>
      <c r="G651">
        <v>31</v>
      </c>
      <c r="H651" t="s">
        <v>14</v>
      </c>
      <c r="I651">
        <v>240.64</v>
      </c>
      <c r="J651" t="str">
        <f t="shared" si="70"/>
        <v>High</v>
      </c>
      <c r="K651" s="4" t="e">
        <f t="shared" si="71"/>
        <v>#N/A</v>
      </c>
      <c r="L651" t="e">
        <f t="shared" si="72"/>
        <v>#N/A</v>
      </c>
      <c r="M651" s="3" t="e">
        <f t="shared" si="73"/>
        <v>#N/A</v>
      </c>
      <c r="N651" t="e">
        <f t="shared" si="74"/>
        <v>#N/A</v>
      </c>
      <c r="O651" s="3">
        <f t="shared" si="75"/>
        <v>142641</v>
      </c>
      <c r="P651">
        <f t="shared" si="76"/>
        <v>40</v>
      </c>
    </row>
    <row r="652" spans="1:16" x14ac:dyDescent="0.25">
      <c r="A652">
        <v>516</v>
      </c>
      <c r="B652">
        <v>32</v>
      </c>
      <c r="C652" t="s">
        <v>45</v>
      </c>
      <c r="D652" s="3">
        <v>137280</v>
      </c>
      <c r="E652">
        <v>95</v>
      </c>
      <c r="F652">
        <v>6</v>
      </c>
      <c r="G652">
        <v>3</v>
      </c>
      <c r="H652" t="s">
        <v>14</v>
      </c>
      <c r="I652">
        <v>31.72</v>
      </c>
      <c r="J652" t="str">
        <f t="shared" si="70"/>
        <v>High</v>
      </c>
      <c r="K652" s="4" t="e">
        <f t="shared" si="71"/>
        <v>#N/A</v>
      </c>
      <c r="L652" t="e">
        <f t="shared" si="72"/>
        <v>#N/A</v>
      </c>
      <c r="M652" s="3" t="e">
        <f t="shared" si="73"/>
        <v>#N/A</v>
      </c>
      <c r="N652" t="e">
        <f t="shared" si="74"/>
        <v>#N/A</v>
      </c>
      <c r="O652" s="3">
        <f t="shared" si="75"/>
        <v>137280</v>
      </c>
      <c r="P652">
        <f t="shared" si="76"/>
        <v>95</v>
      </c>
    </row>
    <row r="653" spans="1:16" x14ac:dyDescent="0.25">
      <c r="A653">
        <v>524</v>
      </c>
      <c r="B653">
        <v>47</v>
      </c>
      <c r="C653" t="s">
        <v>45</v>
      </c>
      <c r="D653" s="3">
        <v>100338</v>
      </c>
      <c r="E653">
        <v>13</v>
      </c>
      <c r="F653">
        <v>9</v>
      </c>
      <c r="G653">
        <v>40</v>
      </c>
      <c r="H653" t="s">
        <v>14</v>
      </c>
      <c r="I653">
        <v>48.65</v>
      </c>
      <c r="J653" t="str">
        <f t="shared" si="70"/>
        <v>High</v>
      </c>
      <c r="K653" s="4" t="e">
        <f t="shared" si="71"/>
        <v>#N/A</v>
      </c>
      <c r="L653" t="e">
        <f t="shared" si="72"/>
        <v>#N/A</v>
      </c>
      <c r="M653" s="3" t="e">
        <f t="shared" si="73"/>
        <v>#N/A</v>
      </c>
      <c r="N653" t="e">
        <f t="shared" si="74"/>
        <v>#N/A</v>
      </c>
      <c r="O653" s="3">
        <f t="shared" si="75"/>
        <v>100338</v>
      </c>
      <c r="P653">
        <f t="shared" si="76"/>
        <v>13</v>
      </c>
    </row>
    <row r="654" spans="1:16" x14ac:dyDescent="0.25">
      <c r="A654">
        <v>547</v>
      </c>
      <c r="B654">
        <v>60</v>
      </c>
      <c r="C654" t="s">
        <v>45</v>
      </c>
      <c r="D654" s="3">
        <v>108533</v>
      </c>
      <c r="E654">
        <v>23</v>
      </c>
      <c r="F654">
        <v>9</v>
      </c>
      <c r="G654">
        <v>24</v>
      </c>
      <c r="H654" t="s">
        <v>14</v>
      </c>
      <c r="I654">
        <v>506.98</v>
      </c>
      <c r="J654" t="str">
        <f t="shared" si="70"/>
        <v>High</v>
      </c>
      <c r="K654" s="4" t="e">
        <f t="shared" si="71"/>
        <v>#N/A</v>
      </c>
      <c r="L654" t="e">
        <f t="shared" si="72"/>
        <v>#N/A</v>
      </c>
      <c r="M654" s="3" t="e">
        <f t="shared" si="73"/>
        <v>#N/A</v>
      </c>
      <c r="N654" t="e">
        <f t="shared" si="74"/>
        <v>#N/A</v>
      </c>
      <c r="O654" s="3">
        <f t="shared" si="75"/>
        <v>108533</v>
      </c>
      <c r="P654">
        <f t="shared" si="76"/>
        <v>23</v>
      </c>
    </row>
    <row r="655" spans="1:16" x14ac:dyDescent="0.25">
      <c r="A655">
        <v>564</v>
      </c>
      <c r="B655">
        <v>56</v>
      </c>
      <c r="C655" t="s">
        <v>45</v>
      </c>
      <c r="D655" s="3">
        <v>134923</v>
      </c>
      <c r="E655">
        <v>18</v>
      </c>
      <c r="F655">
        <v>3</v>
      </c>
      <c r="G655">
        <v>31</v>
      </c>
      <c r="H655" t="s">
        <v>14</v>
      </c>
      <c r="I655">
        <v>515.16</v>
      </c>
      <c r="J655" t="str">
        <f t="shared" si="70"/>
        <v>High</v>
      </c>
      <c r="K655" s="4" t="e">
        <f t="shared" si="71"/>
        <v>#N/A</v>
      </c>
      <c r="L655" t="e">
        <f t="shared" si="72"/>
        <v>#N/A</v>
      </c>
      <c r="M655" s="3" t="e">
        <f t="shared" si="73"/>
        <v>#N/A</v>
      </c>
      <c r="N655" t="e">
        <f t="shared" si="74"/>
        <v>#N/A</v>
      </c>
      <c r="O655" s="3">
        <f t="shared" si="75"/>
        <v>134923</v>
      </c>
      <c r="P655">
        <f t="shared" si="76"/>
        <v>18</v>
      </c>
    </row>
    <row r="656" spans="1:16" x14ac:dyDescent="0.25">
      <c r="A656">
        <v>565</v>
      </c>
      <c r="B656">
        <v>68</v>
      </c>
      <c r="C656" t="s">
        <v>45</v>
      </c>
      <c r="D656" s="3">
        <v>106635</v>
      </c>
      <c r="E656">
        <v>85</v>
      </c>
      <c r="F656">
        <v>10</v>
      </c>
      <c r="G656">
        <v>30</v>
      </c>
      <c r="H656" t="s">
        <v>14</v>
      </c>
      <c r="I656">
        <v>854.95</v>
      </c>
      <c r="J656" t="str">
        <f t="shared" si="70"/>
        <v>High</v>
      </c>
      <c r="K656" s="4" t="e">
        <f t="shared" si="71"/>
        <v>#N/A</v>
      </c>
      <c r="L656" t="e">
        <f t="shared" si="72"/>
        <v>#N/A</v>
      </c>
      <c r="M656" s="3" t="e">
        <f t="shared" si="73"/>
        <v>#N/A</v>
      </c>
      <c r="N656" t="e">
        <f t="shared" si="74"/>
        <v>#N/A</v>
      </c>
      <c r="O656" s="3">
        <f t="shared" si="75"/>
        <v>106635</v>
      </c>
      <c r="P656">
        <f t="shared" si="76"/>
        <v>85</v>
      </c>
    </row>
    <row r="657" spans="1:16" x14ac:dyDescent="0.25">
      <c r="A657">
        <v>567</v>
      </c>
      <c r="B657">
        <v>22</v>
      </c>
      <c r="C657" t="s">
        <v>45</v>
      </c>
      <c r="D657" s="3">
        <v>92601</v>
      </c>
      <c r="E657">
        <v>75</v>
      </c>
      <c r="F657">
        <v>7</v>
      </c>
      <c r="G657">
        <v>49</v>
      </c>
      <c r="H657" t="s">
        <v>14</v>
      </c>
      <c r="I657">
        <v>120.76</v>
      </c>
      <c r="J657" t="str">
        <f t="shared" si="70"/>
        <v>Medium</v>
      </c>
      <c r="K657" s="4" t="e">
        <f t="shared" si="71"/>
        <v>#N/A</v>
      </c>
      <c r="L657" t="e">
        <f t="shared" si="72"/>
        <v>#N/A</v>
      </c>
      <c r="M657" s="3">
        <f t="shared" si="73"/>
        <v>92601</v>
      </c>
      <c r="N657">
        <f t="shared" si="74"/>
        <v>75</v>
      </c>
      <c r="O657" s="3" t="e">
        <f t="shared" si="75"/>
        <v>#N/A</v>
      </c>
      <c r="P657" t="e">
        <f t="shared" si="76"/>
        <v>#N/A</v>
      </c>
    </row>
    <row r="658" spans="1:16" x14ac:dyDescent="0.25">
      <c r="A658">
        <v>586</v>
      </c>
      <c r="B658">
        <v>62</v>
      </c>
      <c r="C658" t="s">
        <v>45</v>
      </c>
      <c r="D658" s="3">
        <v>147903</v>
      </c>
      <c r="E658">
        <v>79</v>
      </c>
      <c r="F658">
        <v>5</v>
      </c>
      <c r="G658">
        <v>22</v>
      </c>
      <c r="H658" t="s">
        <v>14</v>
      </c>
      <c r="I658">
        <v>203.15</v>
      </c>
      <c r="J658" t="str">
        <f t="shared" si="70"/>
        <v>High</v>
      </c>
      <c r="K658" s="4" t="e">
        <f t="shared" si="71"/>
        <v>#N/A</v>
      </c>
      <c r="L658" t="e">
        <f t="shared" si="72"/>
        <v>#N/A</v>
      </c>
      <c r="M658" s="3" t="e">
        <f t="shared" si="73"/>
        <v>#N/A</v>
      </c>
      <c r="N658" t="e">
        <f t="shared" si="74"/>
        <v>#N/A</v>
      </c>
      <c r="O658" s="3">
        <f t="shared" si="75"/>
        <v>147903</v>
      </c>
      <c r="P658">
        <f t="shared" si="76"/>
        <v>79</v>
      </c>
    </row>
    <row r="659" spans="1:16" x14ac:dyDescent="0.25">
      <c r="A659">
        <v>598</v>
      </c>
      <c r="B659">
        <v>56</v>
      </c>
      <c r="C659" t="s">
        <v>45</v>
      </c>
      <c r="D659" s="3">
        <v>55695</v>
      </c>
      <c r="E659">
        <v>58</v>
      </c>
      <c r="F659">
        <v>7</v>
      </c>
      <c r="G659">
        <v>30</v>
      </c>
      <c r="H659" t="s">
        <v>14</v>
      </c>
      <c r="I659">
        <v>435.76</v>
      </c>
      <c r="J659" t="str">
        <f t="shared" si="70"/>
        <v>Medium</v>
      </c>
      <c r="K659" s="4" t="e">
        <f t="shared" si="71"/>
        <v>#N/A</v>
      </c>
      <c r="L659" t="e">
        <f t="shared" si="72"/>
        <v>#N/A</v>
      </c>
      <c r="M659" s="3">
        <f t="shared" si="73"/>
        <v>55695</v>
      </c>
      <c r="N659">
        <f t="shared" si="74"/>
        <v>58</v>
      </c>
      <c r="O659" s="3" t="e">
        <f t="shared" si="75"/>
        <v>#N/A</v>
      </c>
      <c r="P659" t="e">
        <f t="shared" si="76"/>
        <v>#N/A</v>
      </c>
    </row>
    <row r="660" spans="1:16" x14ac:dyDescent="0.25">
      <c r="A660">
        <v>609</v>
      </c>
      <c r="B660">
        <v>53</v>
      </c>
      <c r="C660" t="s">
        <v>45</v>
      </c>
      <c r="D660" s="3">
        <v>96499</v>
      </c>
      <c r="E660">
        <v>29</v>
      </c>
      <c r="F660">
        <v>4</v>
      </c>
      <c r="G660">
        <v>5</v>
      </c>
      <c r="H660" t="s">
        <v>14</v>
      </c>
      <c r="I660">
        <v>744.11</v>
      </c>
      <c r="J660" t="str">
        <f t="shared" si="70"/>
        <v>Medium</v>
      </c>
      <c r="K660" s="4" t="e">
        <f t="shared" si="71"/>
        <v>#N/A</v>
      </c>
      <c r="L660" t="e">
        <f t="shared" si="72"/>
        <v>#N/A</v>
      </c>
      <c r="M660" s="3">
        <f t="shared" si="73"/>
        <v>96499</v>
      </c>
      <c r="N660">
        <f t="shared" si="74"/>
        <v>29</v>
      </c>
      <c r="O660" s="3" t="e">
        <f t="shared" si="75"/>
        <v>#N/A</v>
      </c>
      <c r="P660" t="e">
        <f t="shared" si="76"/>
        <v>#N/A</v>
      </c>
    </row>
    <row r="661" spans="1:16" x14ac:dyDescent="0.25">
      <c r="A661">
        <v>634</v>
      </c>
      <c r="B661">
        <v>51</v>
      </c>
      <c r="C661" t="s">
        <v>45</v>
      </c>
      <c r="D661" s="3">
        <v>143678</v>
      </c>
      <c r="E661">
        <v>50</v>
      </c>
      <c r="F661">
        <v>8</v>
      </c>
      <c r="G661">
        <v>23</v>
      </c>
      <c r="H661" t="s">
        <v>14</v>
      </c>
      <c r="I661">
        <v>916.04</v>
      </c>
      <c r="J661" t="str">
        <f t="shared" si="70"/>
        <v>High</v>
      </c>
      <c r="K661" s="4" t="e">
        <f t="shared" si="71"/>
        <v>#N/A</v>
      </c>
      <c r="L661" t="e">
        <f t="shared" si="72"/>
        <v>#N/A</v>
      </c>
      <c r="M661" s="3" t="e">
        <f t="shared" si="73"/>
        <v>#N/A</v>
      </c>
      <c r="N661" t="e">
        <f t="shared" si="74"/>
        <v>#N/A</v>
      </c>
      <c r="O661" s="3">
        <f t="shared" si="75"/>
        <v>143678</v>
      </c>
      <c r="P661">
        <f t="shared" si="76"/>
        <v>50</v>
      </c>
    </row>
    <row r="662" spans="1:16" x14ac:dyDescent="0.25">
      <c r="A662">
        <v>647</v>
      </c>
      <c r="B662">
        <v>24</v>
      </c>
      <c r="C662" t="s">
        <v>45</v>
      </c>
      <c r="D662" s="3">
        <v>122371</v>
      </c>
      <c r="E662">
        <v>11</v>
      </c>
      <c r="F662">
        <v>2</v>
      </c>
      <c r="G662">
        <v>4</v>
      </c>
      <c r="H662" t="s">
        <v>14</v>
      </c>
      <c r="I662">
        <v>838.19</v>
      </c>
      <c r="J662" t="str">
        <f t="shared" si="70"/>
        <v>High</v>
      </c>
      <c r="K662" s="4" t="e">
        <f t="shared" si="71"/>
        <v>#N/A</v>
      </c>
      <c r="L662" t="e">
        <f t="shared" si="72"/>
        <v>#N/A</v>
      </c>
      <c r="M662" s="3" t="e">
        <f t="shared" si="73"/>
        <v>#N/A</v>
      </c>
      <c r="N662" t="e">
        <f t="shared" si="74"/>
        <v>#N/A</v>
      </c>
      <c r="O662" s="3">
        <f t="shared" si="75"/>
        <v>122371</v>
      </c>
      <c r="P662">
        <f t="shared" si="76"/>
        <v>11</v>
      </c>
    </row>
    <row r="663" spans="1:16" x14ac:dyDescent="0.25">
      <c r="A663">
        <v>652</v>
      </c>
      <c r="B663">
        <v>32</v>
      </c>
      <c r="C663" t="s">
        <v>45</v>
      </c>
      <c r="D663" s="3">
        <v>95862</v>
      </c>
      <c r="E663">
        <v>34</v>
      </c>
      <c r="F663">
        <v>6</v>
      </c>
      <c r="G663">
        <v>41</v>
      </c>
      <c r="H663" t="s">
        <v>14</v>
      </c>
      <c r="I663">
        <v>65.150000000000006</v>
      </c>
      <c r="J663" t="str">
        <f t="shared" si="70"/>
        <v>Medium</v>
      </c>
      <c r="K663" s="4" t="e">
        <f t="shared" si="71"/>
        <v>#N/A</v>
      </c>
      <c r="L663" t="e">
        <f t="shared" si="72"/>
        <v>#N/A</v>
      </c>
      <c r="M663" s="3">
        <f t="shared" si="73"/>
        <v>95862</v>
      </c>
      <c r="N663">
        <f t="shared" si="74"/>
        <v>34</v>
      </c>
      <c r="O663" s="3" t="e">
        <f t="shared" si="75"/>
        <v>#N/A</v>
      </c>
      <c r="P663" t="e">
        <f t="shared" si="76"/>
        <v>#N/A</v>
      </c>
    </row>
    <row r="664" spans="1:16" x14ac:dyDescent="0.25">
      <c r="A664">
        <v>674</v>
      </c>
      <c r="B664">
        <v>32</v>
      </c>
      <c r="C664" t="s">
        <v>45</v>
      </c>
      <c r="D664" s="3">
        <v>41072</v>
      </c>
      <c r="E664">
        <v>14</v>
      </c>
      <c r="F664">
        <v>5</v>
      </c>
      <c r="G664">
        <v>39</v>
      </c>
      <c r="H664" t="s">
        <v>14</v>
      </c>
      <c r="I664">
        <v>981.04</v>
      </c>
      <c r="J664" t="str">
        <f t="shared" si="70"/>
        <v>Low</v>
      </c>
      <c r="K664" s="4">
        <f t="shared" si="71"/>
        <v>41072</v>
      </c>
      <c r="L664">
        <f t="shared" si="72"/>
        <v>14</v>
      </c>
      <c r="M664" s="3" t="e">
        <f t="shared" si="73"/>
        <v>#N/A</v>
      </c>
      <c r="N664" t="e">
        <f t="shared" si="74"/>
        <v>#N/A</v>
      </c>
      <c r="O664" s="3" t="e">
        <f t="shared" si="75"/>
        <v>#N/A</v>
      </c>
      <c r="P664" t="e">
        <f t="shared" si="76"/>
        <v>#N/A</v>
      </c>
    </row>
    <row r="665" spans="1:16" x14ac:dyDescent="0.25">
      <c r="A665">
        <v>681</v>
      </c>
      <c r="B665">
        <v>49</v>
      </c>
      <c r="C665" t="s">
        <v>45</v>
      </c>
      <c r="D665" s="3">
        <v>115974</v>
      </c>
      <c r="E665">
        <v>95</v>
      </c>
      <c r="F665">
        <v>8</v>
      </c>
      <c r="G665">
        <v>22</v>
      </c>
      <c r="H665" t="s">
        <v>14</v>
      </c>
      <c r="I665">
        <v>143</v>
      </c>
      <c r="J665" t="str">
        <f t="shared" si="70"/>
        <v>High</v>
      </c>
      <c r="K665" s="4" t="e">
        <f t="shared" si="71"/>
        <v>#N/A</v>
      </c>
      <c r="L665" t="e">
        <f t="shared" si="72"/>
        <v>#N/A</v>
      </c>
      <c r="M665" s="3" t="e">
        <f t="shared" si="73"/>
        <v>#N/A</v>
      </c>
      <c r="N665" t="e">
        <f t="shared" si="74"/>
        <v>#N/A</v>
      </c>
      <c r="O665" s="3">
        <f t="shared" si="75"/>
        <v>115974</v>
      </c>
      <c r="P665">
        <f t="shared" si="76"/>
        <v>95</v>
      </c>
    </row>
    <row r="666" spans="1:16" x14ac:dyDescent="0.25">
      <c r="A666">
        <v>698</v>
      </c>
      <c r="B666">
        <v>33</v>
      </c>
      <c r="C666" t="s">
        <v>45</v>
      </c>
      <c r="D666" s="3">
        <v>36577</v>
      </c>
      <c r="E666">
        <v>28</v>
      </c>
      <c r="F666">
        <v>4</v>
      </c>
      <c r="G666">
        <v>1</v>
      </c>
      <c r="H666" t="s">
        <v>14</v>
      </c>
      <c r="I666">
        <v>612.54</v>
      </c>
      <c r="J666" t="str">
        <f t="shared" si="70"/>
        <v>Low</v>
      </c>
      <c r="K666" s="4">
        <f t="shared" si="71"/>
        <v>36577</v>
      </c>
      <c r="L666">
        <f t="shared" si="72"/>
        <v>28</v>
      </c>
      <c r="M666" s="3" t="e">
        <f t="shared" si="73"/>
        <v>#N/A</v>
      </c>
      <c r="N666" t="e">
        <f t="shared" si="74"/>
        <v>#N/A</v>
      </c>
      <c r="O666" s="3" t="e">
        <f t="shared" si="75"/>
        <v>#N/A</v>
      </c>
      <c r="P666" t="e">
        <f t="shared" si="76"/>
        <v>#N/A</v>
      </c>
    </row>
    <row r="667" spans="1:16" x14ac:dyDescent="0.25">
      <c r="A667">
        <v>715</v>
      </c>
      <c r="B667">
        <v>43</v>
      </c>
      <c r="C667" t="s">
        <v>45</v>
      </c>
      <c r="D667" s="3">
        <v>67912</v>
      </c>
      <c r="E667">
        <v>71</v>
      </c>
      <c r="F667">
        <v>10</v>
      </c>
      <c r="G667">
        <v>35</v>
      </c>
      <c r="H667" t="s">
        <v>14</v>
      </c>
      <c r="I667">
        <v>698.03</v>
      </c>
      <c r="J667" t="str">
        <f t="shared" si="70"/>
        <v>Medium</v>
      </c>
      <c r="K667" s="4" t="e">
        <f t="shared" si="71"/>
        <v>#N/A</v>
      </c>
      <c r="L667" t="e">
        <f t="shared" si="72"/>
        <v>#N/A</v>
      </c>
      <c r="M667" s="3">
        <f t="shared" si="73"/>
        <v>67912</v>
      </c>
      <c r="N667">
        <f t="shared" si="74"/>
        <v>71</v>
      </c>
      <c r="O667" s="3" t="e">
        <f t="shared" si="75"/>
        <v>#N/A</v>
      </c>
      <c r="P667" t="e">
        <f t="shared" si="76"/>
        <v>#N/A</v>
      </c>
    </row>
    <row r="668" spans="1:16" x14ac:dyDescent="0.25">
      <c r="A668">
        <v>720</v>
      </c>
      <c r="B668">
        <v>69</v>
      </c>
      <c r="C668" t="s">
        <v>45</v>
      </c>
      <c r="D668" s="3">
        <v>72651</v>
      </c>
      <c r="E668">
        <v>58</v>
      </c>
      <c r="F668">
        <v>5</v>
      </c>
      <c r="G668">
        <v>30</v>
      </c>
      <c r="H668" t="s">
        <v>14</v>
      </c>
      <c r="I668">
        <v>103.11</v>
      </c>
      <c r="J668" t="str">
        <f t="shared" si="70"/>
        <v>Medium</v>
      </c>
      <c r="K668" s="4" t="e">
        <f t="shared" si="71"/>
        <v>#N/A</v>
      </c>
      <c r="L668" t="e">
        <f t="shared" si="72"/>
        <v>#N/A</v>
      </c>
      <c r="M668" s="3">
        <f t="shared" si="73"/>
        <v>72651</v>
      </c>
      <c r="N668">
        <f t="shared" si="74"/>
        <v>58</v>
      </c>
      <c r="O668" s="3" t="e">
        <f t="shared" si="75"/>
        <v>#N/A</v>
      </c>
      <c r="P668" t="e">
        <f t="shared" si="76"/>
        <v>#N/A</v>
      </c>
    </row>
    <row r="669" spans="1:16" x14ac:dyDescent="0.25">
      <c r="A669">
        <v>732</v>
      </c>
      <c r="B669">
        <v>29</v>
      </c>
      <c r="C669" t="s">
        <v>45</v>
      </c>
      <c r="D669" s="3">
        <v>66264</v>
      </c>
      <c r="E669">
        <v>85</v>
      </c>
      <c r="F669">
        <v>2</v>
      </c>
      <c r="G669">
        <v>8</v>
      </c>
      <c r="H669" t="s">
        <v>14</v>
      </c>
      <c r="I669">
        <v>743.3</v>
      </c>
      <c r="J669" t="str">
        <f t="shared" si="70"/>
        <v>Medium</v>
      </c>
      <c r="K669" s="4" t="e">
        <f t="shared" si="71"/>
        <v>#N/A</v>
      </c>
      <c r="L669" t="e">
        <f t="shared" si="72"/>
        <v>#N/A</v>
      </c>
      <c r="M669" s="3">
        <f t="shared" si="73"/>
        <v>66264</v>
      </c>
      <c r="N669">
        <f t="shared" si="74"/>
        <v>85</v>
      </c>
      <c r="O669" s="3" t="e">
        <f t="shared" si="75"/>
        <v>#N/A</v>
      </c>
      <c r="P669" t="e">
        <f t="shared" si="76"/>
        <v>#N/A</v>
      </c>
    </row>
    <row r="670" spans="1:16" x14ac:dyDescent="0.25">
      <c r="A670">
        <v>734</v>
      </c>
      <c r="B670">
        <v>23</v>
      </c>
      <c r="C670" t="s">
        <v>45</v>
      </c>
      <c r="D670" s="3">
        <v>66886</v>
      </c>
      <c r="E670">
        <v>7</v>
      </c>
      <c r="F670">
        <v>6</v>
      </c>
      <c r="G670">
        <v>40</v>
      </c>
      <c r="H670" t="s">
        <v>14</v>
      </c>
      <c r="I670">
        <v>322.64</v>
      </c>
      <c r="J670" t="str">
        <f t="shared" si="70"/>
        <v>Medium</v>
      </c>
      <c r="K670" s="4" t="e">
        <f t="shared" si="71"/>
        <v>#N/A</v>
      </c>
      <c r="L670" t="e">
        <f t="shared" si="72"/>
        <v>#N/A</v>
      </c>
      <c r="M670" s="3">
        <f t="shared" si="73"/>
        <v>66886</v>
      </c>
      <c r="N670">
        <f t="shared" si="74"/>
        <v>7</v>
      </c>
      <c r="O670" s="3" t="e">
        <f t="shared" si="75"/>
        <v>#N/A</v>
      </c>
      <c r="P670" t="e">
        <f t="shared" si="76"/>
        <v>#N/A</v>
      </c>
    </row>
    <row r="671" spans="1:16" x14ac:dyDescent="0.25">
      <c r="A671">
        <v>750</v>
      </c>
      <c r="B671">
        <v>41</v>
      </c>
      <c r="C671" t="s">
        <v>45</v>
      </c>
      <c r="D671" s="3">
        <v>74985</v>
      </c>
      <c r="E671">
        <v>68</v>
      </c>
      <c r="F671">
        <v>8</v>
      </c>
      <c r="G671">
        <v>21</v>
      </c>
      <c r="H671" t="s">
        <v>14</v>
      </c>
      <c r="I671">
        <v>123.96</v>
      </c>
      <c r="J671" t="str">
        <f t="shared" si="70"/>
        <v>Medium</v>
      </c>
      <c r="K671" s="4" t="e">
        <f t="shared" si="71"/>
        <v>#N/A</v>
      </c>
      <c r="L671" t="e">
        <f t="shared" si="72"/>
        <v>#N/A</v>
      </c>
      <c r="M671" s="3">
        <f t="shared" si="73"/>
        <v>74985</v>
      </c>
      <c r="N671">
        <f t="shared" si="74"/>
        <v>68</v>
      </c>
      <c r="O671" s="3" t="e">
        <f t="shared" si="75"/>
        <v>#N/A</v>
      </c>
      <c r="P671" t="e">
        <f t="shared" si="76"/>
        <v>#N/A</v>
      </c>
    </row>
    <row r="672" spans="1:16" x14ac:dyDescent="0.25">
      <c r="A672">
        <v>753</v>
      </c>
      <c r="B672">
        <v>28</v>
      </c>
      <c r="C672" t="s">
        <v>45</v>
      </c>
      <c r="D672" s="3">
        <v>129367</v>
      </c>
      <c r="E672">
        <v>4</v>
      </c>
      <c r="F672">
        <v>1</v>
      </c>
      <c r="G672">
        <v>44</v>
      </c>
      <c r="H672" t="s">
        <v>14</v>
      </c>
      <c r="I672">
        <v>559.61</v>
      </c>
      <c r="J672" t="str">
        <f t="shared" si="70"/>
        <v>High</v>
      </c>
      <c r="K672" s="4" t="e">
        <f t="shared" si="71"/>
        <v>#N/A</v>
      </c>
      <c r="L672" t="e">
        <f t="shared" si="72"/>
        <v>#N/A</v>
      </c>
      <c r="M672" s="3" t="e">
        <f t="shared" si="73"/>
        <v>#N/A</v>
      </c>
      <c r="N672" t="e">
        <f t="shared" si="74"/>
        <v>#N/A</v>
      </c>
      <c r="O672" s="3">
        <f t="shared" si="75"/>
        <v>129367</v>
      </c>
      <c r="P672">
        <f t="shared" si="76"/>
        <v>4</v>
      </c>
    </row>
    <row r="673" spans="1:16" x14ac:dyDescent="0.25">
      <c r="A673">
        <v>765</v>
      </c>
      <c r="B673">
        <v>40</v>
      </c>
      <c r="C673" t="s">
        <v>45</v>
      </c>
      <c r="D673" s="3">
        <v>108344</v>
      </c>
      <c r="E673">
        <v>87</v>
      </c>
      <c r="F673">
        <v>2</v>
      </c>
      <c r="G673">
        <v>13</v>
      </c>
      <c r="H673" t="s">
        <v>14</v>
      </c>
      <c r="I673">
        <v>892.28</v>
      </c>
      <c r="J673" t="str">
        <f t="shared" si="70"/>
        <v>High</v>
      </c>
      <c r="K673" s="4" t="e">
        <f t="shared" si="71"/>
        <v>#N/A</v>
      </c>
      <c r="L673" t="e">
        <f t="shared" si="72"/>
        <v>#N/A</v>
      </c>
      <c r="M673" s="3" t="e">
        <f t="shared" si="73"/>
        <v>#N/A</v>
      </c>
      <c r="N673" t="e">
        <f t="shared" si="74"/>
        <v>#N/A</v>
      </c>
      <c r="O673" s="3">
        <f t="shared" si="75"/>
        <v>108344</v>
      </c>
      <c r="P673">
        <f t="shared" si="76"/>
        <v>87</v>
      </c>
    </row>
    <row r="674" spans="1:16" x14ac:dyDescent="0.25">
      <c r="A674">
        <v>779</v>
      </c>
      <c r="B674">
        <v>56</v>
      </c>
      <c r="C674" t="s">
        <v>45</v>
      </c>
      <c r="D674" s="3">
        <v>43031</v>
      </c>
      <c r="E674">
        <v>56</v>
      </c>
      <c r="F674">
        <v>2</v>
      </c>
      <c r="G674">
        <v>15</v>
      </c>
      <c r="H674" t="s">
        <v>14</v>
      </c>
      <c r="I674">
        <v>830.79</v>
      </c>
      <c r="J674" t="str">
        <f t="shared" si="70"/>
        <v>Low</v>
      </c>
      <c r="K674" s="4">
        <f t="shared" si="71"/>
        <v>43031</v>
      </c>
      <c r="L674">
        <f t="shared" si="72"/>
        <v>56</v>
      </c>
      <c r="M674" s="3" t="e">
        <f t="shared" si="73"/>
        <v>#N/A</v>
      </c>
      <c r="N674" t="e">
        <f t="shared" si="74"/>
        <v>#N/A</v>
      </c>
      <c r="O674" s="3" t="e">
        <f t="shared" si="75"/>
        <v>#N/A</v>
      </c>
      <c r="P674" t="e">
        <f t="shared" si="76"/>
        <v>#N/A</v>
      </c>
    </row>
    <row r="675" spans="1:16" x14ac:dyDescent="0.25">
      <c r="A675">
        <v>809</v>
      </c>
      <c r="B675">
        <v>46</v>
      </c>
      <c r="C675" t="s">
        <v>45</v>
      </c>
      <c r="D675" s="3">
        <v>91845</v>
      </c>
      <c r="E675">
        <v>35</v>
      </c>
      <c r="F675">
        <v>8</v>
      </c>
      <c r="G675">
        <v>49</v>
      </c>
      <c r="H675" t="s">
        <v>14</v>
      </c>
      <c r="I675">
        <v>537.23</v>
      </c>
      <c r="J675" t="str">
        <f t="shared" si="70"/>
        <v>Medium</v>
      </c>
      <c r="K675" s="4" t="e">
        <f t="shared" si="71"/>
        <v>#N/A</v>
      </c>
      <c r="L675" t="e">
        <f t="shared" si="72"/>
        <v>#N/A</v>
      </c>
      <c r="M675" s="3">
        <f t="shared" si="73"/>
        <v>91845</v>
      </c>
      <c r="N675">
        <f t="shared" si="74"/>
        <v>35</v>
      </c>
      <c r="O675" s="3" t="e">
        <f t="shared" si="75"/>
        <v>#N/A</v>
      </c>
      <c r="P675" t="e">
        <f t="shared" si="76"/>
        <v>#N/A</v>
      </c>
    </row>
    <row r="676" spans="1:16" x14ac:dyDescent="0.25">
      <c r="A676">
        <v>846</v>
      </c>
      <c r="B676">
        <v>60</v>
      </c>
      <c r="C676" t="s">
        <v>45</v>
      </c>
      <c r="D676" s="3">
        <v>61376</v>
      </c>
      <c r="E676">
        <v>97</v>
      </c>
      <c r="F676">
        <v>8</v>
      </c>
      <c r="G676">
        <v>9</v>
      </c>
      <c r="H676" t="s">
        <v>14</v>
      </c>
      <c r="I676">
        <v>793.84</v>
      </c>
      <c r="J676" t="str">
        <f t="shared" si="70"/>
        <v>Medium</v>
      </c>
      <c r="K676" s="4" t="e">
        <f t="shared" si="71"/>
        <v>#N/A</v>
      </c>
      <c r="L676" t="e">
        <f t="shared" si="72"/>
        <v>#N/A</v>
      </c>
      <c r="M676" s="3">
        <f t="shared" si="73"/>
        <v>61376</v>
      </c>
      <c r="N676">
        <f t="shared" si="74"/>
        <v>97</v>
      </c>
      <c r="O676" s="3" t="e">
        <f t="shared" si="75"/>
        <v>#N/A</v>
      </c>
      <c r="P676" t="e">
        <f t="shared" si="76"/>
        <v>#N/A</v>
      </c>
    </row>
    <row r="677" spans="1:16" x14ac:dyDescent="0.25">
      <c r="A677">
        <v>885</v>
      </c>
      <c r="B677">
        <v>58</v>
      </c>
      <c r="C677" t="s">
        <v>45</v>
      </c>
      <c r="D677" s="3">
        <v>149723</v>
      </c>
      <c r="E677">
        <v>70</v>
      </c>
      <c r="F677">
        <v>9</v>
      </c>
      <c r="G677">
        <v>23</v>
      </c>
      <c r="H677" t="s">
        <v>14</v>
      </c>
      <c r="I677">
        <v>374.59</v>
      </c>
      <c r="J677" t="str">
        <f t="shared" si="70"/>
        <v>High</v>
      </c>
      <c r="K677" s="4" t="e">
        <f t="shared" si="71"/>
        <v>#N/A</v>
      </c>
      <c r="L677" t="e">
        <f t="shared" si="72"/>
        <v>#N/A</v>
      </c>
      <c r="M677" s="3" t="e">
        <f t="shared" si="73"/>
        <v>#N/A</v>
      </c>
      <c r="N677" t="e">
        <f t="shared" si="74"/>
        <v>#N/A</v>
      </c>
      <c r="O677" s="3">
        <f t="shared" si="75"/>
        <v>149723</v>
      </c>
      <c r="P677">
        <f t="shared" si="76"/>
        <v>70</v>
      </c>
    </row>
    <row r="678" spans="1:16" x14ac:dyDescent="0.25">
      <c r="A678">
        <v>917</v>
      </c>
      <c r="B678">
        <v>49</v>
      </c>
      <c r="C678" t="s">
        <v>45</v>
      </c>
      <c r="D678" s="3">
        <v>30523</v>
      </c>
      <c r="E678">
        <v>83</v>
      </c>
      <c r="F678">
        <v>4</v>
      </c>
      <c r="G678">
        <v>38</v>
      </c>
      <c r="H678" t="s">
        <v>14</v>
      </c>
      <c r="I678">
        <v>564.48</v>
      </c>
      <c r="J678" t="str">
        <f t="shared" si="70"/>
        <v>Low</v>
      </c>
      <c r="K678" s="4">
        <f t="shared" si="71"/>
        <v>30523</v>
      </c>
      <c r="L678">
        <f t="shared" si="72"/>
        <v>83</v>
      </c>
      <c r="M678" s="3" t="e">
        <f t="shared" si="73"/>
        <v>#N/A</v>
      </c>
      <c r="N678" t="e">
        <f t="shared" si="74"/>
        <v>#N/A</v>
      </c>
      <c r="O678" s="3" t="e">
        <f t="shared" si="75"/>
        <v>#N/A</v>
      </c>
      <c r="P678" t="e">
        <f t="shared" si="76"/>
        <v>#N/A</v>
      </c>
    </row>
    <row r="679" spans="1:16" x14ac:dyDescent="0.25">
      <c r="A679">
        <v>920</v>
      </c>
      <c r="B679">
        <v>60</v>
      </c>
      <c r="C679" t="s">
        <v>45</v>
      </c>
      <c r="D679" s="3">
        <v>44555</v>
      </c>
      <c r="E679">
        <v>84</v>
      </c>
      <c r="F679">
        <v>7</v>
      </c>
      <c r="G679">
        <v>28</v>
      </c>
      <c r="H679" t="s">
        <v>14</v>
      </c>
      <c r="I679">
        <v>678.42</v>
      </c>
      <c r="J679" t="str">
        <f t="shared" si="70"/>
        <v>Low</v>
      </c>
      <c r="K679" s="4">
        <f t="shared" si="71"/>
        <v>44555</v>
      </c>
      <c r="L679">
        <f t="shared" si="72"/>
        <v>84</v>
      </c>
      <c r="M679" s="3" t="e">
        <f t="shared" si="73"/>
        <v>#N/A</v>
      </c>
      <c r="N679" t="e">
        <f t="shared" si="74"/>
        <v>#N/A</v>
      </c>
      <c r="O679" s="3" t="e">
        <f t="shared" si="75"/>
        <v>#N/A</v>
      </c>
      <c r="P679" t="e">
        <f t="shared" si="76"/>
        <v>#N/A</v>
      </c>
    </row>
    <row r="680" spans="1:16" x14ac:dyDescent="0.25">
      <c r="A680">
        <v>944</v>
      </c>
      <c r="B680">
        <v>47</v>
      </c>
      <c r="C680" t="s">
        <v>45</v>
      </c>
      <c r="D680" s="3">
        <v>37014</v>
      </c>
      <c r="E680">
        <v>76</v>
      </c>
      <c r="F680">
        <v>5</v>
      </c>
      <c r="G680">
        <v>34</v>
      </c>
      <c r="H680" t="s">
        <v>14</v>
      </c>
      <c r="I680">
        <v>880.18</v>
      </c>
      <c r="J680" t="str">
        <f t="shared" si="70"/>
        <v>Low</v>
      </c>
      <c r="K680" s="4">
        <f t="shared" si="71"/>
        <v>37014</v>
      </c>
      <c r="L680">
        <f t="shared" si="72"/>
        <v>76</v>
      </c>
      <c r="M680" s="3" t="e">
        <f t="shared" si="73"/>
        <v>#N/A</v>
      </c>
      <c r="N680" t="e">
        <f t="shared" si="74"/>
        <v>#N/A</v>
      </c>
      <c r="O680" s="3" t="e">
        <f t="shared" si="75"/>
        <v>#N/A</v>
      </c>
      <c r="P680" t="e">
        <f t="shared" si="76"/>
        <v>#N/A</v>
      </c>
    </row>
    <row r="681" spans="1:16" x14ac:dyDescent="0.25">
      <c r="A681">
        <v>951</v>
      </c>
      <c r="B681">
        <v>41</v>
      </c>
      <c r="C681" t="s">
        <v>45</v>
      </c>
      <c r="D681" s="3">
        <v>134487</v>
      </c>
      <c r="E681">
        <v>7</v>
      </c>
      <c r="F681">
        <v>10</v>
      </c>
      <c r="G681">
        <v>50</v>
      </c>
      <c r="H681" t="s">
        <v>14</v>
      </c>
      <c r="I681">
        <v>556.1</v>
      </c>
      <c r="J681" t="str">
        <f t="shared" si="70"/>
        <v>High</v>
      </c>
      <c r="K681" s="4" t="e">
        <f t="shared" si="71"/>
        <v>#N/A</v>
      </c>
      <c r="L681" t="e">
        <f t="shared" si="72"/>
        <v>#N/A</v>
      </c>
      <c r="M681" s="3" t="e">
        <f t="shared" si="73"/>
        <v>#N/A</v>
      </c>
      <c r="N681" t="e">
        <f t="shared" si="74"/>
        <v>#N/A</v>
      </c>
      <c r="O681" s="3">
        <f t="shared" si="75"/>
        <v>134487</v>
      </c>
      <c r="P681">
        <f t="shared" si="76"/>
        <v>7</v>
      </c>
    </row>
    <row r="682" spans="1:16" x14ac:dyDescent="0.25">
      <c r="A682">
        <v>965</v>
      </c>
      <c r="B682">
        <v>49</v>
      </c>
      <c r="C682" t="s">
        <v>45</v>
      </c>
      <c r="D682" s="3">
        <v>94218</v>
      </c>
      <c r="E682">
        <v>4</v>
      </c>
      <c r="F682">
        <v>10</v>
      </c>
      <c r="G682">
        <v>5</v>
      </c>
      <c r="H682" t="s">
        <v>14</v>
      </c>
      <c r="I682">
        <v>287.36</v>
      </c>
      <c r="J682" t="str">
        <f t="shared" si="70"/>
        <v>Medium</v>
      </c>
      <c r="K682" s="4" t="e">
        <f t="shared" si="71"/>
        <v>#N/A</v>
      </c>
      <c r="L682" t="e">
        <f t="shared" si="72"/>
        <v>#N/A</v>
      </c>
      <c r="M682" s="3">
        <f t="shared" si="73"/>
        <v>94218</v>
      </c>
      <c r="N682">
        <f t="shared" si="74"/>
        <v>4</v>
      </c>
      <c r="O682" s="3" t="e">
        <f t="shared" si="75"/>
        <v>#N/A</v>
      </c>
      <c r="P682" t="e">
        <f t="shared" si="76"/>
        <v>#N/A</v>
      </c>
    </row>
    <row r="683" spans="1:16" x14ac:dyDescent="0.25">
      <c r="A683">
        <v>974</v>
      </c>
      <c r="B683">
        <v>48</v>
      </c>
      <c r="C683" t="s">
        <v>45</v>
      </c>
      <c r="D683" s="3">
        <v>75118</v>
      </c>
      <c r="E683">
        <v>84</v>
      </c>
      <c r="F683">
        <v>6</v>
      </c>
      <c r="G683">
        <v>41</v>
      </c>
      <c r="H683" t="s">
        <v>14</v>
      </c>
      <c r="I683">
        <v>711.37</v>
      </c>
      <c r="J683" t="str">
        <f t="shared" si="70"/>
        <v>Medium</v>
      </c>
      <c r="K683" s="4" t="e">
        <f t="shared" si="71"/>
        <v>#N/A</v>
      </c>
      <c r="L683" t="e">
        <f t="shared" si="72"/>
        <v>#N/A</v>
      </c>
      <c r="M683" s="3">
        <f t="shared" si="73"/>
        <v>75118</v>
      </c>
      <c r="N683">
        <f t="shared" si="74"/>
        <v>84</v>
      </c>
      <c r="O683" s="3" t="e">
        <f t="shared" si="75"/>
        <v>#N/A</v>
      </c>
      <c r="P683" t="e">
        <f t="shared" si="76"/>
        <v>#N/A</v>
      </c>
    </row>
    <row r="684" spans="1:16" x14ac:dyDescent="0.25">
      <c r="A684">
        <v>984</v>
      </c>
      <c r="B684">
        <v>51</v>
      </c>
      <c r="C684" t="s">
        <v>45</v>
      </c>
      <c r="D684" s="3">
        <v>91682</v>
      </c>
      <c r="E684">
        <v>27</v>
      </c>
      <c r="F684">
        <v>9</v>
      </c>
      <c r="G684">
        <v>49</v>
      </c>
      <c r="H684" t="s">
        <v>14</v>
      </c>
      <c r="I684">
        <v>990.87</v>
      </c>
      <c r="J684" t="str">
        <f t="shared" si="70"/>
        <v>Medium</v>
      </c>
      <c r="K684" s="4" t="e">
        <f t="shared" si="71"/>
        <v>#N/A</v>
      </c>
      <c r="L684" t="e">
        <f t="shared" si="72"/>
        <v>#N/A</v>
      </c>
      <c r="M684" s="3">
        <f t="shared" si="73"/>
        <v>91682</v>
      </c>
      <c r="N684">
        <f t="shared" si="74"/>
        <v>27</v>
      </c>
      <c r="O684" s="3" t="e">
        <f t="shared" si="75"/>
        <v>#N/A</v>
      </c>
      <c r="P684" t="e">
        <f t="shared" si="76"/>
        <v>#N/A</v>
      </c>
    </row>
    <row r="685" spans="1:16" x14ac:dyDescent="0.25">
      <c r="A685">
        <v>990</v>
      </c>
      <c r="B685">
        <v>31</v>
      </c>
      <c r="C685" t="s">
        <v>45</v>
      </c>
      <c r="D685" s="3">
        <v>45695</v>
      </c>
      <c r="E685">
        <v>36</v>
      </c>
      <c r="F685">
        <v>2</v>
      </c>
      <c r="G685">
        <v>31</v>
      </c>
      <c r="H685" t="s">
        <v>14</v>
      </c>
      <c r="I685">
        <v>864.67</v>
      </c>
      <c r="J685" t="str">
        <f t="shared" si="70"/>
        <v>Low</v>
      </c>
      <c r="K685" s="4">
        <f t="shared" si="71"/>
        <v>45695</v>
      </c>
      <c r="L685">
        <f t="shared" si="72"/>
        <v>36</v>
      </c>
      <c r="M685" s="3" t="e">
        <f t="shared" si="73"/>
        <v>#N/A</v>
      </c>
      <c r="N685" t="e">
        <f t="shared" si="74"/>
        <v>#N/A</v>
      </c>
      <c r="O685" s="3" t="e">
        <f t="shared" si="75"/>
        <v>#N/A</v>
      </c>
      <c r="P685" t="e">
        <f t="shared" si="76"/>
        <v>#N/A</v>
      </c>
    </row>
    <row r="686" spans="1:16" x14ac:dyDescent="0.25">
      <c r="A686">
        <v>13</v>
      </c>
      <c r="B686">
        <v>29</v>
      </c>
      <c r="C686" t="s">
        <v>18</v>
      </c>
      <c r="D686" s="3">
        <v>87461</v>
      </c>
      <c r="E686">
        <v>81</v>
      </c>
      <c r="F686">
        <v>3</v>
      </c>
      <c r="G686">
        <v>27</v>
      </c>
      <c r="H686" t="s">
        <v>13</v>
      </c>
      <c r="I686">
        <v>101.07</v>
      </c>
      <c r="J686" t="str">
        <f t="shared" si="70"/>
        <v>Medium</v>
      </c>
      <c r="K686" s="4" t="e">
        <f t="shared" si="71"/>
        <v>#N/A</v>
      </c>
      <c r="L686" t="e">
        <f t="shared" si="72"/>
        <v>#N/A</v>
      </c>
      <c r="M686" s="3">
        <f t="shared" si="73"/>
        <v>87461</v>
      </c>
      <c r="N686">
        <f t="shared" si="74"/>
        <v>81</v>
      </c>
      <c r="O686" s="3" t="e">
        <f t="shared" si="75"/>
        <v>#N/A</v>
      </c>
      <c r="P686" t="e">
        <f t="shared" si="76"/>
        <v>#N/A</v>
      </c>
    </row>
    <row r="687" spans="1:16" x14ac:dyDescent="0.25">
      <c r="A687">
        <v>21</v>
      </c>
      <c r="B687">
        <v>19</v>
      </c>
      <c r="C687" t="s">
        <v>18</v>
      </c>
      <c r="D687" s="3">
        <v>82519</v>
      </c>
      <c r="E687">
        <v>13</v>
      </c>
      <c r="F687">
        <v>4</v>
      </c>
      <c r="G687">
        <v>4</v>
      </c>
      <c r="H687" t="s">
        <v>13</v>
      </c>
      <c r="I687">
        <v>742.39</v>
      </c>
      <c r="J687" t="str">
        <f t="shared" si="70"/>
        <v>Medium</v>
      </c>
      <c r="K687" s="4" t="e">
        <f t="shared" si="71"/>
        <v>#N/A</v>
      </c>
      <c r="L687" t="e">
        <f t="shared" si="72"/>
        <v>#N/A</v>
      </c>
      <c r="M687" s="3">
        <f t="shared" si="73"/>
        <v>82519</v>
      </c>
      <c r="N687">
        <f t="shared" si="74"/>
        <v>13</v>
      </c>
      <c r="O687" s="3" t="e">
        <f t="shared" si="75"/>
        <v>#N/A</v>
      </c>
      <c r="P687" t="e">
        <f t="shared" si="76"/>
        <v>#N/A</v>
      </c>
    </row>
    <row r="688" spans="1:16" x14ac:dyDescent="0.25">
      <c r="A688">
        <v>29</v>
      </c>
      <c r="B688">
        <v>18</v>
      </c>
      <c r="C688" t="s">
        <v>18</v>
      </c>
      <c r="D688" s="3">
        <v>70721</v>
      </c>
      <c r="E688">
        <v>78</v>
      </c>
      <c r="F688">
        <v>7</v>
      </c>
      <c r="G688">
        <v>1</v>
      </c>
      <c r="H688" t="s">
        <v>13</v>
      </c>
      <c r="I688">
        <v>191.9</v>
      </c>
      <c r="J688" t="str">
        <f t="shared" si="70"/>
        <v>Medium</v>
      </c>
      <c r="K688" s="4" t="e">
        <f t="shared" si="71"/>
        <v>#N/A</v>
      </c>
      <c r="L688" t="e">
        <f t="shared" si="72"/>
        <v>#N/A</v>
      </c>
      <c r="M688" s="3">
        <f t="shared" si="73"/>
        <v>70721</v>
      </c>
      <c r="N688">
        <f t="shared" si="74"/>
        <v>78</v>
      </c>
      <c r="O688" s="3" t="e">
        <f t="shared" si="75"/>
        <v>#N/A</v>
      </c>
      <c r="P688" t="e">
        <f t="shared" si="76"/>
        <v>#N/A</v>
      </c>
    </row>
    <row r="689" spans="1:16" x14ac:dyDescent="0.25">
      <c r="A689">
        <v>54</v>
      </c>
      <c r="B689">
        <v>33</v>
      </c>
      <c r="C689" t="s">
        <v>18</v>
      </c>
      <c r="D689" s="3">
        <v>45136</v>
      </c>
      <c r="E689">
        <v>84</v>
      </c>
      <c r="F689">
        <v>9</v>
      </c>
      <c r="G689">
        <v>38</v>
      </c>
      <c r="H689" t="s">
        <v>13</v>
      </c>
      <c r="I689">
        <v>332.34</v>
      </c>
      <c r="J689" t="str">
        <f t="shared" si="70"/>
        <v>Low</v>
      </c>
      <c r="K689" s="4">
        <f t="shared" si="71"/>
        <v>45136</v>
      </c>
      <c r="L689">
        <f t="shared" si="72"/>
        <v>84</v>
      </c>
      <c r="M689" s="3" t="e">
        <f t="shared" si="73"/>
        <v>#N/A</v>
      </c>
      <c r="N689" t="e">
        <f t="shared" si="74"/>
        <v>#N/A</v>
      </c>
      <c r="O689" s="3" t="e">
        <f t="shared" si="75"/>
        <v>#N/A</v>
      </c>
      <c r="P689" t="e">
        <f t="shared" si="76"/>
        <v>#N/A</v>
      </c>
    </row>
    <row r="690" spans="1:16" x14ac:dyDescent="0.25">
      <c r="A690">
        <v>74</v>
      </c>
      <c r="B690">
        <v>38</v>
      </c>
      <c r="C690" t="s">
        <v>18</v>
      </c>
      <c r="D690" s="3">
        <v>102944</v>
      </c>
      <c r="E690">
        <v>63</v>
      </c>
      <c r="F690">
        <v>8</v>
      </c>
      <c r="G690">
        <v>9</v>
      </c>
      <c r="H690" t="s">
        <v>13</v>
      </c>
      <c r="I690">
        <v>92.69</v>
      </c>
      <c r="J690" t="str">
        <f t="shared" si="70"/>
        <v>High</v>
      </c>
      <c r="K690" s="4" t="e">
        <f t="shared" si="71"/>
        <v>#N/A</v>
      </c>
      <c r="L690" t="e">
        <f t="shared" si="72"/>
        <v>#N/A</v>
      </c>
      <c r="M690" s="3" t="e">
        <f t="shared" si="73"/>
        <v>#N/A</v>
      </c>
      <c r="N690" t="e">
        <f t="shared" si="74"/>
        <v>#N/A</v>
      </c>
      <c r="O690" s="3">
        <f t="shared" si="75"/>
        <v>102944</v>
      </c>
      <c r="P690">
        <f t="shared" si="76"/>
        <v>63</v>
      </c>
    </row>
    <row r="691" spans="1:16" x14ac:dyDescent="0.25">
      <c r="A691">
        <v>76</v>
      </c>
      <c r="B691">
        <v>60</v>
      </c>
      <c r="C691" t="s">
        <v>18</v>
      </c>
      <c r="D691" s="3">
        <v>131101</v>
      </c>
      <c r="E691">
        <v>68</v>
      </c>
      <c r="F691">
        <v>8</v>
      </c>
      <c r="G691">
        <v>28</v>
      </c>
      <c r="H691" t="s">
        <v>13</v>
      </c>
      <c r="I691">
        <v>522.95000000000005</v>
      </c>
      <c r="J691" t="str">
        <f t="shared" si="70"/>
        <v>High</v>
      </c>
      <c r="K691" s="4" t="e">
        <f t="shared" si="71"/>
        <v>#N/A</v>
      </c>
      <c r="L691" t="e">
        <f t="shared" si="72"/>
        <v>#N/A</v>
      </c>
      <c r="M691" s="3" t="e">
        <f t="shared" si="73"/>
        <v>#N/A</v>
      </c>
      <c r="N691" t="e">
        <f t="shared" si="74"/>
        <v>#N/A</v>
      </c>
      <c r="O691" s="3">
        <f t="shared" si="75"/>
        <v>131101</v>
      </c>
      <c r="P691">
        <f t="shared" si="76"/>
        <v>68</v>
      </c>
    </row>
    <row r="692" spans="1:16" x14ac:dyDescent="0.25">
      <c r="A692">
        <v>110</v>
      </c>
      <c r="B692">
        <v>56</v>
      </c>
      <c r="C692" t="s">
        <v>18</v>
      </c>
      <c r="D692" s="3">
        <v>40676</v>
      </c>
      <c r="E692">
        <v>86</v>
      </c>
      <c r="F692">
        <v>7</v>
      </c>
      <c r="G692">
        <v>38</v>
      </c>
      <c r="H692" t="s">
        <v>13</v>
      </c>
      <c r="I692">
        <v>627.65</v>
      </c>
      <c r="J692" t="str">
        <f t="shared" si="70"/>
        <v>Low</v>
      </c>
      <c r="K692" s="4">
        <f t="shared" si="71"/>
        <v>40676</v>
      </c>
      <c r="L692">
        <f t="shared" si="72"/>
        <v>86</v>
      </c>
      <c r="M692" s="3" t="e">
        <f t="shared" si="73"/>
        <v>#N/A</v>
      </c>
      <c r="N692" t="e">
        <f t="shared" si="74"/>
        <v>#N/A</v>
      </c>
      <c r="O692" s="3" t="e">
        <f t="shared" si="75"/>
        <v>#N/A</v>
      </c>
      <c r="P692" t="e">
        <f t="shared" si="76"/>
        <v>#N/A</v>
      </c>
    </row>
    <row r="693" spans="1:16" x14ac:dyDescent="0.25">
      <c r="A693">
        <v>132</v>
      </c>
      <c r="B693">
        <v>67</v>
      </c>
      <c r="C693" t="s">
        <v>18</v>
      </c>
      <c r="D693" s="3">
        <v>116124</v>
      </c>
      <c r="E693">
        <v>78</v>
      </c>
      <c r="F693">
        <v>10</v>
      </c>
      <c r="G693">
        <v>28</v>
      </c>
      <c r="H693" t="s">
        <v>13</v>
      </c>
      <c r="I693">
        <v>11.29</v>
      </c>
      <c r="J693" t="str">
        <f t="shared" si="70"/>
        <v>High</v>
      </c>
      <c r="K693" s="4" t="e">
        <f t="shared" si="71"/>
        <v>#N/A</v>
      </c>
      <c r="L693" t="e">
        <f t="shared" si="72"/>
        <v>#N/A</v>
      </c>
      <c r="M693" s="3" t="e">
        <f t="shared" si="73"/>
        <v>#N/A</v>
      </c>
      <c r="N693" t="e">
        <f t="shared" si="74"/>
        <v>#N/A</v>
      </c>
      <c r="O693" s="3">
        <f t="shared" si="75"/>
        <v>116124</v>
      </c>
      <c r="P693">
        <f t="shared" si="76"/>
        <v>78</v>
      </c>
    </row>
    <row r="694" spans="1:16" x14ac:dyDescent="0.25">
      <c r="A694">
        <v>144</v>
      </c>
      <c r="B694">
        <v>41</v>
      </c>
      <c r="C694" t="s">
        <v>18</v>
      </c>
      <c r="D694" s="3">
        <v>82613</v>
      </c>
      <c r="E694">
        <v>49</v>
      </c>
      <c r="F694">
        <v>3</v>
      </c>
      <c r="G694">
        <v>10</v>
      </c>
      <c r="H694" t="s">
        <v>13</v>
      </c>
      <c r="I694">
        <v>421.24</v>
      </c>
      <c r="J694" t="str">
        <f t="shared" si="70"/>
        <v>Medium</v>
      </c>
      <c r="K694" s="4" t="e">
        <f t="shared" si="71"/>
        <v>#N/A</v>
      </c>
      <c r="L694" t="e">
        <f t="shared" si="72"/>
        <v>#N/A</v>
      </c>
      <c r="M694" s="3">
        <f t="shared" si="73"/>
        <v>82613</v>
      </c>
      <c r="N694">
        <f t="shared" si="74"/>
        <v>49</v>
      </c>
      <c r="O694" s="3" t="e">
        <f t="shared" si="75"/>
        <v>#N/A</v>
      </c>
      <c r="P694" t="e">
        <f t="shared" si="76"/>
        <v>#N/A</v>
      </c>
    </row>
    <row r="695" spans="1:16" x14ac:dyDescent="0.25">
      <c r="A695">
        <v>148</v>
      </c>
      <c r="B695">
        <v>47</v>
      </c>
      <c r="C695" t="s">
        <v>18</v>
      </c>
      <c r="D695" s="3">
        <v>104517</v>
      </c>
      <c r="E695">
        <v>91</v>
      </c>
      <c r="F695">
        <v>2</v>
      </c>
      <c r="G695">
        <v>6</v>
      </c>
      <c r="H695" t="s">
        <v>13</v>
      </c>
      <c r="I695">
        <v>979.41</v>
      </c>
      <c r="J695" t="str">
        <f t="shared" si="70"/>
        <v>High</v>
      </c>
      <c r="K695" s="4" t="e">
        <f t="shared" si="71"/>
        <v>#N/A</v>
      </c>
      <c r="L695" t="e">
        <f t="shared" si="72"/>
        <v>#N/A</v>
      </c>
      <c r="M695" s="3" t="e">
        <f t="shared" si="73"/>
        <v>#N/A</v>
      </c>
      <c r="N695" t="e">
        <f t="shared" si="74"/>
        <v>#N/A</v>
      </c>
      <c r="O695" s="3">
        <f t="shared" si="75"/>
        <v>104517</v>
      </c>
      <c r="P695">
        <f t="shared" si="76"/>
        <v>91</v>
      </c>
    </row>
    <row r="696" spans="1:16" x14ac:dyDescent="0.25">
      <c r="A696">
        <v>152</v>
      </c>
      <c r="B696">
        <v>45</v>
      </c>
      <c r="C696" t="s">
        <v>18</v>
      </c>
      <c r="D696" s="3">
        <v>79721</v>
      </c>
      <c r="E696">
        <v>20</v>
      </c>
      <c r="F696">
        <v>1</v>
      </c>
      <c r="G696">
        <v>1</v>
      </c>
      <c r="H696" t="s">
        <v>13</v>
      </c>
      <c r="I696">
        <v>215.41</v>
      </c>
      <c r="J696" t="str">
        <f t="shared" si="70"/>
        <v>Medium</v>
      </c>
      <c r="K696" s="4" t="e">
        <f t="shared" si="71"/>
        <v>#N/A</v>
      </c>
      <c r="L696" t="e">
        <f t="shared" si="72"/>
        <v>#N/A</v>
      </c>
      <c r="M696" s="3">
        <f t="shared" si="73"/>
        <v>79721</v>
      </c>
      <c r="N696">
        <f t="shared" si="74"/>
        <v>20</v>
      </c>
      <c r="O696" s="3" t="e">
        <f t="shared" si="75"/>
        <v>#N/A</v>
      </c>
      <c r="P696" t="e">
        <f t="shared" si="76"/>
        <v>#N/A</v>
      </c>
    </row>
    <row r="697" spans="1:16" x14ac:dyDescent="0.25">
      <c r="A697">
        <v>156</v>
      </c>
      <c r="B697">
        <v>24</v>
      </c>
      <c r="C697" t="s">
        <v>18</v>
      </c>
      <c r="D697" s="3">
        <v>103766</v>
      </c>
      <c r="E697">
        <v>77</v>
      </c>
      <c r="F697">
        <v>4</v>
      </c>
      <c r="G697">
        <v>25</v>
      </c>
      <c r="H697" t="s">
        <v>13</v>
      </c>
      <c r="I697">
        <v>663.21</v>
      </c>
      <c r="J697" t="str">
        <f t="shared" si="70"/>
        <v>High</v>
      </c>
      <c r="K697" s="4" t="e">
        <f t="shared" si="71"/>
        <v>#N/A</v>
      </c>
      <c r="L697" t="e">
        <f t="shared" si="72"/>
        <v>#N/A</v>
      </c>
      <c r="M697" s="3" t="e">
        <f t="shared" si="73"/>
        <v>#N/A</v>
      </c>
      <c r="N697" t="e">
        <f t="shared" si="74"/>
        <v>#N/A</v>
      </c>
      <c r="O697" s="3">
        <f t="shared" si="75"/>
        <v>103766</v>
      </c>
      <c r="P697">
        <f t="shared" si="76"/>
        <v>77</v>
      </c>
    </row>
    <row r="698" spans="1:16" x14ac:dyDescent="0.25">
      <c r="A698">
        <v>173</v>
      </c>
      <c r="B698">
        <v>56</v>
      </c>
      <c r="C698" t="s">
        <v>18</v>
      </c>
      <c r="D698" s="3">
        <v>111754</v>
      </c>
      <c r="E698">
        <v>96</v>
      </c>
      <c r="F698">
        <v>8</v>
      </c>
      <c r="G698">
        <v>38</v>
      </c>
      <c r="H698" t="s">
        <v>13</v>
      </c>
      <c r="I698">
        <v>631.05999999999995</v>
      </c>
      <c r="J698" t="str">
        <f t="shared" si="70"/>
        <v>High</v>
      </c>
      <c r="K698" s="4" t="e">
        <f t="shared" si="71"/>
        <v>#N/A</v>
      </c>
      <c r="L698" t="e">
        <f t="shared" si="72"/>
        <v>#N/A</v>
      </c>
      <c r="M698" s="3" t="e">
        <f t="shared" si="73"/>
        <v>#N/A</v>
      </c>
      <c r="N698" t="e">
        <f t="shared" si="74"/>
        <v>#N/A</v>
      </c>
      <c r="O698" s="3">
        <f t="shared" si="75"/>
        <v>111754</v>
      </c>
      <c r="P698">
        <f t="shared" si="76"/>
        <v>96</v>
      </c>
    </row>
    <row r="699" spans="1:16" x14ac:dyDescent="0.25">
      <c r="A699">
        <v>183</v>
      </c>
      <c r="B699">
        <v>43</v>
      </c>
      <c r="C699" t="s">
        <v>18</v>
      </c>
      <c r="D699" s="3">
        <v>32512</v>
      </c>
      <c r="E699">
        <v>95</v>
      </c>
      <c r="F699">
        <v>4</v>
      </c>
      <c r="G699">
        <v>49</v>
      </c>
      <c r="H699" t="s">
        <v>13</v>
      </c>
      <c r="I699">
        <v>223.39</v>
      </c>
      <c r="J699" t="str">
        <f t="shared" si="70"/>
        <v>Low</v>
      </c>
      <c r="K699" s="4">
        <f t="shared" si="71"/>
        <v>32512</v>
      </c>
      <c r="L699">
        <f t="shared" si="72"/>
        <v>95</v>
      </c>
      <c r="M699" s="3" t="e">
        <f t="shared" si="73"/>
        <v>#N/A</v>
      </c>
      <c r="N699" t="e">
        <f t="shared" si="74"/>
        <v>#N/A</v>
      </c>
      <c r="O699" s="3" t="e">
        <f t="shared" si="75"/>
        <v>#N/A</v>
      </c>
      <c r="P699" t="e">
        <f t="shared" si="76"/>
        <v>#N/A</v>
      </c>
    </row>
    <row r="700" spans="1:16" x14ac:dyDescent="0.25">
      <c r="A700">
        <v>185</v>
      </c>
      <c r="B700">
        <v>41</v>
      </c>
      <c r="C700" t="s">
        <v>18</v>
      </c>
      <c r="D700" s="3">
        <v>104337</v>
      </c>
      <c r="E700">
        <v>91</v>
      </c>
      <c r="F700">
        <v>6</v>
      </c>
      <c r="G700">
        <v>27</v>
      </c>
      <c r="H700" t="s">
        <v>13</v>
      </c>
      <c r="I700">
        <v>401.63</v>
      </c>
      <c r="J700" t="str">
        <f t="shared" si="70"/>
        <v>High</v>
      </c>
      <c r="K700" s="4" t="e">
        <f t="shared" si="71"/>
        <v>#N/A</v>
      </c>
      <c r="L700" t="e">
        <f t="shared" si="72"/>
        <v>#N/A</v>
      </c>
      <c r="M700" s="3" t="e">
        <f t="shared" si="73"/>
        <v>#N/A</v>
      </c>
      <c r="N700" t="e">
        <f t="shared" si="74"/>
        <v>#N/A</v>
      </c>
      <c r="O700" s="3">
        <f t="shared" si="75"/>
        <v>104337</v>
      </c>
      <c r="P700">
        <f t="shared" si="76"/>
        <v>91</v>
      </c>
    </row>
    <row r="701" spans="1:16" x14ac:dyDescent="0.25">
      <c r="A701">
        <v>197</v>
      </c>
      <c r="B701">
        <v>34</v>
      </c>
      <c r="C701" t="s">
        <v>18</v>
      </c>
      <c r="D701" s="3">
        <v>56125</v>
      </c>
      <c r="E701">
        <v>66</v>
      </c>
      <c r="F701">
        <v>10</v>
      </c>
      <c r="G701">
        <v>26</v>
      </c>
      <c r="H701" t="s">
        <v>13</v>
      </c>
      <c r="I701">
        <v>610.66</v>
      </c>
      <c r="J701" t="str">
        <f t="shared" si="70"/>
        <v>Medium</v>
      </c>
      <c r="K701" s="4" t="e">
        <f t="shared" si="71"/>
        <v>#N/A</v>
      </c>
      <c r="L701" t="e">
        <f t="shared" si="72"/>
        <v>#N/A</v>
      </c>
      <c r="M701" s="3">
        <f t="shared" si="73"/>
        <v>56125</v>
      </c>
      <c r="N701">
        <f t="shared" si="74"/>
        <v>66</v>
      </c>
      <c r="O701" s="3" t="e">
        <f t="shared" si="75"/>
        <v>#N/A</v>
      </c>
      <c r="P701" t="e">
        <f t="shared" si="76"/>
        <v>#N/A</v>
      </c>
    </row>
    <row r="702" spans="1:16" x14ac:dyDescent="0.25">
      <c r="A702">
        <v>209</v>
      </c>
      <c r="B702">
        <v>60</v>
      </c>
      <c r="C702" t="s">
        <v>18</v>
      </c>
      <c r="D702" s="3">
        <v>124416</v>
      </c>
      <c r="E702">
        <v>24</v>
      </c>
      <c r="F702">
        <v>5</v>
      </c>
      <c r="G702">
        <v>39</v>
      </c>
      <c r="H702" t="s">
        <v>13</v>
      </c>
      <c r="I702">
        <v>544.04</v>
      </c>
      <c r="J702" t="str">
        <f t="shared" si="70"/>
        <v>High</v>
      </c>
      <c r="K702" s="4" t="e">
        <f t="shared" si="71"/>
        <v>#N/A</v>
      </c>
      <c r="L702" t="e">
        <f t="shared" si="72"/>
        <v>#N/A</v>
      </c>
      <c r="M702" s="3" t="e">
        <f t="shared" si="73"/>
        <v>#N/A</v>
      </c>
      <c r="N702" t="e">
        <f t="shared" si="74"/>
        <v>#N/A</v>
      </c>
      <c r="O702" s="3">
        <f t="shared" si="75"/>
        <v>124416</v>
      </c>
      <c r="P702">
        <f t="shared" si="76"/>
        <v>24</v>
      </c>
    </row>
    <row r="703" spans="1:16" x14ac:dyDescent="0.25">
      <c r="A703">
        <v>226</v>
      </c>
      <c r="B703">
        <v>19</v>
      </c>
      <c r="C703" t="s">
        <v>18</v>
      </c>
      <c r="D703" s="3">
        <v>51355</v>
      </c>
      <c r="E703">
        <v>48</v>
      </c>
      <c r="F703">
        <v>8</v>
      </c>
      <c r="G703">
        <v>28</v>
      </c>
      <c r="H703" t="s">
        <v>13</v>
      </c>
      <c r="I703">
        <v>278.20999999999998</v>
      </c>
      <c r="J703" t="str">
        <f t="shared" si="70"/>
        <v>Medium</v>
      </c>
      <c r="K703" s="4" t="e">
        <f t="shared" si="71"/>
        <v>#N/A</v>
      </c>
      <c r="L703" t="e">
        <f t="shared" si="72"/>
        <v>#N/A</v>
      </c>
      <c r="M703" s="3">
        <f t="shared" si="73"/>
        <v>51355</v>
      </c>
      <c r="N703">
        <f t="shared" si="74"/>
        <v>48</v>
      </c>
      <c r="O703" s="3" t="e">
        <f t="shared" si="75"/>
        <v>#N/A</v>
      </c>
      <c r="P703" t="e">
        <f t="shared" si="76"/>
        <v>#N/A</v>
      </c>
    </row>
    <row r="704" spans="1:16" x14ac:dyDescent="0.25">
      <c r="A704">
        <v>244</v>
      </c>
      <c r="B704">
        <v>47</v>
      </c>
      <c r="C704" t="s">
        <v>18</v>
      </c>
      <c r="D704" s="3">
        <v>108356</v>
      </c>
      <c r="E704">
        <v>84</v>
      </c>
      <c r="F704">
        <v>6</v>
      </c>
      <c r="G704">
        <v>19</v>
      </c>
      <c r="H704" t="s">
        <v>13</v>
      </c>
      <c r="I704">
        <v>911</v>
      </c>
      <c r="J704" t="str">
        <f t="shared" si="70"/>
        <v>High</v>
      </c>
      <c r="K704" s="4" t="e">
        <f t="shared" si="71"/>
        <v>#N/A</v>
      </c>
      <c r="L704" t="e">
        <f t="shared" si="72"/>
        <v>#N/A</v>
      </c>
      <c r="M704" s="3" t="e">
        <f t="shared" si="73"/>
        <v>#N/A</v>
      </c>
      <c r="N704" t="e">
        <f t="shared" si="74"/>
        <v>#N/A</v>
      </c>
      <c r="O704" s="3">
        <f t="shared" si="75"/>
        <v>108356</v>
      </c>
      <c r="P704">
        <f t="shared" si="76"/>
        <v>84</v>
      </c>
    </row>
    <row r="705" spans="1:16" x14ac:dyDescent="0.25">
      <c r="A705">
        <v>267</v>
      </c>
      <c r="B705">
        <v>57</v>
      </c>
      <c r="C705" t="s">
        <v>18</v>
      </c>
      <c r="D705" s="3">
        <v>114972</v>
      </c>
      <c r="E705">
        <v>42</v>
      </c>
      <c r="F705">
        <v>9</v>
      </c>
      <c r="G705">
        <v>12</v>
      </c>
      <c r="H705" t="s">
        <v>13</v>
      </c>
      <c r="I705">
        <v>999.74</v>
      </c>
      <c r="J705" t="str">
        <f t="shared" si="70"/>
        <v>High</v>
      </c>
      <c r="K705" s="4" t="e">
        <f t="shared" si="71"/>
        <v>#N/A</v>
      </c>
      <c r="L705" t="e">
        <f t="shared" si="72"/>
        <v>#N/A</v>
      </c>
      <c r="M705" s="3" t="e">
        <f t="shared" si="73"/>
        <v>#N/A</v>
      </c>
      <c r="N705" t="e">
        <f t="shared" si="74"/>
        <v>#N/A</v>
      </c>
      <c r="O705" s="3">
        <f t="shared" si="75"/>
        <v>114972</v>
      </c>
      <c r="P705">
        <f t="shared" si="76"/>
        <v>42</v>
      </c>
    </row>
    <row r="706" spans="1:16" x14ac:dyDescent="0.25">
      <c r="A706">
        <v>348</v>
      </c>
      <c r="B706">
        <v>39</v>
      </c>
      <c r="C706" t="s">
        <v>18</v>
      </c>
      <c r="D706" s="3">
        <v>136141</v>
      </c>
      <c r="E706">
        <v>58</v>
      </c>
      <c r="F706">
        <v>6</v>
      </c>
      <c r="G706">
        <v>30</v>
      </c>
      <c r="H706" t="s">
        <v>13</v>
      </c>
      <c r="I706">
        <v>211.56</v>
      </c>
      <c r="J706" t="str">
        <f t="shared" ref="J706:J769" si="77">IF(D706&lt;50000,"Low",IF(D706&lt;100000,"Medium","High"))</f>
        <v>High</v>
      </c>
      <c r="K706" s="4" t="e">
        <f t="shared" ref="K706:K769" si="78">IF($J706="Low",$D706,NA())</f>
        <v>#N/A</v>
      </c>
      <c r="L706" t="e">
        <f t="shared" ref="L706:L769" si="79">IF($J706="Low",$E706,NA())</f>
        <v>#N/A</v>
      </c>
      <c r="M706" s="3" t="e">
        <f t="shared" ref="M706:M769" si="80">IF($J706="Medium",$D706,NA())</f>
        <v>#N/A</v>
      </c>
      <c r="N706" t="e">
        <f t="shared" ref="N706:N769" si="81">IF($J706="Medium",$E706,NA())</f>
        <v>#N/A</v>
      </c>
      <c r="O706" s="3">
        <f t="shared" ref="O706:O769" si="82">IF($J706="High",$D706,NA())</f>
        <v>136141</v>
      </c>
      <c r="P706">
        <f t="shared" ref="P706:P769" si="83">IF($J706="High",$E706,NA())</f>
        <v>58</v>
      </c>
    </row>
    <row r="707" spans="1:16" x14ac:dyDescent="0.25">
      <c r="A707">
        <v>368</v>
      </c>
      <c r="B707">
        <v>53</v>
      </c>
      <c r="C707" t="s">
        <v>18</v>
      </c>
      <c r="D707" s="3">
        <v>130474</v>
      </c>
      <c r="E707">
        <v>74</v>
      </c>
      <c r="F707">
        <v>10</v>
      </c>
      <c r="G707">
        <v>39</v>
      </c>
      <c r="H707" t="s">
        <v>13</v>
      </c>
      <c r="I707">
        <v>217.92</v>
      </c>
      <c r="J707" t="str">
        <f t="shared" si="77"/>
        <v>High</v>
      </c>
      <c r="K707" s="4" t="e">
        <f t="shared" si="78"/>
        <v>#N/A</v>
      </c>
      <c r="L707" t="e">
        <f t="shared" si="79"/>
        <v>#N/A</v>
      </c>
      <c r="M707" s="3" t="e">
        <f t="shared" si="80"/>
        <v>#N/A</v>
      </c>
      <c r="N707" t="e">
        <f t="shared" si="81"/>
        <v>#N/A</v>
      </c>
      <c r="O707" s="3">
        <f t="shared" si="82"/>
        <v>130474</v>
      </c>
      <c r="P707">
        <f t="shared" si="83"/>
        <v>74</v>
      </c>
    </row>
    <row r="708" spans="1:16" x14ac:dyDescent="0.25">
      <c r="A708">
        <v>378</v>
      </c>
      <c r="B708">
        <v>45</v>
      </c>
      <c r="C708" t="s">
        <v>18</v>
      </c>
      <c r="D708" s="3">
        <v>110174</v>
      </c>
      <c r="E708">
        <v>87</v>
      </c>
      <c r="F708">
        <v>5</v>
      </c>
      <c r="G708">
        <v>32</v>
      </c>
      <c r="H708" t="s">
        <v>13</v>
      </c>
      <c r="I708">
        <v>388.15</v>
      </c>
      <c r="J708" t="str">
        <f t="shared" si="77"/>
        <v>High</v>
      </c>
      <c r="K708" s="4" t="e">
        <f t="shared" si="78"/>
        <v>#N/A</v>
      </c>
      <c r="L708" t="e">
        <f t="shared" si="79"/>
        <v>#N/A</v>
      </c>
      <c r="M708" s="3" t="e">
        <f t="shared" si="80"/>
        <v>#N/A</v>
      </c>
      <c r="N708" t="e">
        <f t="shared" si="81"/>
        <v>#N/A</v>
      </c>
      <c r="O708" s="3">
        <f t="shared" si="82"/>
        <v>110174</v>
      </c>
      <c r="P708">
        <f t="shared" si="83"/>
        <v>87</v>
      </c>
    </row>
    <row r="709" spans="1:16" x14ac:dyDescent="0.25">
      <c r="A709">
        <v>395</v>
      </c>
      <c r="B709">
        <v>69</v>
      </c>
      <c r="C709" t="s">
        <v>18</v>
      </c>
      <c r="D709" s="3">
        <v>119075</v>
      </c>
      <c r="E709">
        <v>40</v>
      </c>
      <c r="F709">
        <v>8</v>
      </c>
      <c r="G709">
        <v>44</v>
      </c>
      <c r="H709" t="s">
        <v>13</v>
      </c>
      <c r="I709">
        <v>866.72</v>
      </c>
      <c r="J709" t="str">
        <f t="shared" si="77"/>
        <v>High</v>
      </c>
      <c r="K709" s="4" t="e">
        <f t="shared" si="78"/>
        <v>#N/A</v>
      </c>
      <c r="L709" t="e">
        <f t="shared" si="79"/>
        <v>#N/A</v>
      </c>
      <c r="M709" s="3" t="e">
        <f t="shared" si="80"/>
        <v>#N/A</v>
      </c>
      <c r="N709" t="e">
        <f t="shared" si="81"/>
        <v>#N/A</v>
      </c>
      <c r="O709" s="3">
        <f t="shared" si="82"/>
        <v>119075</v>
      </c>
      <c r="P709">
        <f t="shared" si="83"/>
        <v>40</v>
      </c>
    </row>
    <row r="710" spans="1:16" x14ac:dyDescent="0.25">
      <c r="A710">
        <v>409</v>
      </c>
      <c r="B710">
        <v>63</v>
      </c>
      <c r="C710" t="s">
        <v>18</v>
      </c>
      <c r="D710" s="3">
        <v>70967</v>
      </c>
      <c r="E710">
        <v>59</v>
      </c>
      <c r="F710">
        <v>6</v>
      </c>
      <c r="G710">
        <v>10</v>
      </c>
      <c r="H710" t="s">
        <v>13</v>
      </c>
      <c r="I710">
        <v>954.05</v>
      </c>
      <c r="J710" t="str">
        <f t="shared" si="77"/>
        <v>Medium</v>
      </c>
      <c r="K710" s="4" t="e">
        <f t="shared" si="78"/>
        <v>#N/A</v>
      </c>
      <c r="L710" t="e">
        <f t="shared" si="79"/>
        <v>#N/A</v>
      </c>
      <c r="M710" s="3">
        <f t="shared" si="80"/>
        <v>70967</v>
      </c>
      <c r="N710">
        <f t="shared" si="81"/>
        <v>59</v>
      </c>
      <c r="O710" s="3" t="e">
        <f t="shared" si="82"/>
        <v>#N/A</v>
      </c>
      <c r="P710" t="e">
        <f t="shared" si="83"/>
        <v>#N/A</v>
      </c>
    </row>
    <row r="711" spans="1:16" x14ac:dyDescent="0.25">
      <c r="A711">
        <v>410</v>
      </c>
      <c r="B711">
        <v>20</v>
      </c>
      <c r="C711" t="s">
        <v>18</v>
      </c>
      <c r="D711" s="3">
        <v>98213</v>
      </c>
      <c r="E711">
        <v>12</v>
      </c>
      <c r="F711">
        <v>5</v>
      </c>
      <c r="G711">
        <v>37</v>
      </c>
      <c r="H711" t="s">
        <v>13</v>
      </c>
      <c r="I711">
        <v>902.24</v>
      </c>
      <c r="J711" t="str">
        <f t="shared" si="77"/>
        <v>Medium</v>
      </c>
      <c r="K711" s="4" t="e">
        <f t="shared" si="78"/>
        <v>#N/A</v>
      </c>
      <c r="L711" t="e">
        <f t="shared" si="79"/>
        <v>#N/A</v>
      </c>
      <c r="M711" s="3">
        <f t="shared" si="80"/>
        <v>98213</v>
      </c>
      <c r="N711">
        <f t="shared" si="81"/>
        <v>12</v>
      </c>
      <c r="O711" s="3" t="e">
        <f t="shared" si="82"/>
        <v>#N/A</v>
      </c>
      <c r="P711" t="e">
        <f t="shared" si="83"/>
        <v>#N/A</v>
      </c>
    </row>
    <row r="712" spans="1:16" x14ac:dyDescent="0.25">
      <c r="A712">
        <v>413</v>
      </c>
      <c r="B712">
        <v>19</v>
      </c>
      <c r="C712" t="s">
        <v>18</v>
      </c>
      <c r="D712" s="3">
        <v>105731</v>
      </c>
      <c r="E712">
        <v>9</v>
      </c>
      <c r="F712">
        <v>7</v>
      </c>
      <c r="G712">
        <v>10</v>
      </c>
      <c r="H712" t="s">
        <v>13</v>
      </c>
      <c r="I712">
        <v>421.08</v>
      </c>
      <c r="J712" t="str">
        <f t="shared" si="77"/>
        <v>High</v>
      </c>
      <c r="K712" s="4" t="e">
        <f t="shared" si="78"/>
        <v>#N/A</v>
      </c>
      <c r="L712" t="e">
        <f t="shared" si="79"/>
        <v>#N/A</v>
      </c>
      <c r="M712" s="3" t="e">
        <f t="shared" si="80"/>
        <v>#N/A</v>
      </c>
      <c r="N712" t="e">
        <f t="shared" si="81"/>
        <v>#N/A</v>
      </c>
      <c r="O712" s="3">
        <f t="shared" si="82"/>
        <v>105731</v>
      </c>
      <c r="P712">
        <f t="shared" si="83"/>
        <v>9</v>
      </c>
    </row>
    <row r="713" spans="1:16" x14ac:dyDescent="0.25">
      <c r="A713">
        <v>435</v>
      </c>
      <c r="B713">
        <v>32</v>
      </c>
      <c r="C713" t="s">
        <v>18</v>
      </c>
      <c r="D713" s="3">
        <v>69782</v>
      </c>
      <c r="E713">
        <v>76</v>
      </c>
      <c r="F713">
        <v>1</v>
      </c>
      <c r="G713">
        <v>9</v>
      </c>
      <c r="H713" t="s">
        <v>13</v>
      </c>
      <c r="I713">
        <v>803.28</v>
      </c>
      <c r="J713" t="str">
        <f t="shared" si="77"/>
        <v>Medium</v>
      </c>
      <c r="K713" s="4" t="e">
        <f t="shared" si="78"/>
        <v>#N/A</v>
      </c>
      <c r="L713" t="e">
        <f t="shared" si="79"/>
        <v>#N/A</v>
      </c>
      <c r="M713" s="3">
        <f t="shared" si="80"/>
        <v>69782</v>
      </c>
      <c r="N713">
        <f t="shared" si="81"/>
        <v>76</v>
      </c>
      <c r="O713" s="3" t="e">
        <f t="shared" si="82"/>
        <v>#N/A</v>
      </c>
      <c r="P713" t="e">
        <f t="shared" si="83"/>
        <v>#N/A</v>
      </c>
    </row>
    <row r="714" spans="1:16" x14ac:dyDescent="0.25">
      <c r="A714">
        <v>473</v>
      </c>
      <c r="B714">
        <v>53</v>
      </c>
      <c r="C714" t="s">
        <v>18</v>
      </c>
      <c r="D714" s="3">
        <v>104435</v>
      </c>
      <c r="E714">
        <v>42</v>
      </c>
      <c r="F714">
        <v>4</v>
      </c>
      <c r="G714">
        <v>34</v>
      </c>
      <c r="H714" t="s">
        <v>13</v>
      </c>
      <c r="I714">
        <v>795.81</v>
      </c>
      <c r="J714" t="str">
        <f t="shared" si="77"/>
        <v>High</v>
      </c>
      <c r="K714" s="4" t="e">
        <f t="shared" si="78"/>
        <v>#N/A</v>
      </c>
      <c r="L714" t="e">
        <f t="shared" si="79"/>
        <v>#N/A</v>
      </c>
      <c r="M714" s="3" t="e">
        <f t="shared" si="80"/>
        <v>#N/A</v>
      </c>
      <c r="N714" t="e">
        <f t="shared" si="81"/>
        <v>#N/A</v>
      </c>
      <c r="O714" s="3">
        <f t="shared" si="82"/>
        <v>104435</v>
      </c>
      <c r="P714">
        <f t="shared" si="83"/>
        <v>42</v>
      </c>
    </row>
    <row r="715" spans="1:16" x14ac:dyDescent="0.25">
      <c r="A715">
        <v>487</v>
      </c>
      <c r="B715">
        <v>22</v>
      </c>
      <c r="C715" t="s">
        <v>18</v>
      </c>
      <c r="D715" s="3">
        <v>104781</v>
      </c>
      <c r="E715">
        <v>64</v>
      </c>
      <c r="F715">
        <v>8</v>
      </c>
      <c r="G715">
        <v>38</v>
      </c>
      <c r="H715" t="s">
        <v>13</v>
      </c>
      <c r="I715">
        <v>151.47999999999999</v>
      </c>
      <c r="J715" t="str">
        <f t="shared" si="77"/>
        <v>High</v>
      </c>
      <c r="K715" s="4" t="e">
        <f t="shared" si="78"/>
        <v>#N/A</v>
      </c>
      <c r="L715" t="e">
        <f t="shared" si="79"/>
        <v>#N/A</v>
      </c>
      <c r="M715" s="3" t="e">
        <f t="shared" si="80"/>
        <v>#N/A</v>
      </c>
      <c r="N715" t="e">
        <f t="shared" si="81"/>
        <v>#N/A</v>
      </c>
      <c r="O715" s="3">
        <f t="shared" si="82"/>
        <v>104781</v>
      </c>
      <c r="P715">
        <f t="shared" si="83"/>
        <v>64</v>
      </c>
    </row>
    <row r="716" spans="1:16" x14ac:dyDescent="0.25">
      <c r="A716">
        <v>489</v>
      </c>
      <c r="B716">
        <v>26</v>
      </c>
      <c r="C716" t="s">
        <v>18</v>
      </c>
      <c r="D716" s="3">
        <v>96845</v>
      </c>
      <c r="E716">
        <v>19</v>
      </c>
      <c r="F716">
        <v>1</v>
      </c>
      <c r="G716">
        <v>5</v>
      </c>
      <c r="H716" t="s">
        <v>13</v>
      </c>
      <c r="I716">
        <v>154.88999999999999</v>
      </c>
      <c r="J716" t="str">
        <f t="shared" si="77"/>
        <v>Medium</v>
      </c>
      <c r="K716" s="4" t="e">
        <f t="shared" si="78"/>
        <v>#N/A</v>
      </c>
      <c r="L716" t="e">
        <f t="shared" si="79"/>
        <v>#N/A</v>
      </c>
      <c r="M716" s="3">
        <f t="shared" si="80"/>
        <v>96845</v>
      </c>
      <c r="N716">
        <f t="shared" si="81"/>
        <v>19</v>
      </c>
      <c r="O716" s="3" t="e">
        <f t="shared" si="82"/>
        <v>#N/A</v>
      </c>
      <c r="P716" t="e">
        <f t="shared" si="83"/>
        <v>#N/A</v>
      </c>
    </row>
    <row r="717" spans="1:16" x14ac:dyDescent="0.25">
      <c r="A717">
        <v>514</v>
      </c>
      <c r="B717">
        <v>69</v>
      </c>
      <c r="C717" t="s">
        <v>18</v>
      </c>
      <c r="D717" s="3">
        <v>58668</v>
      </c>
      <c r="E717">
        <v>40</v>
      </c>
      <c r="F717">
        <v>2</v>
      </c>
      <c r="G717">
        <v>15</v>
      </c>
      <c r="H717" t="s">
        <v>13</v>
      </c>
      <c r="I717">
        <v>626.35</v>
      </c>
      <c r="J717" t="str">
        <f t="shared" si="77"/>
        <v>Medium</v>
      </c>
      <c r="K717" s="4" t="e">
        <f t="shared" si="78"/>
        <v>#N/A</v>
      </c>
      <c r="L717" t="e">
        <f t="shared" si="79"/>
        <v>#N/A</v>
      </c>
      <c r="M717" s="3">
        <f t="shared" si="80"/>
        <v>58668</v>
      </c>
      <c r="N717">
        <f t="shared" si="81"/>
        <v>40</v>
      </c>
      <c r="O717" s="3" t="e">
        <f t="shared" si="82"/>
        <v>#N/A</v>
      </c>
      <c r="P717" t="e">
        <f t="shared" si="83"/>
        <v>#N/A</v>
      </c>
    </row>
    <row r="718" spans="1:16" x14ac:dyDescent="0.25">
      <c r="A718">
        <v>522</v>
      </c>
      <c r="B718">
        <v>29</v>
      </c>
      <c r="C718" t="s">
        <v>18</v>
      </c>
      <c r="D718" s="3">
        <v>51471</v>
      </c>
      <c r="E718">
        <v>96</v>
      </c>
      <c r="F718">
        <v>3</v>
      </c>
      <c r="G718">
        <v>13</v>
      </c>
      <c r="H718" t="s">
        <v>13</v>
      </c>
      <c r="I718">
        <v>668.21</v>
      </c>
      <c r="J718" t="str">
        <f t="shared" si="77"/>
        <v>Medium</v>
      </c>
      <c r="K718" s="4" t="e">
        <f t="shared" si="78"/>
        <v>#N/A</v>
      </c>
      <c r="L718" t="e">
        <f t="shared" si="79"/>
        <v>#N/A</v>
      </c>
      <c r="M718" s="3">
        <f t="shared" si="80"/>
        <v>51471</v>
      </c>
      <c r="N718">
        <f t="shared" si="81"/>
        <v>96</v>
      </c>
      <c r="O718" s="3" t="e">
        <f t="shared" si="82"/>
        <v>#N/A</v>
      </c>
      <c r="P718" t="e">
        <f t="shared" si="83"/>
        <v>#N/A</v>
      </c>
    </row>
    <row r="719" spans="1:16" x14ac:dyDescent="0.25">
      <c r="A719">
        <v>537</v>
      </c>
      <c r="B719">
        <v>48</v>
      </c>
      <c r="C719" t="s">
        <v>18</v>
      </c>
      <c r="D719" s="3">
        <v>57932</v>
      </c>
      <c r="E719">
        <v>70</v>
      </c>
      <c r="F719">
        <v>9</v>
      </c>
      <c r="G719">
        <v>44</v>
      </c>
      <c r="H719" t="s">
        <v>13</v>
      </c>
      <c r="I719">
        <v>192.46</v>
      </c>
      <c r="J719" t="str">
        <f t="shared" si="77"/>
        <v>Medium</v>
      </c>
      <c r="K719" s="4" t="e">
        <f t="shared" si="78"/>
        <v>#N/A</v>
      </c>
      <c r="L719" t="e">
        <f t="shared" si="79"/>
        <v>#N/A</v>
      </c>
      <c r="M719" s="3">
        <f t="shared" si="80"/>
        <v>57932</v>
      </c>
      <c r="N719">
        <f t="shared" si="81"/>
        <v>70</v>
      </c>
      <c r="O719" s="3" t="e">
        <f t="shared" si="82"/>
        <v>#N/A</v>
      </c>
      <c r="P719" t="e">
        <f t="shared" si="83"/>
        <v>#N/A</v>
      </c>
    </row>
    <row r="720" spans="1:16" x14ac:dyDescent="0.25">
      <c r="A720">
        <v>548</v>
      </c>
      <c r="B720">
        <v>22</v>
      </c>
      <c r="C720" t="s">
        <v>18</v>
      </c>
      <c r="D720" s="3">
        <v>93861</v>
      </c>
      <c r="E720">
        <v>42</v>
      </c>
      <c r="F720">
        <v>6</v>
      </c>
      <c r="G720">
        <v>6</v>
      </c>
      <c r="H720" t="s">
        <v>13</v>
      </c>
      <c r="I720">
        <v>73.13</v>
      </c>
      <c r="J720" t="str">
        <f t="shared" si="77"/>
        <v>Medium</v>
      </c>
      <c r="K720" s="4" t="e">
        <f t="shared" si="78"/>
        <v>#N/A</v>
      </c>
      <c r="L720" t="e">
        <f t="shared" si="79"/>
        <v>#N/A</v>
      </c>
      <c r="M720" s="3">
        <f t="shared" si="80"/>
        <v>93861</v>
      </c>
      <c r="N720">
        <f t="shared" si="81"/>
        <v>42</v>
      </c>
      <c r="O720" s="3" t="e">
        <f t="shared" si="82"/>
        <v>#N/A</v>
      </c>
      <c r="P720" t="e">
        <f t="shared" si="83"/>
        <v>#N/A</v>
      </c>
    </row>
    <row r="721" spans="1:16" x14ac:dyDescent="0.25">
      <c r="A721">
        <v>554</v>
      </c>
      <c r="B721">
        <v>61</v>
      </c>
      <c r="C721" t="s">
        <v>18</v>
      </c>
      <c r="D721" s="3">
        <v>54256</v>
      </c>
      <c r="E721">
        <v>78</v>
      </c>
      <c r="F721">
        <v>3</v>
      </c>
      <c r="G721">
        <v>3</v>
      </c>
      <c r="H721" t="s">
        <v>13</v>
      </c>
      <c r="I721">
        <v>886.44</v>
      </c>
      <c r="J721" t="str">
        <f t="shared" si="77"/>
        <v>Medium</v>
      </c>
      <c r="K721" s="4" t="e">
        <f t="shared" si="78"/>
        <v>#N/A</v>
      </c>
      <c r="L721" t="e">
        <f t="shared" si="79"/>
        <v>#N/A</v>
      </c>
      <c r="M721" s="3">
        <f t="shared" si="80"/>
        <v>54256</v>
      </c>
      <c r="N721">
        <f t="shared" si="81"/>
        <v>78</v>
      </c>
      <c r="O721" s="3" t="e">
        <f t="shared" si="82"/>
        <v>#N/A</v>
      </c>
      <c r="P721" t="e">
        <f t="shared" si="83"/>
        <v>#N/A</v>
      </c>
    </row>
    <row r="722" spans="1:16" x14ac:dyDescent="0.25">
      <c r="A722">
        <v>568</v>
      </c>
      <c r="B722">
        <v>45</v>
      </c>
      <c r="C722" t="s">
        <v>18</v>
      </c>
      <c r="D722" s="3">
        <v>41917</v>
      </c>
      <c r="E722">
        <v>58</v>
      </c>
      <c r="F722">
        <v>8</v>
      </c>
      <c r="G722">
        <v>5</v>
      </c>
      <c r="H722" t="s">
        <v>13</v>
      </c>
      <c r="I722">
        <v>870.38</v>
      </c>
      <c r="J722" t="str">
        <f t="shared" si="77"/>
        <v>Low</v>
      </c>
      <c r="K722" s="4">
        <f t="shared" si="78"/>
        <v>41917</v>
      </c>
      <c r="L722">
        <f t="shared" si="79"/>
        <v>58</v>
      </c>
      <c r="M722" s="3" t="e">
        <f t="shared" si="80"/>
        <v>#N/A</v>
      </c>
      <c r="N722" t="e">
        <f t="shared" si="81"/>
        <v>#N/A</v>
      </c>
      <c r="O722" s="3" t="e">
        <f t="shared" si="82"/>
        <v>#N/A</v>
      </c>
      <c r="P722" t="e">
        <f t="shared" si="83"/>
        <v>#N/A</v>
      </c>
    </row>
    <row r="723" spans="1:16" x14ac:dyDescent="0.25">
      <c r="A723">
        <v>610</v>
      </c>
      <c r="B723">
        <v>23</v>
      </c>
      <c r="C723" t="s">
        <v>18</v>
      </c>
      <c r="D723" s="3">
        <v>83912</v>
      </c>
      <c r="E723">
        <v>28</v>
      </c>
      <c r="F723">
        <v>6</v>
      </c>
      <c r="G723">
        <v>31</v>
      </c>
      <c r="H723" t="s">
        <v>13</v>
      </c>
      <c r="I723">
        <v>98.32</v>
      </c>
      <c r="J723" t="str">
        <f t="shared" si="77"/>
        <v>Medium</v>
      </c>
      <c r="K723" s="4" t="e">
        <f t="shared" si="78"/>
        <v>#N/A</v>
      </c>
      <c r="L723" t="e">
        <f t="shared" si="79"/>
        <v>#N/A</v>
      </c>
      <c r="M723" s="3">
        <f t="shared" si="80"/>
        <v>83912</v>
      </c>
      <c r="N723">
        <f t="shared" si="81"/>
        <v>28</v>
      </c>
      <c r="O723" s="3" t="e">
        <f t="shared" si="82"/>
        <v>#N/A</v>
      </c>
      <c r="P723" t="e">
        <f t="shared" si="83"/>
        <v>#N/A</v>
      </c>
    </row>
    <row r="724" spans="1:16" x14ac:dyDescent="0.25">
      <c r="A724">
        <v>611</v>
      </c>
      <c r="B724">
        <v>42</v>
      </c>
      <c r="C724" t="s">
        <v>18</v>
      </c>
      <c r="D724" s="3">
        <v>63444</v>
      </c>
      <c r="E724">
        <v>72</v>
      </c>
      <c r="F724">
        <v>4</v>
      </c>
      <c r="G724">
        <v>40</v>
      </c>
      <c r="H724" t="s">
        <v>13</v>
      </c>
      <c r="I724">
        <v>166.45</v>
      </c>
      <c r="J724" t="str">
        <f t="shared" si="77"/>
        <v>Medium</v>
      </c>
      <c r="K724" s="4" t="e">
        <f t="shared" si="78"/>
        <v>#N/A</v>
      </c>
      <c r="L724" t="e">
        <f t="shared" si="79"/>
        <v>#N/A</v>
      </c>
      <c r="M724" s="3">
        <f t="shared" si="80"/>
        <v>63444</v>
      </c>
      <c r="N724">
        <f t="shared" si="81"/>
        <v>72</v>
      </c>
      <c r="O724" s="3" t="e">
        <f t="shared" si="82"/>
        <v>#N/A</v>
      </c>
      <c r="P724" t="e">
        <f t="shared" si="83"/>
        <v>#N/A</v>
      </c>
    </row>
    <row r="725" spans="1:16" x14ac:dyDescent="0.25">
      <c r="A725">
        <v>630</v>
      </c>
      <c r="B725">
        <v>64</v>
      </c>
      <c r="C725" t="s">
        <v>18</v>
      </c>
      <c r="D725" s="3">
        <v>145746</v>
      </c>
      <c r="E725">
        <v>76</v>
      </c>
      <c r="F725">
        <v>2</v>
      </c>
      <c r="G725">
        <v>48</v>
      </c>
      <c r="H725" t="s">
        <v>13</v>
      </c>
      <c r="I725">
        <v>49.06</v>
      </c>
      <c r="J725" t="str">
        <f t="shared" si="77"/>
        <v>High</v>
      </c>
      <c r="K725" s="4" t="e">
        <f t="shared" si="78"/>
        <v>#N/A</v>
      </c>
      <c r="L725" t="e">
        <f t="shared" si="79"/>
        <v>#N/A</v>
      </c>
      <c r="M725" s="3" t="e">
        <f t="shared" si="80"/>
        <v>#N/A</v>
      </c>
      <c r="N725" t="e">
        <f t="shared" si="81"/>
        <v>#N/A</v>
      </c>
      <c r="O725" s="3">
        <f t="shared" si="82"/>
        <v>145746</v>
      </c>
      <c r="P725">
        <f t="shared" si="83"/>
        <v>76</v>
      </c>
    </row>
    <row r="726" spans="1:16" x14ac:dyDescent="0.25">
      <c r="A726">
        <v>638</v>
      </c>
      <c r="B726">
        <v>34</v>
      </c>
      <c r="C726" t="s">
        <v>18</v>
      </c>
      <c r="D726" s="3">
        <v>60489</v>
      </c>
      <c r="E726">
        <v>95</v>
      </c>
      <c r="F726">
        <v>3</v>
      </c>
      <c r="G726">
        <v>38</v>
      </c>
      <c r="H726" t="s">
        <v>13</v>
      </c>
      <c r="I726">
        <v>304.86</v>
      </c>
      <c r="J726" t="str">
        <f t="shared" si="77"/>
        <v>Medium</v>
      </c>
      <c r="K726" s="4" t="e">
        <f t="shared" si="78"/>
        <v>#N/A</v>
      </c>
      <c r="L726" t="e">
        <f t="shared" si="79"/>
        <v>#N/A</v>
      </c>
      <c r="M726" s="3">
        <f t="shared" si="80"/>
        <v>60489</v>
      </c>
      <c r="N726">
        <f t="shared" si="81"/>
        <v>95</v>
      </c>
      <c r="O726" s="3" t="e">
        <f t="shared" si="82"/>
        <v>#N/A</v>
      </c>
      <c r="P726" t="e">
        <f t="shared" si="83"/>
        <v>#N/A</v>
      </c>
    </row>
    <row r="727" spans="1:16" x14ac:dyDescent="0.25">
      <c r="A727">
        <v>675</v>
      </c>
      <c r="B727">
        <v>64</v>
      </c>
      <c r="C727" t="s">
        <v>18</v>
      </c>
      <c r="D727" s="3">
        <v>67704</v>
      </c>
      <c r="E727">
        <v>12</v>
      </c>
      <c r="F727">
        <v>6</v>
      </c>
      <c r="G727">
        <v>17</v>
      </c>
      <c r="H727" t="s">
        <v>13</v>
      </c>
      <c r="I727">
        <v>126.15</v>
      </c>
      <c r="J727" t="str">
        <f t="shared" si="77"/>
        <v>Medium</v>
      </c>
      <c r="K727" s="4" t="e">
        <f t="shared" si="78"/>
        <v>#N/A</v>
      </c>
      <c r="L727" t="e">
        <f t="shared" si="79"/>
        <v>#N/A</v>
      </c>
      <c r="M727" s="3">
        <f t="shared" si="80"/>
        <v>67704</v>
      </c>
      <c r="N727">
        <f t="shared" si="81"/>
        <v>12</v>
      </c>
      <c r="O727" s="3" t="e">
        <f t="shared" si="82"/>
        <v>#N/A</v>
      </c>
      <c r="P727" t="e">
        <f t="shared" si="83"/>
        <v>#N/A</v>
      </c>
    </row>
    <row r="728" spans="1:16" x14ac:dyDescent="0.25">
      <c r="A728">
        <v>683</v>
      </c>
      <c r="B728">
        <v>27</v>
      </c>
      <c r="C728" t="s">
        <v>18</v>
      </c>
      <c r="D728" s="3">
        <v>89855</v>
      </c>
      <c r="E728">
        <v>54</v>
      </c>
      <c r="F728">
        <v>10</v>
      </c>
      <c r="G728">
        <v>37</v>
      </c>
      <c r="H728" t="s">
        <v>13</v>
      </c>
      <c r="I728">
        <v>750.51</v>
      </c>
      <c r="J728" t="str">
        <f t="shared" si="77"/>
        <v>Medium</v>
      </c>
      <c r="K728" s="4" t="e">
        <f t="shared" si="78"/>
        <v>#N/A</v>
      </c>
      <c r="L728" t="e">
        <f t="shared" si="79"/>
        <v>#N/A</v>
      </c>
      <c r="M728" s="3">
        <f t="shared" si="80"/>
        <v>89855</v>
      </c>
      <c r="N728">
        <f t="shared" si="81"/>
        <v>54</v>
      </c>
      <c r="O728" s="3" t="e">
        <f t="shared" si="82"/>
        <v>#N/A</v>
      </c>
      <c r="P728" t="e">
        <f t="shared" si="83"/>
        <v>#N/A</v>
      </c>
    </row>
    <row r="729" spans="1:16" x14ac:dyDescent="0.25">
      <c r="A729">
        <v>703</v>
      </c>
      <c r="B729">
        <v>26</v>
      </c>
      <c r="C729" t="s">
        <v>18</v>
      </c>
      <c r="D729" s="3">
        <v>56466</v>
      </c>
      <c r="E729">
        <v>61</v>
      </c>
      <c r="F729">
        <v>3</v>
      </c>
      <c r="G729">
        <v>12</v>
      </c>
      <c r="H729" t="s">
        <v>13</v>
      </c>
      <c r="I729">
        <v>358.22</v>
      </c>
      <c r="J729" t="str">
        <f t="shared" si="77"/>
        <v>Medium</v>
      </c>
      <c r="K729" s="4" t="e">
        <f t="shared" si="78"/>
        <v>#N/A</v>
      </c>
      <c r="L729" t="e">
        <f t="shared" si="79"/>
        <v>#N/A</v>
      </c>
      <c r="M729" s="3">
        <f t="shared" si="80"/>
        <v>56466</v>
      </c>
      <c r="N729">
        <f t="shared" si="81"/>
        <v>61</v>
      </c>
      <c r="O729" s="3" t="e">
        <f t="shared" si="82"/>
        <v>#N/A</v>
      </c>
      <c r="P729" t="e">
        <f t="shared" si="83"/>
        <v>#N/A</v>
      </c>
    </row>
    <row r="730" spans="1:16" x14ac:dyDescent="0.25">
      <c r="A730">
        <v>718</v>
      </c>
      <c r="B730">
        <v>57</v>
      </c>
      <c r="C730" t="s">
        <v>18</v>
      </c>
      <c r="D730" s="3">
        <v>108833</v>
      </c>
      <c r="E730">
        <v>77</v>
      </c>
      <c r="F730">
        <v>3</v>
      </c>
      <c r="G730">
        <v>37</v>
      </c>
      <c r="H730" t="s">
        <v>13</v>
      </c>
      <c r="I730">
        <v>623.78</v>
      </c>
      <c r="J730" t="str">
        <f t="shared" si="77"/>
        <v>High</v>
      </c>
      <c r="K730" s="4" t="e">
        <f t="shared" si="78"/>
        <v>#N/A</v>
      </c>
      <c r="L730" t="e">
        <f t="shared" si="79"/>
        <v>#N/A</v>
      </c>
      <c r="M730" s="3" t="e">
        <f t="shared" si="80"/>
        <v>#N/A</v>
      </c>
      <c r="N730" t="e">
        <f t="shared" si="81"/>
        <v>#N/A</v>
      </c>
      <c r="O730" s="3">
        <f t="shared" si="82"/>
        <v>108833</v>
      </c>
      <c r="P730">
        <f t="shared" si="83"/>
        <v>77</v>
      </c>
    </row>
    <row r="731" spans="1:16" x14ac:dyDescent="0.25">
      <c r="A731">
        <v>757</v>
      </c>
      <c r="B731">
        <v>19</v>
      </c>
      <c r="C731" t="s">
        <v>18</v>
      </c>
      <c r="D731" s="3">
        <v>129687</v>
      </c>
      <c r="E731">
        <v>78</v>
      </c>
      <c r="F731">
        <v>3</v>
      </c>
      <c r="G731">
        <v>43</v>
      </c>
      <c r="H731" t="s">
        <v>13</v>
      </c>
      <c r="I731">
        <v>679.67</v>
      </c>
      <c r="J731" t="str">
        <f t="shared" si="77"/>
        <v>High</v>
      </c>
      <c r="K731" s="4" t="e">
        <f t="shared" si="78"/>
        <v>#N/A</v>
      </c>
      <c r="L731" t="e">
        <f t="shared" si="79"/>
        <v>#N/A</v>
      </c>
      <c r="M731" s="3" t="e">
        <f t="shared" si="80"/>
        <v>#N/A</v>
      </c>
      <c r="N731" t="e">
        <f t="shared" si="81"/>
        <v>#N/A</v>
      </c>
      <c r="O731" s="3">
        <f t="shared" si="82"/>
        <v>129687</v>
      </c>
      <c r="P731">
        <f t="shared" si="83"/>
        <v>78</v>
      </c>
    </row>
    <row r="732" spans="1:16" x14ac:dyDescent="0.25">
      <c r="A732">
        <v>791</v>
      </c>
      <c r="B732">
        <v>59</v>
      </c>
      <c r="C732" t="s">
        <v>18</v>
      </c>
      <c r="D732" s="3">
        <v>97756</v>
      </c>
      <c r="E732">
        <v>89</v>
      </c>
      <c r="F732">
        <v>6</v>
      </c>
      <c r="G732">
        <v>3</v>
      </c>
      <c r="H732" t="s">
        <v>13</v>
      </c>
      <c r="I732">
        <v>318.74</v>
      </c>
      <c r="J732" t="str">
        <f t="shared" si="77"/>
        <v>Medium</v>
      </c>
      <c r="K732" s="4" t="e">
        <f t="shared" si="78"/>
        <v>#N/A</v>
      </c>
      <c r="L732" t="e">
        <f t="shared" si="79"/>
        <v>#N/A</v>
      </c>
      <c r="M732" s="3">
        <f t="shared" si="80"/>
        <v>97756</v>
      </c>
      <c r="N732">
        <f t="shared" si="81"/>
        <v>89</v>
      </c>
      <c r="O732" s="3" t="e">
        <f t="shared" si="82"/>
        <v>#N/A</v>
      </c>
      <c r="P732" t="e">
        <f t="shared" si="83"/>
        <v>#N/A</v>
      </c>
    </row>
    <row r="733" spans="1:16" x14ac:dyDescent="0.25">
      <c r="A733">
        <v>793</v>
      </c>
      <c r="B733">
        <v>63</v>
      </c>
      <c r="C733" t="s">
        <v>18</v>
      </c>
      <c r="D733" s="3">
        <v>123481</v>
      </c>
      <c r="E733">
        <v>26</v>
      </c>
      <c r="F733">
        <v>1</v>
      </c>
      <c r="G733">
        <v>26</v>
      </c>
      <c r="H733" t="s">
        <v>13</v>
      </c>
      <c r="I733">
        <v>386.51</v>
      </c>
      <c r="J733" t="str">
        <f t="shared" si="77"/>
        <v>High</v>
      </c>
      <c r="K733" s="4" t="e">
        <f t="shared" si="78"/>
        <v>#N/A</v>
      </c>
      <c r="L733" t="e">
        <f t="shared" si="79"/>
        <v>#N/A</v>
      </c>
      <c r="M733" s="3" t="e">
        <f t="shared" si="80"/>
        <v>#N/A</v>
      </c>
      <c r="N733" t="e">
        <f t="shared" si="81"/>
        <v>#N/A</v>
      </c>
      <c r="O733" s="3">
        <f t="shared" si="82"/>
        <v>123481</v>
      </c>
      <c r="P733">
        <f t="shared" si="83"/>
        <v>26</v>
      </c>
    </row>
    <row r="734" spans="1:16" x14ac:dyDescent="0.25">
      <c r="A734">
        <v>811</v>
      </c>
      <c r="B734">
        <v>27</v>
      </c>
      <c r="C734" t="s">
        <v>18</v>
      </c>
      <c r="D734" s="3">
        <v>78001</v>
      </c>
      <c r="E734">
        <v>50</v>
      </c>
      <c r="F734">
        <v>5</v>
      </c>
      <c r="G734">
        <v>17</v>
      </c>
      <c r="H734" t="s">
        <v>13</v>
      </c>
      <c r="I734">
        <v>117.03</v>
      </c>
      <c r="J734" t="str">
        <f t="shared" si="77"/>
        <v>Medium</v>
      </c>
      <c r="K734" s="4" t="e">
        <f t="shared" si="78"/>
        <v>#N/A</v>
      </c>
      <c r="L734" t="e">
        <f t="shared" si="79"/>
        <v>#N/A</v>
      </c>
      <c r="M734" s="3">
        <f t="shared" si="80"/>
        <v>78001</v>
      </c>
      <c r="N734">
        <f t="shared" si="81"/>
        <v>50</v>
      </c>
      <c r="O734" s="3" t="e">
        <f t="shared" si="82"/>
        <v>#N/A</v>
      </c>
      <c r="P734" t="e">
        <f t="shared" si="83"/>
        <v>#N/A</v>
      </c>
    </row>
    <row r="735" spans="1:16" x14ac:dyDescent="0.25">
      <c r="A735">
        <v>815</v>
      </c>
      <c r="B735">
        <v>53</v>
      </c>
      <c r="C735" t="s">
        <v>18</v>
      </c>
      <c r="D735" s="3">
        <v>58486</v>
      </c>
      <c r="E735">
        <v>87</v>
      </c>
      <c r="F735">
        <v>8</v>
      </c>
      <c r="G735">
        <v>23</v>
      </c>
      <c r="H735" t="s">
        <v>13</v>
      </c>
      <c r="I735">
        <v>409.35</v>
      </c>
      <c r="J735" t="str">
        <f t="shared" si="77"/>
        <v>Medium</v>
      </c>
      <c r="K735" s="4" t="e">
        <f t="shared" si="78"/>
        <v>#N/A</v>
      </c>
      <c r="L735" t="e">
        <f t="shared" si="79"/>
        <v>#N/A</v>
      </c>
      <c r="M735" s="3">
        <f t="shared" si="80"/>
        <v>58486</v>
      </c>
      <c r="N735">
        <f t="shared" si="81"/>
        <v>87</v>
      </c>
      <c r="O735" s="3" t="e">
        <f t="shared" si="82"/>
        <v>#N/A</v>
      </c>
      <c r="P735" t="e">
        <f t="shared" si="83"/>
        <v>#N/A</v>
      </c>
    </row>
    <row r="736" spans="1:16" x14ac:dyDescent="0.25">
      <c r="A736">
        <v>824</v>
      </c>
      <c r="B736">
        <v>38</v>
      </c>
      <c r="C736" t="s">
        <v>18</v>
      </c>
      <c r="D736" s="3">
        <v>81244</v>
      </c>
      <c r="E736">
        <v>57</v>
      </c>
      <c r="F736">
        <v>5</v>
      </c>
      <c r="G736">
        <v>3</v>
      </c>
      <c r="H736" t="s">
        <v>13</v>
      </c>
      <c r="I736">
        <v>301.58999999999997</v>
      </c>
      <c r="J736" t="str">
        <f t="shared" si="77"/>
        <v>Medium</v>
      </c>
      <c r="K736" s="4" t="e">
        <f t="shared" si="78"/>
        <v>#N/A</v>
      </c>
      <c r="L736" t="e">
        <f t="shared" si="79"/>
        <v>#N/A</v>
      </c>
      <c r="M736" s="3">
        <f t="shared" si="80"/>
        <v>81244</v>
      </c>
      <c r="N736">
        <f t="shared" si="81"/>
        <v>57</v>
      </c>
      <c r="O736" s="3" t="e">
        <f t="shared" si="82"/>
        <v>#N/A</v>
      </c>
      <c r="P736" t="e">
        <f t="shared" si="83"/>
        <v>#N/A</v>
      </c>
    </row>
    <row r="737" spans="1:16" x14ac:dyDescent="0.25">
      <c r="A737">
        <v>831</v>
      </c>
      <c r="B737">
        <v>43</v>
      </c>
      <c r="C737" t="s">
        <v>18</v>
      </c>
      <c r="D737" s="3">
        <v>76811</v>
      </c>
      <c r="E737">
        <v>26</v>
      </c>
      <c r="F737">
        <v>1</v>
      </c>
      <c r="G737">
        <v>33</v>
      </c>
      <c r="H737" t="s">
        <v>13</v>
      </c>
      <c r="I737">
        <v>836.5</v>
      </c>
      <c r="J737" t="str">
        <f t="shared" si="77"/>
        <v>Medium</v>
      </c>
      <c r="K737" s="4" t="e">
        <f t="shared" si="78"/>
        <v>#N/A</v>
      </c>
      <c r="L737" t="e">
        <f t="shared" si="79"/>
        <v>#N/A</v>
      </c>
      <c r="M737" s="3">
        <f t="shared" si="80"/>
        <v>76811</v>
      </c>
      <c r="N737">
        <f t="shared" si="81"/>
        <v>26</v>
      </c>
      <c r="O737" s="3" t="e">
        <f t="shared" si="82"/>
        <v>#N/A</v>
      </c>
      <c r="P737" t="e">
        <f t="shared" si="83"/>
        <v>#N/A</v>
      </c>
    </row>
    <row r="738" spans="1:16" x14ac:dyDescent="0.25">
      <c r="A738">
        <v>857</v>
      </c>
      <c r="B738">
        <v>19</v>
      </c>
      <c r="C738" t="s">
        <v>18</v>
      </c>
      <c r="D738" s="3">
        <v>90561</v>
      </c>
      <c r="E738">
        <v>75</v>
      </c>
      <c r="F738">
        <v>10</v>
      </c>
      <c r="G738">
        <v>23</v>
      </c>
      <c r="H738" t="s">
        <v>13</v>
      </c>
      <c r="I738">
        <v>866.23</v>
      </c>
      <c r="J738" t="str">
        <f t="shared" si="77"/>
        <v>Medium</v>
      </c>
      <c r="K738" s="4" t="e">
        <f t="shared" si="78"/>
        <v>#N/A</v>
      </c>
      <c r="L738" t="e">
        <f t="shared" si="79"/>
        <v>#N/A</v>
      </c>
      <c r="M738" s="3">
        <f t="shared" si="80"/>
        <v>90561</v>
      </c>
      <c r="N738">
        <f t="shared" si="81"/>
        <v>75</v>
      </c>
      <c r="O738" s="3" t="e">
        <f t="shared" si="82"/>
        <v>#N/A</v>
      </c>
      <c r="P738" t="e">
        <f t="shared" si="83"/>
        <v>#N/A</v>
      </c>
    </row>
    <row r="739" spans="1:16" x14ac:dyDescent="0.25">
      <c r="A739">
        <v>869</v>
      </c>
      <c r="B739">
        <v>49</v>
      </c>
      <c r="C739" t="s">
        <v>18</v>
      </c>
      <c r="D739" s="3">
        <v>61376</v>
      </c>
      <c r="E739">
        <v>47</v>
      </c>
      <c r="F739">
        <v>5</v>
      </c>
      <c r="G739">
        <v>16</v>
      </c>
      <c r="H739" t="s">
        <v>13</v>
      </c>
      <c r="I739">
        <v>241.25</v>
      </c>
      <c r="J739" t="str">
        <f t="shared" si="77"/>
        <v>Medium</v>
      </c>
      <c r="K739" s="4" t="e">
        <f t="shared" si="78"/>
        <v>#N/A</v>
      </c>
      <c r="L739" t="e">
        <f t="shared" si="79"/>
        <v>#N/A</v>
      </c>
      <c r="M739" s="3">
        <f t="shared" si="80"/>
        <v>61376</v>
      </c>
      <c r="N739">
        <f t="shared" si="81"/>
        <v>47</v>
      </c>
      <c r="O739" s="3" t="e">
        <f t="shared" si="82"/>
        <v>#N/A</v>
      </c>
      <c r="P739" t="e">
        <f t="shared" si="83"/>
        <v>#N/A</v>
      </c>
    </row>
    <row r="740" spans="1:16" x14ac:dyDescent="0.25">
      <c r="A740">
        <v>871</v>
      </c>
      <c r="B740">
        <v>57</v>
      </c>
      <c r="C740" t="s">
        <v>18</v>
      </c>
      <c r="D740" s="3">
        <v>128481</v>
      </c>
      <c r="E740">
        <v>86</v>
      </c>
      <c r="F740">
        <v>10</v>
      </c>
      <c r="G740">
        <v>40</v>
      </c>
      <c r="H740" t="s">
        <v>13</v>
      </c>
      <c r="I740">
        <v>727.15</v>
      </c>
      <c r="J740" t="str">
        <f t="shared" si="77"/>
        <v>High</v>
      </c>
      <c r="K740" s="4" t="e">
        <f t="shared" si="78"/>
        <v>#N/A</v>
      </c>
      <c r="L740" t="e">
        <f t="shared" si="79"/>
        <v>#N/A</v>
      </c>
      <c r="M740" s="3" t="e">
        <f t="shared" si="80"/>
        <v>#N/A</v>
      </c>
      <c r="N740" t="e">
        <f t="shared" si="81"/>
        <v>#N/A</v>
      </c>
      <c r="O740" s="3">
        <f t="shared" si="82"/>
        <v>128481</v>
      </c>
      <c r="P740">
        <f t="shared" si="83"/>
        <v>86</v>
      </c>
    </row>
    <row r="741" spans="1:16" x14ac:dyDescent="0.25">
      <c r="A741">
        <v>875</v>
      </c>
      <c r="B741">
        <v>25</v>
      </c>
      <c r="C741" t="s">
        <v>18</v>
      </c>
      <c r="D741" s="3">
        <v>76606</v>
      </c>
      <c r="E741">
        <v>99</v>
      </c>
      <c r="F741">
        <v>10</v>
      </c>
      <c r="G741">
        <v>32</v>
      </c>
      <c r="H741" t="s">
        <v>13</v>
      </c>
      <c r="I741">
        <v>472.4</v>
      </c>
      <c r="J741" t="str">
        <f t="shared" si="77"/>
        <v>Medium</v>
      </c>
      <c r="K741" s="4" t="e">
        <f t="shared" si="78"/>
        <v>#N/A</v>
      </c>
      <c r="L741" t="e">
        <f t="shared" si="79"/>
        <v>#N/A</v>
      </c>
      <c r="M741" s="3">
        <f t="shared" si="80"/>
        <v>76606</v>
      </c>
      <c r="N741">
        <f t="shared" si="81"/>
        <v>99</v>
      </c>
      <c r="O741" s="3" t="e">
        <f t="shared" si="82"/>
        <v>#N/A</v>
      </c>
      <c r="P741" t="e">
        <f t="shared" si="83"/>
        <v>#N/A</v>
      </c>
    </row>
    <row r="742" spans="1:16" x14ac:dyDescent="0.25">
      <c r="A742">
        <v>877</v>
      </c>
      <c r="B742">
        <v>51</v>
      </c>
      <c r="C742" t="s">
        <v>18</v>
      </c>
      <c r="D742" s="3">
        <v>127950</v>
      </c>
      <c r="E742">
        <v>27</v>
      </c>
      <c r="F742">
        <v>3</v>
      </c>
      <c r="G742">
        <v>45</v>
      </c>
      <c r="H742" t="s">
        <v>13</v>
      </c>
      <c r="I742">
        <v>412.76</v>
      </c>
      <c r="J742" t="str">
        <f t="shared" si="77"/>
        <v>High</v>
      </c>
      <c r="K742" s="4" t="e">
        <f t="shared" si="78"/>
        <v>#N/A</v>
      </c>
      <c r="L742" t="e">
        <f t="shared" si="79"/>
        <v>#N/A</v>
      </c>
      <c r="M742" s="3" t="e">
        <f t="shared" si="80"/>
        <v>#N/A</v>
      </c>
      <c r="N742" t="e">
        <f t="shared" si="81"/>
        <v>#N/A</v>
      </c>
      <c r="O742" s="3">
        <f t="shared" si="82"/>
        <v>127950</v>
      </c>
      <c r="P742">
        <f t="shared" si="83"/>
        <v>27</v>
      </c>
    </row>
    <row r="743" spans="1:16" x14ac:dyDescent="0.25">
      <c r="A743">
        <v>878</v>
      </c>
      <c r="B743">
        <v>45</v>
      </c>
      <c r="C743" t="s">
        <v>18</v>
      </c>
      <c r="D743" s="3">
        <v>51646</v>
      </c>
      <c r="E743">
        <v>61</v>
      </c>
      <c r="F743">
        <v>5</v>
      </c>
      <c r="G743">
        <v>41</v>
      </c>
      <c r="H743" t="s">
        <v>13</v>
      </c>
      <c r="I743">
        <v>246.41</v>
      </c>
      <c r="J743" t="str">
        <f t="shared" si="77"/>
        <v>Medium</v>
      </c>
      <c r="K743" s="4" t="e">
        <f t="shared" si="78"/>
        <v>#N/A</v>
      </c>
      <c r="L743" t="e">
        <f t="shared" si="79"/>
        <v>#N/A</v>
      </c>
      <c r="M743" s="3">
        <f t="shared" si="80"/>
        <v>51646</v>
      </c>
      <c r="N743">
        <f t="shared" si="81"/>
        <v>61</v>
      </c>
      <c r="O743" s="3" t="e">
        <f t="shared" si="82"/>
        <v>#N/A</v>
      </c>
      <c r="P743" t="e">
        <f t="shared" si="83"/>
        <v>#N/A</v>
      </c>
    </row>
    <row r="744" spans="1:16" x14ac:dyDescent="0.25">
      <c r="A744">
        <v>893</v>
      </c>
      <c r="B744">
        <v>24</v>
      </c>
      <c r="C744" t="s">
        <v>18</v>
      </c>
      <c r="D744" s="3">
        <v>60763</v>
      </c>
      <c r="E744">
        <v>92</v>
      </c>
      <c r="F744">
        <v>5</v>
      </c>
      <c r="G744">
        <v>29</v>
      </c>
      <c r="H744" t="s">
        <v>13</v>
      </c>
      <c r="I744">
        <v>320.7</v>
      </c>
      <c r="J744" t="str">
        <f t="shared" si="77"/>
        <v>Medium</v>
      </c>
      <c r="K744" s="4" t="e">
        <f t="shared" si="78"/>
        <v>#N/A</v>
      </c>
      <c r="L744" t="e">
        <f t="shared" si="79"/>
        <v>#N/A</v>
      </c>
      <c r="M744" s="3">
        <f t="shared" si="80"/>
        <v>60763</v>
      </c>
      <c r="N744">
        <f t="shared" si="81"/>
        <v>92</v>
      </c>
      <c r="O744" s="3" t="e">
        <f t="shared" si="82"/>
        <v>#N/A</v>
      </c>
      <c r="P744" t="e">
        <f t="shared" si="83"/>
        <v>#N/A</v>
      </c>
    </row>
    <row r="745" spans="1:16" x14ac:dyDescent="0.25">
      <c r="A745">
        <v>900</v>
      </c>
      <c r="B745">
        <v>52</v>
      </c>
      <c r="C745" t="s">
        <v>18</v>
      </c>
      <c r="D745" s="3">
        <v>41544</v>
      </c>
      <c r="E745">
        <v>1</v>
      </c>
      <c r="F745">
        <v>10</v>
      </c>
      <c r="G745">
        <v>46</v>
      </c>
      <c r="H745" t="s">
        <v>13</v>
      </c>
      <c r="I745">
        <v>720.52</v>
      </c>
      <c r="J745" t="str">
        <f t="shared" si="77"/>
        <v>Low</v>
      </c>
      <c r="K745" s="4">
        <f t="shared" si="78"/>
        <v>41544</v>
      </c>
      <c r="L745">
        <f t="shared" si="79"/>
        <v>1</v>
      </c>
      <c r="M745" s="3" t="e">
        <f t="shared" si="80"/>
        <v>#N/A</v>
      </c>
      <c r="N745" t="e">
        <f t="shared" si="81"/>
        <v>#N/A</v>
      </c>
      <c r="O745" s="3" t="e">
        <f t="shared" si="82"/>
        <v>#N/A</v>
      </c>
      <c r="P745" t="e">
        <f t="shared" si="83"/>
        <v>#N/A</v>
      </c>
    </row>
    <row r="746" spans="1:16" x14ac:dyDescent="0.25">
      <c r="A746">
        <v>901</v>
      </c>
      <c r="B746">
        <v>57</v>
      </c>
      <c r="C746" t="s">
        <v>18</v>
      </c>
      <c r="D746" s="3">
        <v>135440</v>
      </c>
      <c r="E746">
        <v>46</v>
      </c>
      <c r="F746">
        <v>8</v>
      </c>
      <c r="G746">
        <v>3</v>
      </c>
      <c r="H746" t="s">
        <v>13</v>
      </c>
      <c r="I746">
        <v>442.46</v>
      </c>
      <c r="J746" t="str">
        <f t="shared" si="77"/>
        <v>High</v>
      </c>
      <c r="K746" s="4" t="e">
        <f t="shared" si="78"/>
        <v>#N/A</v>
      </c>
      <c r="L746" t="e">
        <f t="shared" si="79"/>
        <v>#N/A</v>
      </c>
      <c r="M746" s="3" t="e">
        <f t="shared" si="80"/>
        <v>#N/A</v>
      </c>
      <c r="N746" t="e">
        <f t="shared" si="81"/>
        <v>#N/A</v>
      </c>
      <c r="O746" s="3">
        <f t="shared" si="82"/>
        <v>135440</v>
      </c>
      <c r="P746">
        <f t="shared" si="83"/>
        <v>46</v>
      </c>
    </row>
    <row r="747" spans="1:16" x14ac:dyDescent="0.25">
      <c r="A747">
        <v>902</v>
      </c>
      <c r="B747">
        <v>55</v>
      </c>
      <c r="C747" t="s">
        <v>18</v>
      </c>
      <c r="D747" s="3">
        <v>72193</v>
      </c>
      <c r="E747">
        <v>39</v>
      </c>
      <c r="F747">
        <v>2</v>
      </c>
      <c r="G747">
        <v>6</v>
      </c>
      <c r="H747" t="s">
        <v>13</v>
      </c>
      <c r="I747">
        <v>207.44</v>
      </c>
      <c r="J747" t="str">
        <f t="shared" si="77"/>
        <v>Medium</v>
      </c>
      <c r="K747" s="4" t="e">
        <f t="shared" si="78"/>
        <v>#N/A</v>
      </c>
      <c r="L747" t="e">
        <f t="shared" si="79"/>
        <v>#N/A</v>
      </c>
      <c r="M747" s="3">
        <f t="shared" si="80"/>
        <v>72193</v>
      </c>
      <c r="N747">
        <f t="shared" si="81"/>
        <v>39</v>
      </c>
      <c r="O747" s="3" t="e">
        <f t="shared" si="82"/>
        <v>#N/A</v>
      </c>
      <c r="P747" t="e">
        <f t="shared" si="83"/>
        <v>#N/A</v>
      </c>
    </row>
    <row r="748" spans="1:16" x14ac:dyDescent="0.25">
      <c r="A748">
        <v>937</v>
      </c>
      <c r="B748">
        <v>43</v>
      </c>
      <c r="C748" t="s">
        <v>18</v>
      </c>
      <c r="D748" s="3">
        <v>42201</v>
      </c>
      <c r="E748">
        <v>76</v>
      </c>
      <c r="F748">
        <v>1</v>
      </c>
      <c r="G748">
        <v>50</v>
      </c>
      <c r="H748" t="s">
        <v>13</v>
      </c>
      <c r="I748">
        <v>106.48</v>
      </c>
      <c r="J748" t="str">
        <f t="shared" si="77"/>
        <v>Low</v>
      </c>
      <c r="K748" s="4">
        <f t="shared" si="78"/>
        <v>42201</v>
      </c>
      <c r="L748">
        <f t="shared" si="79"/>
        <v>76</v>
      </c>
      <c r="M748" s="3" t="e">
        <f t="shared" si="80"/>
        <v>#N/A</v>
      </c>
      <c r="N748" t="e">
        <f t="shared" si="81"/>
        <v>#N/A</v>
      </c>
      <c r="O748" s="3" t="e">
        <f t="shared" si="82"/>
        <v>#N/A</v>
      </c>
      <c r="P748" t="e">
        <f t="shared" si="83"/>
        <v>#N/A</v>
      </c>
    </row>
    <row r="749" spans="1:16" x14ac:dyDescent="0.25">
      <c r="A749">
        <v>940</v>
      </c>
      <c r="B749">
        <v>56</v>
      </c>
      <c r="C749" t="s">
        <v>18</v>
      </c>
      <c r="D749" s="3">
        <v>51736</v>
      </c>
      <c r="E749">
        <v>3</v>
      </c>
      <c r="F749">
        <v>9</v>
      </c>
      <c r="G749">
        <v>25</v>
      </c>
      <c r="H749" t="s">
        <v>13</v>
      </c>
      <c r="I749">
        <v>666.01</v>
      </c>
      <c r="J749" t="str">
        <f t="shared" si="77"/>
        <v>Medium</v>
      </c>
      <c r="K749" s="4" t="e">
        <f t="shared" si="78"/>
        <v>#N/A</v>
      </c>
      <c r="L749" t="e">
        <f t="shared" si="79"/>
        <v>#N/A</v>
      </c>
      <c r="M749" s="3">
        <f t="shared" si="80"/>
        <v>51736</v>
      </c>
      <c r="N749">
        <f t="shared" si="81"/>
        <v>3</v>
      </c>
      <c r="O749" s="3" t="e">
        <f t="shared" si="82"/>
        <v>#N/A</v>
      </c>
      <c r="P749" t="e">
        <f t="shared" si="83"/>
        <v>#N/A</v>
      </c>
    </row>
    <row r="750" spans="1:16" x14ac:dyDescent="0.25">
      <c r="A750">
        <v>961</v>
      </c>
      <c r="B750">
        <v>23</v>
      </c>
      <c r="C750" t="s">
        <v>18</v>
      </c>
      <c r="D750" s="3">
        <v>60808</v>
      </c>
      <c r="E750">
        <v>96</v>
      </c>
      <c r="F750">
        <v>2</v>
      </c>
      <c r="G750">
        <v>12</v>
      </c>
      <c r="H750" t="s">
        <v>13</v>
      </c>
      <c r="I750">
        <v>231.03</v>
      </c>
      <c r="J750" t="str">
        <f t="shared" si="77"/>
        <v>Medium</v>
      </c>
      <c r="K750" s="4" t="e">
        <f t="shared" si="78"/>
        <v>#N/A</v>
      </c>
      <c r="L750" t="e">
        <f t="shared" si="79"/>
        <v>#N/A</v>
      </c>
      <c r="M750" s="3">
        <f t="shared" si="80"/>
        <v>60808</v>
      </c>
      <c r="N750">
        <f t="shared" si="81"/>
        <v>96</v>
      </c>
      <c r="O750" s="3" t="e">
        <f t="shared" si="82"/>
        <v>#N/A</v>
      </c>
      <c r="P750" t="e">
        <f t="shared" si="83"/>
        <v>#N/A</v>
      </c>
    </row>
    <row r="751" spans="1:16" x14ac:dyDescent="0.25">
      <c r="A751">
        <v>971</v>
      </c>
      <c r="B751">
        <v>58</v>
      </c>
      <c r="C751" t="s">
        <v>18</v>
      </c>
      <c r="D751" s="3">
        <v>51913</v>
      </c>
      <c r="E751">
        <v>14</v>
      </c>
      <c r="F751">
        <v>4</v>
      </c>
      <c r="G751">
        <v>21</v>
      </c>
      <c r="H751" t="s">
        <v>13</v>
      </c>
      <c r="I751">
        <v>733.63</v>
      </c>
      <c r="J751" t="str">
        <f t="shared" si="77"/>
        <v>Medium</v>
      </c>
      <c r="K751" s="4" t="e">
        <f t="shared" si="78"/>
        <v>#N/A</v>
      </c>
      <c r="L751" t="e">
        <f t="shared" si="79"/>
        <v>#N/A</v>
      </c>
      <c r="M751" s="3">
        <f t="shared" si="80"/>
        <v>51913</v>
      </c>
      <c r="N751">
        <f t="shared" si="81"/>
        <v>14</v>
      </c>
      <c r="O751" s="3" t="e">
        <f t="shared" si="82"/>
        <v>#N/A</v>
      </c>
      <c r="P751" t="e">
        <f t="shared" si="83"/>
        <v>#N/A</v>
      </c>
    </row>
    <row r="752" spans="1:16" x14ac:dyDescent="0.25">
      <c r="A752">
        <v>975</v>
      </c>
      <c r="B752">
        <v>49</v>
      </c>
      <c r="C752" t="s">
        <v>18</v>
      </c>
      <c r="D752" s="3">
        <v>79546</v>
      </c>
      <c r="E752">
        <v>26</v>
      </c>
      <c r="F752">
        <v>5</v>
      </c>
      <c r="G752">
        <v>12</v>
      </c>
      <c r="H752" t="s">
        <v>13</v>
      </c>
      <c r="I752">
        <v>935.73</v>
      </c>
      <c r="J752" t="str">
        <f t="shared" si="77"/>
        <v>Medium</v>
      </c>
      <c r="K752" s="4" t="e">
        <f t="shared" si="78"/>
        <v>#N/A</v>
      </c>
      <c r="L752" t="e">
        <f t="shared" si="79"/>
        <v>#N/A</v>
      </c>
      <c r="M752" s="3">
        <f t="shared" si="80"/>
        <v>79546</v>
      </c>
      <c r="N752">
        <f t="shared" si="81"/>
        <v>26</v>
      </c>
      <c r="O752" s="3" t="e">
        <f t="shared" si="82"/>
        <v>#N/A</v>
      </c>
      <c r="P752" t="e">
        <f t="shared" si="83"/>
        <v>#N/A</v>
      </c>
    </row>
    <row r="753" spans="1:16" x14ac:dyDescent="0.25">
      <c r="A753">
        <v>993</v>
      </c>
      <c r="B753">
        <v>22</v>
      </c>
      <c r="C753" t="s">
        <v>18</v>
      </c>
      <c r="D753" s="3">
        <v>125479</v>
      </c>
      <c r="E753">
        <v>57</v>
      </c>
      <c r="F753">
        <v>8</v>
      </c>
      <c r="G753">
        <v>27</v>
      </c>
      <c r="H753" t="s">
        <v>13</v>
      </c>
      <c r="I753">
        <v>139.75</v>
      </c>
      <c r="J753" t="str">
        <f t="shared" si="77"/>
        <v>High</v>
      </c>
      <c r="K753" s="4" t="e">
        <f t="shared" si="78"/>
        <v>#N/A</v>
      </c>
      <c r="L753" t="e">
        <f t="shared" si="79"/>
        <v>#N/A</v>
      </c>
      <c r="M753" s="3" t="e">
        <f t="shared" si="80"/>
        <v>#N/A</v>
      </c>
      <c r="N753" t="e">
        <f t="shared" si="81"/>
        <v>#N/A</v>
      </c>
      <c r="O753" s="3">
        <f t="shared" si="82"/>
        <v>125479</v>
      </c>
      <c r="P753">
        <f t="shared" si="83"/>
        <v>57</v>
      </c>
    </row>
    <row r="754" spans="1:16" x14ac:dyDescent="0.25">
      <c r="A754">
        <v>1</v>
      </c>
      <c r="B754">
        <v>38</v>
      </c>
      <c r="C754" t="s">
        <v>18</v>
      </c>
      <c r="D754" s="3">
        <v>99342</v>
      </c>
      <c r="E754">
        <v>90</v>
      </c>
      <c r="F754">
        <v>3</v>
      </c>
      <c r="G754">
        <v>24</v>
      </c>
      <c r="H754" t="s">
        <v>16</v>
      </c>
      <c r="I754">
        <v>113.53</v>
      </c>
      <c r="J754" t="str">
        <f t="shared" si="77"/>
        <v>Medium</v>
      </c>
      <c r="K754" s="4" t="e">
        <f t="shared" si="78"/>
        <v>#N/A</v>
      </c>
      <c r="L754" t="e">
        <f t="shared" si="79"/>
        <v>#N/A</v>
      </c>
      <c r="M754" s="3">
        <f t="shared" si="80"/>
        <v>99342</v>
      </c>
      <c r="N754">
        <f t="shared" si="81"/>
        <v>90</v>
      </c>
      <c r="O754" s="3" t="e">
        <f t="shared" si="82"/>
        <v>#N/A</v>
      </c>
      <c r="P754" t="e">
        <f t="shared" si="83"/>
        <v>#N/A</v>
      </c>
    </row>
    <row r="755" spans="1:16" x14ac:dyDescent="0.25">
      <c r="A755">
        <v>50</v>
      </c>
      <c r="B755">
        <v>68</v>
      </c>
      <c r="C755" t="s">
        <v>18</v>
      </c>
      <c r="D755" s="3">
        <v>146519</v>
      </c>
      <c r="E755">
        <v>96</v>
      </c>
      <c r="F755">
        <v>2</v>
      </c>
      <c r="G755">
        <v>18</v>
      </c>
      <c r="H755" t="s">
        <v>16</v>
      </c>
      <c r="I755">
        <v>673.79</v>
      </c>
      <c r="J755" t="str">
        <f t="shared" si="77"/>
        <v>High</v>
      </c>
      <c r="K755" s="4" t="e">
        <f t="shared" si="78"/>
        <v>#N/A</v>
      </c>
      <c r="L755" t="e">
        <f t="shared" si="79"/>
        <v>#N/A</v>
      </c>
      <c r="M755" s="3" t="e">
        <f t="shared" si="80"/>
        <v>#N/A</v>
      </c>
      <c r="N755" t="e">
        <f t="shared" si="81"/>
        <v>#N/A</v>
      </c>
      <c r="O755" s="3">
        <f t="shared" si="82"/>
        <v>146519</v>
      </c>
      <c r="P755">
        <f t="shared" si="83"/>
        <v>96</v>
      </c>
    </row>
    <row r="756" spans="1:16" x14ac:dyDescent="0.25">
      <c r="A756">
        <v>73</v>
      </c>
      <c r="B756">
        <v>31</v>
      </c>
      <c r="C756" t="s">
        <v>18</v>
      </c>
      <c r="D756" s="3">
        <v>112452</v>
      </c>
      <c r="E756">
        <v>21</v>
      </c>
      <c r="F756">
        <v>1</v>
      </c>
      <c r="G756">
        <v>5</v>
      </c>
      <c r="H756" t="s">
        <v>16</v>
      </c>
      <c r="I756">
        <v>552.21</v>
      </c>
      <c r="J756" t="str">
        <f t="shared" si="77"/>
        <v>High</v>
      </c>
      <c r="K756" s="4" t="e">
        <f t="shared" si="78"/>
        <v>#N/A</v>
      </c>
      <c r="L756" t="e">
        <f t="shared" si="79"/>
        <v>#N/A</v>
      </c>
      <c r="M756" s="3" t="e">
        <f t="shared" si="80"/>
        <v>#N/A</v>
      </c>
      <c r="N756" t="e">
        <f t="shared" si="81"/>
        <v>#N/A</v>
      </c>
      <c r="O756" s="3">
        <f t="shared" si="82"/>
        <v>112452</v>
      </c>
      <c r="P756">
        <f t="shared" si="83"/>
        <v>21</v>
      </c>
    </row>
    <row r="757" spans="1:16" x14ac:dyDescent="0.25">
      <c r="A757">
        <v>82</v>
      </c>
      <c r="B757">
        <v>36</v>
      </c>
      <c r="C757" t="s">
        <v>18</v>
      </c>
      <c r="D757" s="3">
        <v>148542</v>
      </c>
      <c r="E757">
        <v>60</v>
      </c>
      <c r="F757">
        <v>1</v>
      </c>
      <c r="G757">
        <v>17</v>
      </c>
      <c r="H757" t="s">
        <v>16</v>
      </c>
      <c r="I757">
        <v>15.66</v>
      </c>
      <c r="J757" t="str">
        <f t="shared" si="77"/>
        <v>High</v>
      </c>
      <c r="K757" s="4" t="e">
        <f t="shared" si="78"/>
        <v>#N/A</v>
      </c>
      <c r="L757" t="e">
        <f t="shared" si="79"/>
        <v>#N/A</v>
      </c>
      <c r="M757" s="3" t="e">
        <f t="shared" si="80"/>
        <v>#N/A</v>
      </c>
      <c r="N757" t="e">
        <f t="shared" si="81"/>
        <v>#N/A</v>
      </c>
      <c r="O757" s="3">
        <f t="shared" si="82"/>
        <v>148542</v>
      </c>
      <c r="P757">
        <f t="shared" si="83"/>
        <v>60</v>
      </c>
    </row>
    <row r="758" spans="1:16" x14ac:dyDescent="0.25">
      <c r="A758">
        <v>101</v>
      </c>
      <c r="B758">
        <v>40</v>
      </c>
      <c r="C758" t="s">
        <v>18</v>
      </c>
      <c r="D758" s="3">
        <v>115569</v>
      </c>
      <c r="E758">
        <v>1</v>
      </c>
      <c r="F758">
        <v>2</v>
      </c>
      <c r="G758">
        <v>5</v>
      </c>
      <c r="H758" t="s">
        <v>16</v>
      </c>
      <c r="I758">
        <v>241.91</v>
      </c>
      <c r="J758" t="str">
        <f t="shared" si="77"/>
        <v>High</v>
      </c>
      <c r="K758" s="4" t="e">
        <f t="shared" si="78"/>
        <v>#N/A</v>
      </c>
      <c r="L758" t="e">
        <f t="shared" si="79"/>
        <v>#N/A</v>
      </c>
      <c r="M758" s="3" t="e">
        <f t="shared" si="80"/>
        <v>#N/A</v>
      </c>
      <c r="N758" t="e">
        <f t="shared" si="81"/>
        <v>#N/A</v>
      </c>
      <c r="O758" s="3">
        <f t="shared" si="82"/>
        <v>115569</v>
      </c>
      <c r="P758">
        <f t="shared" si="83"/>
        <v>1</v>
      </c>
    </row>
    <row r="759" spans="1:16" x14ac:dyDescent="0.25">
      <c r="A759">
        <v>121</v>
      </c>
      <c r="B759">
        <v>47</v>
      </c>
      <c r="C759" t="s">
        <v>18</v>
      </c>
      <c r="D759" s="3">
        <v>112072</v>
      </c>
      <c r="E759">
        <v>50</v>
      </c>
      <c r="F759">
        <v>5</v>
      </c>
      <c r="G759">
        <v>21</v>
      </c>
      <c r="H759" t="s">
        <v>16</v>
      </c>
      <c r="I759">
        <v>884.19</v>
      </c>
      <c r="J759" t="str">
        <f t="shared" si="77"/>
        <v>High</v>
      </c>
      <c r="K759" s="4" t="e">
        <f t="shared" si="78"/>
        <v>#N/A</v>
      </c>
      <c r="L759" t="e">
        <f t="shared" si="79"/>
        <v>#N/A</v>
      </c>
      <c r="M759" s="3" t="e">
        <f t="shared" si="80"/>
        <v>#N/A</v>
      </c>
      <c r="N759" t="e">
        <f t="shared" si="81"/>
        <v>#N/A</v>
      </c>
      <c r="O759" s="3">
        <f t="shared" si="82"/>
        <v>112072</v>
      </c>
      <c r="P759">
        <f t="shared" si="83"/>
        <v>50</v>
      </c>
    </row>
    <row r="760" spans="1:16" x14ac:dyDescent="0.25">
      <c r="A760">
        <v>139</v>
      </c>
      <c r="B760">
        <v>18</v>
      </c>
      <c r="C760" t="s">
        <v>18</v>
      </c>
      <c r="D760" s="3">
        <v>99638</v>
      </c>
      <c r="E760">
        <v>33</v>
      </c>
      <c r="F760">
        <v>8</v>
      </c>
      <c r="G760">
        <v>23</v>
      </c>
      <c r="H760" t="s">
        <v>16</v>
      </c>
      <c r="I760">
        <v>316.27</v>
      </c>
      <c r="J760" t="str">
        <f t="shared" si="77"/>
        <v>Medium</v>
      </c>
      <c r="K760" s="4" t="e">
        <f t="shared" si="78"/>
        <v>#N/A</v>
      </c>
      <c r="L760" t="e">
        <f t="shared" si="79"/>
        <v>#N/A</v>
      </c>
      <c r="M760" s="3">
        <f t="shared" si="80"/>
        <v>99638</v>
      </c>
      <c r="N760">
        <f t="shared" si="81"/>
        <v>33</v>
      </c>
      <c r="O760" s="3" t="e">
        <f t="shared" si="82"/>
        <v>#N/A</v>
      </c>
      <c r="P760" t="e">
        <f t="shared" si="83"/>
        <v>#N/A</v>
      </c>
    </row>
    <row r="761" spans="1:16" x14ac:dyDescent="0.25">
      <c r="A761">
        <v>166</v>
      </c>
      <c r="B761">
        <v>41</v>
      </c>
      <c r="C761" t="s">
        <v>18</v>
      </c>
      <c r="D761" s="3">
        <v>48155</v>
      </c>
      <c r="E761">
        <v>19</v>
      </c>
      <c r="F761">
        <v>10</v>
      </c>
      <c r="G761">
        <v>36</v>
      </c>
      <c r="H761" t="s">
        <v>16</v>
      </c>
      <c r="I761">
        <v>566.65</v>
      </c>
      <c r="J761" t="str">
        <f t="shared" si="77"/>
        <v>Low</v>
      </c>
      <c r="K761" s="4">
        <f t="shared" si="78"/>
        <v>48155</v>
      </c>
      <c r="L761">
        <f t="shared" si="79"/>
        <v>19</v>
      </c>
      <c r="M761" s="3" t="e">
        <f t="shared" si="80"/>
        <v>#N/A</v>
      </c>
      <c r="N761" t="e">
        <f t="shared" si="81"/>
        <v>#N/A</v>
      </c>
      <c r="O761" s="3" t="e">
        <f t="shared" si="82"/>
        <v>#N/A</v>
      </c>
      <c r="P761" t="e">
        <f t="shared" si="83"/>
        <v>#N/A</v>
      </c>
    </row>
    <row r="762" spans="1:16" x14ac:dyDescent="0.25">
      <c r="A762">
        <v>179</v>
      </c>
      <c r="B762">
        <v>45</v>
      </c>
      <c r="C762" t="s">
        <v>18</v>
      </c>
      <c r="D762" s="3">
        <v>102050</v>
      </c>
      <c r="E762">
        <v>57</v>
      </c>
      <c r="F762">
        <v>8</v>
      </c>
      <c r="G762">
        <v>39</v>
      </c>
      <c r="H762" t="s">
        <v>16</v>
      </c>
      <c r="I762">
        <v>263.93</v>
      </c>
      <c r="J762" t="str">
        <f t="shared" si="77"/>
        <v>High</v>
      </c>
      <c r="K762" s="4" t="e">
        <f t="shared" si="78"/>
        <v>#N/A</v>
      </c>
      <c r="L762" t="e">
        <f t="shared" si="79"/>
        <v>#N/A</v>
      </c>
      <c r="M762" s="3" t="e">
        <f t="shared" si="80"/>
        <v>#N/A</v>
      </c>
      <c r="N762" t="e">
        <f t="shared" si="81"/>
        <v>#N/A</v>
      </c>
      <c r="O762" s="3">
        <f t="shared" si="82"/>
        <v>102050</v>
      </c>
      <c r="P762">
        <f t="shared" si="83"/>
        <v>57</v>
      </c>
    </row>
    <row r="763" spans="1:16" x14ac:dyDescent="0.25">
      <c r="A763">
        <v>193</v>
      </c>
      <c r="B763">
        <v>69</v>
      </c>
      <c r="C763" t="s">
        <v>18</v>
      </c>
      <c r="D763" s="3">
        <v>39509</v>
      </c>
      <c r="E763">
        <v>10</v>
      </c>
      <c r="F763">
        <v>6</v>
      </c>
      <c r="G763">
        <v>27</v>
      </c>
      <c r="H763" t="s">
        <v>16</v>
      </c>
      <c r="I763">
        <v>377.66</v>
      </c>
      <c r="J763" t="str">
        <f t="shared" si="77"/>
        <v>Low</v>
      </c>
      <c r="K763" s="4">
        <f t="shared" si="78"/>
        <v>39509</v>
      </c>
      <c r="L763">
        <f t="shared" si="79"/>
        <v>10</v>
      </c>
      <c r="M763" s="3" t="e">
        <f t="shared" si="80"/>
        <v>#N/A</v>
      </c>
      <c r="N763" t="e">
        <f t="shared" si="81"/>
        <v>#N/A</v>
      </c>
      <c r="O763" s="3" t="e">
        <f t="shared" si="82"/>
        <v>#N/A</v>
      </c>
      <c r="P763" t="e">
        <f t="shared" si="83"/>
        <v>#N/A</v>
      </c>
    </row>
    <row r="764" spans="1:16" x14ac:dyDescent="0.25">
      <c r="A764">
        <v>199</v>
      </c>
      <c r="B764">
        <v>45</v>
      </c>
      <c r="C764" t="s">
        <v>18</v>
      </c>
      <c r="D764" s="3">
        <v>82014</v>
      </c>
      <c r="E764">
        <v>30</v>
      </c>
      <c r="F764">
        <v>10</v>
      </c>
      <c r="G764">
        <v>15</v>
      </c>
      <c r="H764" t="s">
        <v>16</v>
      </c>
      <c r="I764">
        <v>81.91</v>
      </c>
      <c r="J764" t="str">
        <f t="shared" si="77"/>
        <v>Medium</v>
      </c>
      <c r="K764" s="4" t="e">
        <f t="shared" si="78"/>
        <v>#N/A</v>
      </c>
      <c r="L764" t="e">
        <f t="shared" si="79"/>
        <v>#N/A</v>
      </c>
      <c r="M764" s="3">
        <f t="shared" si="80"/>
        <v>82014</v>
      </c>
      <c r="N764">
        <f t="shared" si="81"/>
        <v>30</v>
      </c>
      <c r="O764" s="3" t="e">
        <f t="shared" si="82"/>
        <v>#N/A</v>
      </c>
      <c r="P764" t="e">
        <f t="shared" si="83"/>
        <v>#N/A</v>
      </c>
    </row>
    <row r="765" spans="1:16" x14ac:dyDescent="0.25">
      <c r="A765">
        <v>224</v>
      </c>
      <c r="B765">
        <v>51</v>
      </c>
      <c r="C765" t="s">
        <v>18</v>
      </c>
      <c r="D765" s="3">
        <v>33665</v>
      </c>
      <c r="E765">
        <v>12</v>
      </c>
      <c r="F765">
        <v>2</v>
      </c>
      <c r="G765">
        <v>2</v>
      </c>
      <c r="H765" t="s">
        <v>16</v>
      </c>
      <c r="I765">
        <v>139.07</v>
      </c>
      <c r="J765" t="str">
        <f t="shared" si="77"/>
        <v>Low</v>
      </c>
      <c r="K765" s="4">
        <f t="shared" si="78"/>
        <v>33665</v>
      </c>
      <c r="L765">
        <f t="shared" si="79"/>
        <v>12</v>
      </c>
      <c r="M765" s="3" t="e">
        <f t="shared" si="80"/>
        <v>#N/A</v>
      </c>
      <c r="N765" t="e">
        <f t="shared" si="81"/>
        <v>#N/A</v>
      </c>
      <c r="O765" s="3" t="e">
        <f t="shared" si="82"/>
        <v>#N/A</v>
      </c>
      <c r="P765" t="e">
        <f t="shared" si="83"/>
        <v>#N/A</v>
      </c>
    </row>
    <row r="766" spans="1:16" x14ac:dyDescent="0.25">
      <c r="A766">
        <v>233</v>
      </c>
      <c r="B766">
        <v>41</v>
      </c>
      <c r="C766" t="s">
        <v>18</v>
      </c>
      <c r="D766" s="3">
        <v>88312</v>
      </c>
      <c r="E766">
        <v>22</v>
      </c>
      <c r="F766">
        <v>6</v>
      </c>
      <c r="G766">
        <v>31</v>
      </c>
      <c r="H766" t="s">
        <v>16</v>
      </c>
      <c r="I766">
        <v>212.53</v>
      </c>
      <c r="J766" t="str">
        <f t="shared" si="77"/>
        <v>Medium</v>
      </c>
      <c r="K766" s="4" t="e">
        <f t="shared" si="78"/>
        <v>#N/A</v>
      </c>
      <c r="L766" t="e">
        <f t="shared" si="79"/>
        <v>#N/A</v>
      </c>
      <c r="M766" s="3">
        <f t="shared" si="80"/>
        <v>88312</v>
      </c>
      <c r="N766">
        <f t="shared" si="81"/>
        <v>22</v>
      </c>
      <c r="O766" s="3" t="e">
        <f t="shared" si="82"/>
        <v>#N/A</v>
      </c>
      <c r="P766" t="e">
        <f t="shared" si="83"/>
        <v>#N/A</v>
      </c>
    </row>
    <row r="767" spans="1:16" x14ac:dyDescent="0.25">
      <c r="A767">
        <v>235</v>
      </c>
      <c r="B767">
        <v>19</v>
      </c>
      <c r="C767" t="s">
        <v>18</v>
      </c>
      <c r="D767" s="3">
        <v>41542</v>
      </c>
      <c r="E767">
        <v>21</v>
      </c>
      <c r="F767">
        <v>1</v>
      </c>
      <c r="G767">
        <v>22</v>
      </c>
      <c r="H767" t="s">
        <v>16</v>
      </c>
      <c r="I767">
        <v>132.88</v>
      </c>
      <c r="J767" t="str">
        <f t="shared" si="77"/>
        <v>Low</v>
      </c>
      <c r="K767" s="4">
        <f t="shared" si="78"/>
        <v>41542</v>
      </c>
      <c r="L767">
        <f t="shared" si="79"/>
        <v>21</v>
      </c>
      <c r="M767" s="3" t="e">
        <f t="shared" si="80"/>
        <v>#N/A</v>
      </c>
      <c r="N767" t="e">
        <f t="shared" si="81"/>
        <v>#N/A</v>
      </c>
      <c r="O767" s="3" t="e">
        <f t="shared" si="82"/>
        <v>#N/A</v>
      </c>
      <c r="P767" t="e">
        <f t="shared" si="83"/>
        <v>#N/A</v>
      </c>
    </row>
    <row r="768" spans="1:16" x14ac:dyDescent="0.25">
      <c r="A768">
        <v>239</v>
      </c>
      <c r="B768">
        <v>64</v>
      </c>
      <c r="C768" t="s">
        <v>18</v>
      </c>
      <c r="D768" s="3">
        <v>124599</v>
      </c>
      <c r="E768">
        <v>41</v>
      </c>
      <c r="F768">
        <v>9</v>
      </c>
      <c r="G768">
        <v>41</v>
      </c>
      <c r="H768" t="s">
        <v>16</v>
      </c>
      <c r="I768">
        <v>924.18</v>
      </c>
      <c r="J768" t="str">
        <f t="shared" si="77"/>
        <v>High</v>
      </c>
      <c r="K768" s="4" t="e">
        <f t="shared" si="78"/>
        <v>#N/A</v>
      </c>
      <c r="L768" t="e">
        <f t="shared" si="79"/>
        <v>#N/A</v>
      </c>
      <c r="M768" s="3" t="e">
        <f t="shared" si="80"/>
        <v>#N/A</v>
      </c>
      <c r="N768" t="e">
        <f t="shared" si="81"/>
        <v>#N/A</v>
      </c>
      <c r="O768" s="3">
        <f t="shared" si="82"/>
        <v>124599</v>
      </c>
      <c r="P768">
        <f t="shared" si="83"/>
        <v>41</v>
      </c>
    </row>
    <row r="769" spans="1:16" x14ac:dyDescent="0.25">
      <c r="A769">
        <v>240</v>
      </c>
      <c r="B769">
        <v>44</v>
      </c>
      <c r="C769" t="s">
        <v>18</v>
      </c>
      <c r="D769" s="3">
        <v>121975</v>
      </c>
      <c r="E769">
        <v>33</v>
      </c>
      <c r="F769">
        <v>6</v>
      </c>
      <c r="G769">
        <v>27</v>
      </c>
      <c r="H769" t="s">
        <v>16</v>
      </c>
      <c r="I769">
        <v>640.96</v>
      </c>
      <c r="J769" t="str">
        <f t="shared" si="77"/>
        <v>High</v>
      </c>
      <c r="K769" s="4" t="e">
        <f t="shared" si="78"/>
        <v>#N/A</v>
      </c>
      <c r="L769" t="e">
        <f t="shared" si="79"/>
        <v>#N/A</v>
      </c>
      <c r="M769" s="3" t="e">
        <f t="shared" si="80"/>
        <v>#N/A</v>
      </c>
      <c r="N769" t="e">
        <f t="shared" si="81"/>
        <v>#N/A</v>
      </c>
      <c r="O769" s="3">
        <f t="shared" si="82"/>
        <v>121975</v>
      </c>
      <c r="P769">
        <f t="shared" si="83"/>
        <v>33</v>
      </c>
    </row>
    <row r="770" spans="1:16" x14ac:dyDescent="0.25">
      <c r="A770">
        <v>276</v>
      </c>
      <c r="B770">
        <v>39</v>
      </c>
      <c r="C770" t="s">
        <v>18</v>
      </c>
      <c r="D770" s="3">
        <v>39931</v>
      </c>
      <c r="E770">
        <v>43</v>
      </c>
      <c r="F770">
        <v>1</v>
      </c>
      <c r="G770">
        <v>28</v>
      </c>
      <c r="H770" t="s">
        <v>16</v>
      </c>
      <c r="I770">
        <v>261.36</v>
      </c>
      <c r="J770" t="str">
        <f t="shared" ref="J770:J833" si="84">IF(D770&lt;50000,"Low",IF(D770&lt;100000,"Medium","High"))</f>
        <v>Low</v>
      </c>
      <c r="K770" s="4">
        <f t="shared" ref="K770:K833" si="85">IF($J770="Low",$D770,NA())</f>
        <v>39931</v>
      </c>
      <c r="L770">
        <f t="shared" ref="L770:L833" si="86">IF($J770="Low",$E770,NA())</f>
        <v>43</v>
      </c>
      <c r="M770" s="3" t="e">
        <f t="shared" ref="M770:M833" si="87">IF($J770="Medium",$D770,NA())</f>
        <v>#N/A</v>
      </c>
      <c r="N770" t="e">
        <f t="shared" ref="N770:N833" si="88">IF($J770="Medium",$E770,NA())</f>
        <v>#N/A</v>
      </c>
      <c r="O770" s="3" t="e">
        <f t="shared" ref="O770:O833" si="89">IF($J770="High",$D770,NA())</f>
        <v>#N/A</v>
      </c>
      <c r="P770" t="e">
        <f t="shared" ref="P770:P833" si="90">IF($J770="High",$E770,NA())</f>
        <v>#N/A</v>
      </c>
    </row>
    <row r="771" spans="1:16" x14ac:dyDescent="0.25">
      <c r="A771">
        <v>301</v>
      </c>
      <c r="B771">
        <v>52</v>
      </c>
      <c r="C771" t="s">
        <v>18</v>
      </c>
      <c r="D771" s="3">
        <v>106147</v>
      </c>
      <c r="E771">
        <v>2</v>
      </c>
      <c r="F771">
        <v>6</v>
      </c>
      <c r="G771">
        <v>19</v>
      </c>
      <c r="H771" t="s">
        <v>16</v>
      </c>
      <c r="I771">
        <v>412.65</v>
      </c>
      <c r="J771" t="str">
        <f t="shared" si="84"/>
        <v>High</v>
      </c>
      <c r="K771" s="4" t="e">
        <f t="shared" si="85"/>
        <v>#N/A</v>
      </c>
      <c r="L771" t="e">
        <f t="shared" si="86"/>
        <v>#N/A</v>
      </c>
      <c r="M771" s="3" t="e">
        <f t="shared" si="87"/>
        <v>#N/A</v>
      </c>
      <c r="N771" t="e">
        <f t="shared" si="88"/>
        <v>#N/A</v>
      </c>
      <c r="O771" s="3">
        <f t="shared" si="89"/>
        <v>106147</v>
      </c>
      <c r="P771">
        <f t="shared" si="90"/>
        <v>2</v>
      </c>
    </row>
    <row r="772" spans="1:16" x14ac:dyDescent="0.25">
      <c r="A772">
        <v>309</v>
      </c>
      <c r="B772">
        <v>64</v>
      </c>
      <c r="C772" t="s">
        <v>18</v>
      </c>
      <c r="D772" s="3">
        <v>96182</v>
      </c>
      <c r="E772">
        <v>44</v>
      </c>
      <c r="F772">
        <v>4</v>
      </c>
      <c r="G772">
        <v>8</v>
      </c>
      <c r="H772" t="s">
        <v>16</v>
      </c>
      <c r="I772">
        <v>509.31</v>
      </c>
      <c r="J772" t="str">
        <f t="shared" si="84"/>
        <v>Medium</v>
      </c>
      <c r="K772" s="4" t="e">
        <f t="shared" si="85"/>
        <v>#N/A</v>
      </c>
      <c r="L772" t="e">
        <f t="shared" si="86"/>
        <v>#N/A</v>
      </c>
      <c r="M772" s="3">
        <f t="shared" si="87"/>
        <v>96182</v>
      </c>
      <c r="N772">
        <f t="shared" si="88"/>
        <v>44</v>
      </c>
      <c r="O772" s="3" t="e">
        <f t="shared" si="89"/>
        <v>#N/A</v>
      </c>
      <c r="P772" t="e">
        <f t="shared" si="90"/>
        <v>#N/A</v>
      </c>
    </row>
    <row r="773" spans="1:16" x14ac:dyDescent="0.25">
      <c r="A773">
        <v>328</v>
      </c>
      <c r="B773">
        <v>41</v>
      </c>
      <c r="C773" t="s">
        <v>18</v>
      </c>
      <c r="D773" s="3">
        <v>64634</v>
      </c>
      <c r="E773">
        <v>55</v>
      </c>
      <c r="F773">
        <v>9</v>
      </c>
      <c r="G773">
        <v>44</v>
      </c>
      <c r="H773" t="s">
        <v>16</v>
      </c>
      <c r="I773">
        <v>488.07</v>
      </c>
      <c r="J773" t="str">
        <f t="shared" si="84"/>
        <v>Medium</v>
      </c>
      <c r="K773" s="4" t="e">
        <f t="shared" si="85"/>
        <v>#N/A</v>
      </c>
      <c r="L773" t="e">
        <f t="shared" si="86"/>
        <v>#N/A</v>
      </c>
      <c r="M773" s="3">
        <f t="shared" si="87"/>
        <v>64634</v>
      </c>
      <c r="N773">
        <f t="shared" si="88"/>
        <v>55</v>
      </c>
      <c r="O773" s="3" t="e">
        <f t="shared" si="89"/>
        <v>#N/A</v>
      </c>
      <c r="P773" t="e">
        <f t="shared" si="90"/>
        <v>#N/A</v>
      </c>
    </row>
    <row r="774" spans="1:16" x14ac:dyDescent="0.25">
      <c r="A774">
        <v>375</v>
      </c>
      <c r="B774">
        <v>33</v>
      </c>
      <c r="C774" t="s">
        <v>18</v>
      </c>
      <c r="D774" s="3">
        <v>58367</v>
      </c>
      <c r="E774">
        <v>11</v>
      </c>
      <c r="F774">
        <v>4</v>
      </c>
      <c r="G774">
        <v>29</v>
      </c>
      <c r="H774" t="s">
        <v>16</v>
      </c>
      <c r="I774">
        <v>826.87</v>
      </c>
      <c r="J774" t="str">
        <f t="shared" si="84"/>
        <v>Medium</v>
      </c>
      <c r="K774" s="4" t="e">
        <f t="shared" si="85"/>
        <v>#N/A</v>
      </c>
      <c r="L774" t="e">
        <f t="shared" si="86"/>
        <v>#N/A</v>
      </c>
      <c r="M774" s="3">
        <f t="shared" si="87"/>
        <v>58367</v>
      </c>
      <c r="N774">
        <f t="shared" si="88"/>
        <v>11</v>
      </c>
      <c r="O774" s="3" t="e">
        <f t="shared" si="89"/>
        <v>#N/A</v>
      </c>
      <c r="P774" t="e">
        <f t="shared" si="90"/>
        <v>#N/A</v>
      </c>
    </row>
    <row r="775" spans="1:16" x14ac:dyDescent="0.25">
      <c r="A775">
        <v>399</v>
      </c>
      <c r="B775">
        <v>19</v>
      </c>
      <c r="C775" t="s">
        <v>18</v>
      </c>
      <c r="D775" s="3">
        <v>69790</v>
      </c>
      <c r="E775">
        <v>3</v>
      </c>
      <c r="F775">
        <v>9</v>
      </c>
      <c r="G775">
        <v>38</v>
      </c>
      <c r="H775" t="s">
        <v>16</v>
      </c>
      <c r="I775">
        <v>596.63</v>
      </c>
      <c r="J775" t="str">
        <f t="shared" si="84"/>
        <v>Medium</v>
      </c>
      <c r="K775" s="4" t="e">
        <f t="shared" si="85"/>
        <v>#N/A</v>
      </c>
      <c r="L775" t="e">
        <f t="shared" si="86"/>
        <v>#N/A</v>
      </c>
      <c r="M775" s="3">
        <f t="shared" si="87"/>
        <v>69790</v>
      </c>
      <c r="N775">
        <f t="shared" si="88"/>
        <v>3</v>
      </c>
      <c r="O775" s="3" t="e">
        <f t="shared" si="89"/>
        <v>#N/A</v>
      </c>
      <c r="P775" t="e">
        <f t="shared" si="90"/>
        <v>#N/A</v>
      </c>
    </row>
    <row r="776" spans="1:16" x14ac:dyDescent="0.25">
      <c r="A776">
        <v>414</v>
      </c>
      <c r="B776">
        <v>69</v>
      </c>
      <c r="C776" t="s">
        <v>18</v>
      </c>
      <c r="D776" s="3">
        <v>117737</v>
      </c>
      <c r="E776">
        <v>6</v>
      </c>
      <c r="F776">
        <v>4</v>
      </c>
      <c r="G776">
        <v>9</v>
      </c>
      <c r="H776" t="s">
        <v>16</v>
      </c>
      <c r="I776">
        <v>877.51</v>
      </c>
      <c r="J776" t="str">
        <f t="shared" si="84"/>
        <v>High</v>
      </c>
      <c r="K776" s="4" t="e">
        <f t="shared" si="85"/>
        <v>#N/A</v>
      </c>
      <c r="L776" t="e">
        <f t="shared" si="86"/>
        <v>#N/A</v>
      </c>
      <c r="M776" s="3" t="e">
        <f t="shared" si="87"/>
        <v>#N/A</v>
      </c>
      <c r="N776" t="e">
        <f t="shared" si="88"/>
        <v>#N/A</v>
      </c>
      <c r="O776" s="3">
        <f t="shared" si="89"/>
        <v>117737</v>
      </c>
      <c r="P776">
        <f t="shared" si="90"/>
        <v>6</v>
      </c>
    </row>
    <row r="777" spans="1:16" x14ac:dyDescent="0.25">
      <c r="A777">
        <v>445</v>
      </c>
      <c r="B777">
        <v>62</v>
      </c>
      <c r="C777" t="s">
        <v>18</v>
      </c>
      <c r="D777" s="3">
        <v>75974</v>
      </c>
      <c r="E777">
        <v>68</v>
      </c>
      <c r="F777">
        <v>4</v>
      </c>
      <c r="G777">
        <v>46</v>
      </c>
      <c r="H777" t="s">
        <v>16</v>
      </c>
      <c r="I777">
        <v>180.09</v>
      </c>
      <c r="J777" t="str">
        <f t="shared" si="84"/>
        <v>Medium</v>
      </c>
      <c r="K777" s="4" t="e">
        <f t="shared" si="85"/>
        <v>#N/A</v>
      </c>
      <c r="L777" t="e">
        <f t="shared" si="86"/>
        <v>#N/A</v>
      </c>
      <c r="M777" s="3">
        <f t="shared" si="87"/>
        <v>75974</v>
      </c>
      <c r="N777">
        <f t="shared" si="88"/>
        <v>68</v>
      </c>
      <c r="O777" s="3" t="e">
        <f t="shared" si="89"/>
        <v>#N/A</v>
      </c>
      <c r="P777" t="e">
        <f t="shared" si="90"/>
        <v>#N/A</v>
      </c>
    </row>
    <row r="778" spans="1:16" x14ac:dyDescent="0.25">
      <c r="A778">
        <v>474</v>
      </c>
      <c r="B778">
        <v>54</v>
      </c>
      <c r="C778" t="s">
        <v>18</v>
      </c>
      <c r="D778" s="3">
        <v>111261</v>
      </c>
      <c r="E778">
        <v>56</v>
      </c>
      <c r="F778">
        <v>1</v>
      </c>
      <c r="G778">
        <v>44</v>
      </c>
      <c r="H778" t="s">
        <v>16</v>
      </c>
      <c r="I778">
        <v>216.09</v>
      </c>
      <c r="J778" t="str">
        <f t="shared" si="84"/>
        <v>High</v>
      </c>
      <c r="K778" s="4" t="e">
        <f t="shared" si="85"/>
        <v>#N/A</v>
      </c>
      <c r="L778" t="e">
        <f t="shared" si="86"/>
        <v>#N/A</v>
      </c>
      <c r="M778" s="3" t="e">
        <f t="shared" si="87"/>
        <v>#N/A</v>
      </c>
      <c r="N778" t="e">
        <f t="shared" si="88"/>
        <v>#N/A</v>
      </c>
      <c r="O778" s="3">
        <f t="shared" si="89"/>
        <v>111261</v>
      </c>
      <c r="P778">
        <f t="shared" si="90"/>
        <v>56</v>
      </c>
    </row>
    <row r="779" spans="1:16" x14ac:dyDescent="0.25">
      <c r="A779">
        <v>483</v>
      </c>
      <c r="B779">
        <v>44</v>
      </c>
      <c r="C779" t="s">
        <v>18</v>
      </c>
      <c r="D779" s="3">
        <v>43069</v>
      </c>
      <c r="E779">
        <v>55</v>
      </c>
      <c r="F779">
        <v>6</v>
      </c>
      <c r="G779">
        <v>33</v>
      </c>
      <c r="H779" t="s">
        <v>16</v>
      </c>
      <c r="I779">
        <v>501.34</v>
      </c>
      <c r="J779" t="str">
        <f t="shared" si="84"/>
        <v>Low</v>
      </c>
      <c r="K779" s="4">
        <f t="shared" si="85"/>
        <v>43069</v>
      </c>
      <c r="L779">
        <f t="shared" si="86"/>
        <v>55</v>
      </c>
      <c r="M779" s="3" t="e">
        <f t="shared" si="87"/>
        <v>#N/A</v>
      </c>
      <c r="N779" t="e">
        <f t="shared" si="88"/>
        <v>#N/A</v>
      </c>
      <c r="O779" s="3" t="e">
        <f t="shared" si="89"/>
        <v>#N/A</v>
      </c>
      <c r="P779" t="e">
        <f t="shared" si="90"/>
        <v>#N/A</v>
      </c>
    </row>
    <row r="780" spans="1:16" x14ac:dyDescent="0.25">
      <c r="A780">
        <v>491</v>
      </c>
      <c r="B780">
        <v>22</v>
      </c>
      <c r="C780" t="s">
        <v>18</v>
      </c>
      <c r="D780" s="3">
        <v>46900</v>
      </c>
      <c r="E780">
        <v>70</v>
      </c>
      <c r="F780">
        <v>1</v>
      </c>
      <c r="G780">
        <v>24</v>
      </c>
      <c r="H780" t="s">
        <v>16</v>
      </c>
      <c r="I780">
        <v>325.45999999999998</v>
      </c>
      <c r="J780" t="str">
        <f t="shared" si="84"/>
        <v>Low</v>
      </c>
      <c r="K780" s="4">
        <f t="shared" si="85"/>
        <v>46900</v>
      </c>
      <c r="L780">
        <f t="shared" si="86"/>
        <v>70</v>
      </c>
      <c r="M780" s="3" t="e">
        <f t="shared" si="87"/>
        <v>#N/A</v>
      </c>
      <c r="N780" t="e">
        <f t="shared" si="88"/>
        <v>#N/A</v>
      </c>
      <c r="O780" s="3" t="e">
        <f t="shared" si="89"/>
        <v>#N/A</v>
      </c>
      <c r="P780" t="e">
        <f t="shared" si="90"/>
        <v>#N/A</v>
      </c>
    </row>
    <row r="781" spans="1:16" x14ac:dyDescent="0.25">
      <c r="A781">
        <v>518</v>
      </c>
      <c r="B781">
        <v>45</v>
      </c>
      <c r="C781" t="s">
        <v>18</v>
      </c>
      <c r="D781" s="3">
        <v>110280</v>
      </c>
      <c r="E781">
        <v>85</v>
      </c>
      <c r="F781">
        <v>4</v>
      </c>
      <c r="G781">
        <v>21</v>
      </c>
      <c r="H781" t="s">
        <v>16</v>
      </c>
      <c r="I781">
        <v>944.07</v>
      </c>
      <c r="J781" t="str">
        <f t="shared" si="84"/>
        <v>High</v>
      </c>
      <c r="K781" s="4" t="e">
        <f t="shared" si="85"/>
        <v>#N/A</v>
      </c>
      <c r="L781" t="e">
        <f t="shared" si="86"/>
        <v>#N/A</v>
      </c>
      <c r="M781" s="3" t="e">
        <f t="shared" si="87"/>
        <v>#N/A</v>
      </c>
      <c r="N781" t="e">
        <f t="shared" si="88"/>
        <v>#N/A</v>
      </c>
      <c r="O781" s="3">
        <f t="shared" si="89"/>
        <v>110280</v>
      </c>
      <c r="P781">
        <f t="shared" si="90"/>
        <v>85</v>
      </c>
    </row>
    <row r="782" spans="1:16" x14ac:dyDescent="0.25">
      <c r="A782">
        <v>543</v>
      </c>
      <c r="B782">
        <v>68</v>
      </c>
      <c r="C782" t="s">
        <v>18</v>
      </c>
      <c r="D782" s="3">
        <v>40478</v>
      </c>
      <c r="E782">
        <v>22</v>
      </c>
      <c r="F782">
        <v>4</v>
      </c>
      <c r="G782">
        <v>46</v>
      </c>
      <c r="H782" t="s">
        <v>16</v>
      </c>
      <c r="I782">
        <v>954.91</v>
      </c>
      <c r="J782" t="str">
        <f t="shared" si="84"/>
        <v>Low</v>
      </c>
      <c r="K782" s="4">
        <f t="shared" si="85"/>
        <v>40478</v>
      </c>
      <c r="L782">
        <f t="shared" si="86"/>
        <v>22</v>
      </c>
      <c r="M782" s="3" t="e">
        <f t="shared" si="87"/>
        <v>#N/A</v>
      </c>
      <c r="N782" t="e">
        <f t="shared" si="88"/>
        <v>#N/A</v>
      </c>
      <c r="O782" s="3" t="e">
        <f t="shared" si="89"/>
        <v>#N/A</v>
      </c>
      <c r="P782" t="e">
        <f t="shared" si="90"/>
        <v>#N/A</v>
      </c>
    </row>
    <row r="783" spans="1:16" x14ac:dyDescent="0.25">
      <c r="A783">
        <v>556</v>
      </c>
      <c r="B783">
        <v>25</v>
      </c>
      <c r="C783" t="s">
        <v>18</v>
      </c>
      <c r="D783" s="3">
        <v>52403</v>
      </c>
      <c r="E783">
        <v>53</v>
      </c>
      <c r="F783">
        <v>1</v>
      </c>
      <c r="G783">
        <v>14</v>
      </c>
      <c r="H783" t="s">
        <v>16</v>
      </c>
      <c r="I783">
        <v>73.34</v>
      </c>
      <c r="J783" t="str">
        <f t="shared" si="84"/>
        <v>Medium</v>
      </c>
      <c r="K783" s="4" t="e">
        <f t="shared" si="85"/>
        <v>#N/A</v>
      </c>
      <c r="L783" t="e">
        <f t="shared" si="86"/>
        <v>#N/A</v>
      </c>
      <c r="M783" s="3">
        <f t="shared" si="87"/>
        <v>52403</v>
      </c>
      <c r="N783">
        <f t="shared" si="88"/>
        <v>53</v>
      </c>
      <c r="O783" s="3" t="e">
        <f t="shared" si="89"/>
        <v>#N/A</v>
      </c>
      <c r="P783" t="e">
        <f t="shared" si="90"/>
        <v>#N/A</v>
      </c>
    </row>
    <row r="784" spans="1:16" x14ac:dyDescent="0.25">
      <c r="A784">
        <v>569</v>
      </c>
      <c r="B784">
        <v>29</v>
      </c>
      <c r="C784" t="s">
        <v>18</v>
      </c>
      <c r="D784" s="3">
        <v>59815</v>
      </c>
      <c r="E784">
        <v>43</v>
      </c>
      <c r="F784">
        <v>6</v>
      </c>
      <c r="G784">
        <v>24</v>
      </c>
      <c r="H784" t="s">
        <v>16</v>
      </c>
      <c r="I784">
        <v>105.48</v>
      </c>
      <c r="J784" t="str">
        <f t="shared" si="84"/>
        <v>Medium</v>
      </c>
      <c r="K784" s="4" t="e">
        <f t="shared" si="85"/>
        <v>#N/A</v>
      </c>
      <c r="L784" t="e">
        <f t="shared" si="86"/>
        <v>#N/A</v>
      </c>
      <c r="M784" s="3">
        <f t="shared" si="87"/>
        <v>59815</v>
      </c>
      <c r="N784">
        <f t="shared" si="88"/>
        <v>43</v>
      </c>
      <c r="O784" s="3" t="e">
        <f t="shared" si="89"/>
        <v>#N/A</v>
      </c>
      <c r="P784" t="e">
        <f t="shared" si="90"/>
        <v>#N/A</v>
      </c>
    </row>
    <row r="785" spans="1:16" x14ac:dyDescent="0.25">
      <c r="A785">
        <v>573</v>
      </c>
      <c r="B785">
        <v>40</v>
      </c>
      <c r="C785" t="s">
        <v>18</v>
      </c>
      <c r="D785" s="3">
        <v>143338</v>
      </c>
      <c r="E785">
        <v>6</v>
      </c>
      <c r="F785">
        <v>8</v>
      </c>
      <c r="G785">
        <v>26</v>
      </c>
      <c r="H785" t="s">
        <v>16</v>
      </c>
      <c r="I785">
        <v>491.07</v>
      </c>
      <c r="J785" t="str">
        <f t="shared" si="84"/>
        <v>High</v>
      </c>
      <c r="K785" s="4" t="e">
        <f t="shared" si="85"/>
        <v>#N/A</v>
      </c>
      <c r="L785" t="e">
        <f t="shared" si="86"/>
        <v>#N/A</v>
      </c>
      <c r="M785" s="3" t="e">
        <f t="shared" si="87"/>
        <v>#N/A</v>
      </c>
      <c r="N785" t="e">
        <f t="shared" si="88"/>
        <v>#N/A</v>
      </c>
      <c r="O785" s="3">
        <f t="shared" si="89"/>
        <v>143338</v>
      </c>
      <c r="P785">
        <f t="shared" si="90"/>
        <v>6</v>
      </c>
    </row>
    <row r="786" spans="1:16" x14ac:dyDescent="0.25">
      <c r="A786">
        <v>577</v>
      </c>
      <c r="B786">
        <v>32</v>
      </c>
      <c r="C786" t="s">
        <v>18</v>
      </c>
      <c r="D786" s="3">
        <v>46610</v>
      </c>
      <c r="E786">
        <v>92</v>
      </c>
      <c r="F786">
        <v>5</v>
      </c>
      <c r="G786">
        <v>9</v>
      </c>
      <c r="H786" t="s">
        <v>16</v>
      </c>
      <c r="I786">
        <v>409.85</v>
      </c>
      <c r="J786" t="str">
        <f t="shared" si="84"/>
        <v>Low</v>
      </c>
      <c r="K786" s="4">
        <f t="shared" si="85"/>
        <v>46610</v>
      </c>
      <c r="L786">
        <f t="shared" si="86"/>
        <v>92</v>
      </c>
      <c r="M786" s="3" t="e">
        <f t="shared" si="87"/>
        <v>#N/A</v>
      </c>
      <c r="N786" t="e">
        <f t="shared" si="88"/>
        <v>#N/A</v>
      </c>
      <c r="O786" s="3" t="e">
        <f t="shared" si="89"/>
        <v>#N/A</v>
      </c>
      <c r="P786" t="e">
        <f t="shared" si="90"/>
        <v>#N/A</v>
      </c>
    </row>
    <row r="787" spans="1:16" x14ac:dyDescent="0.25">
      <c r="A787">
        <v>580</v>
      </c>
      <c r="B787">
        <v>51</v>
      </c>
      <c r="C787" t="s">
        <v>18</v>
      </c>
      <c r="D787" s="3">
        <v>149744</v>
      </c>
      <c r="E787">
        <v>99</v>
      </c>
      <c r="F787">
        <v>1</v>
      </c>
      <c r="G787">
        <v>12</v>
      </c>
      <c r="H787" t="s">
        <v>16</v>
      </c>
      <c r="I787">
        <v>215.92</v>
      </c>
      <c r="J787" t="str">
        <f t="shared" si="84"/>
        <v>High</v>
      </c>
      <c r="K787" s="4" t="e">
        <f t="shared" si="85"/>
        <v>#N/A</v>
      </c>
      <c r="L787" t="e">
        <f t="shared" si="86"/>
        <v>#N/A</v>
      </c>
      <c r="M787" s="3" t="e">
        <f t="shared" si="87"/>
        <v>#N/A</v>
      </c>
      <c r="N787" t="e">
        <f t="shared" si="88"/>
        <v>#N/A</v>
      </c>
      <c r="O787" s="3">
        <f t="shared" si="89"/>
        <v>149744</v>
      </c>
      <c r="P787">
        <f t="shared" si="90"/>
        <v>99</v>
      </c>
    </row>
    <row r="788" spans="1:16" x14ac:dyDescent="0.25">
      <c r="A788">
        <v>601</v>
      </c>
      <c r="B788">
        <v>53</v>
      </c>
      <c r="C788" t="s">
        <v>18</v>
      </c>
      <c r="D788" s="3">
        <v>137854</v>
      </c>
      <c r="E788">
        <v>33</v>
      </c>
      <c r="F788">
        <v>10</v>
      </c>
      <c r="G788">
        <v>47</v>
      </c>
      <c r="H788" t="s">
        <v>16</v>
      </c>
      <c r="I788">
        <v>523.27</v>
      </c>
      <c r="J788" t="str">
        <f t="shared" si="84"/>
        <v>High</v>
      </c>
      <c r="K788" s="4" t="e">
        <f t="shared" si="85"/>
        <v>#N/A</v>
      </c>
      <c r="L788" t="e">
        <f t="shared" si="86"/>
        <v>#N/A</v>
      </c>
      <c r="M788" s="3" t="e">
        <f t="shared" si="87"/>
        <v>#N/A</v>
      </c>
      <c r="N788" t="e">
        <f t="shared" si="88"/>
        <v>#N/A</v>
      </c>
      <c r="O788" s="3">
        <f t="shared" si="89"/>
        <v>137854</v>
      </c>
      <c r="P788">
        <f t="shared" si="90"/>
        <v>33</v>
      </c>
    </row>
    <row r="789" spans="1:16" x14ac:dyDescent="0.25">
      <c r="A789">
        <v>631</v>
      </c>
      <c r="B789">
        <v>47</v>
      </c>
      <c r="C789" t="s">
        <v>18</v>
      </c>
      <c r="D789" s="3">
        <v>108766</v>
      </c>
      <c r="E789">
        <v>37</v>
      </c>
      <c r="F789">
        <v>7</v>
      </c>
      <c r="G789">
        <v>38</v>
      </c>
      <c r="H789" t="s">
        <v>16</v>
      </c>
      <c r="I789">
        <v>640.54999999999995</v>
      </c>
      <c r="J789" t="str">
        <f t="shared" si="84"/>
        <v>High</v>
      </c>
      <c r="K789" s="4" t="e">
        <f t="shared" si="85"/>
        <v>#N/A</v>
      </c>
      <c r="L789" t="e">
        <f t="shared" si="86"/>
        <v>#N/A</v>
      </c>
      <c r="M789" s="3" t="e">
        <f t="shared" si="87"/>
        <v>#N/A</v>
      </c>
      <c r="N789" t="e">
        <f t="shared" si="88"/>
        <v>#N/A</v>
      </c>
      <c r="O789" s="3">
        <f t="shared" si="89"/>
        <v>108766</v>
      </c>
      <c r="P789">
        <f t="shared" si="90"/>
        <v>37</v>
      </c>
    </row>
    <row r="790" spans="1:16" x14ac:dyDescent="0.25">
      <c r="A790">
        <v>648</v>
      </c>
      <c r="B790">
        <v>43</v>
      </c>
      <c r="C790" t="s">
        <v>18</v>
      </c>
      <c r="D790" s="3">
        <v>67979</v>
      </c>
      <c r="E790">
        <v>49</v>
      </c>
      <c r="F790">
        <v>2</v>
      </c>
      <c r="G790">
        <v>6</v>
      </c>
      <c r="H790" t="s">
        <v>16</v>
      </c>
      <c r="I790">
        <v>420.03</v>
      </c>
      <c r="J790" t="str">
        <f t="shared" si="84"/>
        <v>Medium</v>
      </c>
      <c r="K790" s="4" t="e">
        <f t="shared" si="85"/>
        <v>#N/A</v>
      </c>
      <c r="L790" t="e">
        <f t="shared" si="86"/>
        <v>#N/A</v>
      </c>
      <c r="M790" s="3">
        <f t="shared" si="87"/>
        <v>67979</v>
      </c>
      <c r="N790">
        <f t="shared" si="88"/>
        <v>49</v>
      </c>
      <c r="O790" s="3" t="e">
        <f t="shared" si="89"/>
        <v>#N/A</v>
      </c>
      <c r="P790" t="e">
        <f t="shared" si="90"/>
        <v>#N/A</v>
      </c>
    </row>
    <row r="791" spans="1:16" x14ac:dyDescent="0.25">
      <c r="A791">
        <v>663</v>
      </c>
      <c r="B791">
        <v>30</v>
      </c>
      <c r="C791" t="s">
        <v>18</v>
      </c>
      <c r="D791" s="3">
        <v>76658</v>
      </c>
      <c r="E791">
        <v>70</v>
      </c>
      <c r="F791">
        <v>3</v>
      </c>
      <c r="G791">
        <v>32</v>
      </c>
      <c r="H791" t="s">
        <v>16</v>
      </c>
      <c r="I791">
        <v>760.27</v>
      </c>
      <c r="J791" t="str">
        <f t="shared" si="84"/>
        <v>Medium</v>
      </c>
      <c r="K791" s="4" t="e">
        <f t="shared" si="85"/>
        <v>#N/A</v>
      </c>
      <c r="L791" t="e">
        <f t="shared" si="86"/>
        <v>#N/A</v>
      </c>
      <c r="M791" s="3">
        <f t="shared" si="87"/>
        <v>76658</v>
      </c>
      <c r="N791">
        <f t="shared" si="88"/>
        <v>70</v>
      </c>
      <c r="O791" s="3" t="e">
        <f t="shared" si="89"/>
        <v>#N/A</v>
      </c>
      <c r="P791" t="e">
        <f t="shared" si="90"/>
        <v>#N/A</v>
      </c>
    </row>
    <row r="792" spans="1:16" x14ac:dyDescent="0.25">
      <c r="A792">
        <v>676</v>
      </c>
      <c r="B792">
        <v>64</v>
      </c>
      <c r="C792" t="s">
        <v>18</v>
      </c>
      <c r="D792" s="3">
        <v>48169</v>
      </c>
      <c r="E792">
        <v>39</v>
      </c>
      <c r="F792">
        <v>5</v>
      </c>
      <c r="G792">
        <v>33</v>
      </c>
      <c r="H792" t="s">
        <v>16</v>
      </c>
      <c r="I792">
        <v>451.86</v>
      </c>
      <c r="J792" t="str">
        <f t="shared" si="84"/>
        <v>Low</v>
      </c>
      <c r="K792" s="4">
        <f t="shared" si="85"/>
        <v>48169</v>
      </c>
      <c r="L792">
        <f t="shared" si="86"/>
        <v>39</v>
      </c>
      <c r="M792" s="3" t="e">
        <f t="shared" si="87"/>
        <v>#N/A</v>
      </c>
      <c r="N792" t="e">
        <f t="shared" si="88"/>
        <v>#N/A</v>
      </c>
      <c r="O792" s="3" t="e">
        <f t="shared" si="89"/>
        <v>#N/A</v>
      </c>
      <c r="P792" t="e">
        <f t="shared" si="90"/>
        <v>#N/A</v>
      </c>
    </row>
    <row r="793" spans="1:16" x14ac:dyDescent="0.25">
      <c r="A793">
        <v>677</v>
      </c>
      <c r="B793">
        <v>51</v>
      </c>
      <c r="C793" t="s">
        <v>18</v>
      </c>
      <c r="D793" s="3">
        <v>146159</v>
      </c>
      <c r="E793">
        <v>99</v>
      </c>
      <c r="F793">
        <v>7</v>
      </c>
      <c r="G793">
        <v>38</v>
      </c>
      <c r="H793" t="s">
        <v>16</v>
      </c>
      <c r="I793">
        <v>808.89</v>
      </c>
      <c r="J793" t="str">
        <f t="shared" si="84"/>
        <v>High</v>
      </c>
      <c r="K793" s="4" t="e">
        <f t="shared" si="85"/>
        <v>#N/A</v>
      </c>
      <c r="L793" t="e">
        <f t="shared" si="86"/>
        <v>#N/A</v>
      </c>
      <c r="M793" s="3" t="e">
        <f t="shared" si="87"/>
        <v>#N/A</v>
      </c>
      <c r="N793" t="e">
        <f t="shared" si="88"/>
        <v>#N/A</v>
      </c>
      <c r="O793" s="3">
        <f t="shared" si="89"/>
        <v>146159</v>
      </c>
      <c r="P793">
        <f t="shared" si="90"/>
        <v>99</v>
      </c>
    </row>
    <row r="794" spans="1:16" x14ac:dyDescent="0.25">
      <c r="A794">
        <v>693</v>
      </c>
      <c r="B794">
        <v>28</v>
      </c>
      <c r="C794" t="s">
        <v>18</v>
      </c>
      <c r="D794" s="3">
        <v>142450</v>
      </c>
      <c r="E794">
        <v>80</v>
      </c>
      <c r="F794">
        <v>3</v>
      </c>
      <c r="G794">
        <v>22</v>
      </c>
      <c r="H794" t="s">
        <v>16</v>
      </c>
      <c r="I794">
        <v>471.87</v>
      </c>
      <c r="J794" t="str">
        <f t="shared" si="84"/>
        <v>High</v>
      </c>
      <c r="K794" s="4" t="e">
        <f t="shared" si="85"/>
        <v>#N/A</v>
      </c>
      <c r="L794" t="e">
        <f t="shared" si="86"/>
        <v>#N/A</v>
      </c>
      <c r="M794" s="3" t="e">
        <f t="shared" si="87"/>
        <v>#N/A</v>
      </c>
      <c r="N794" t="e">
        <f t="shared" si="88"/>
        <v>#N/A</v>
      </c>
      <c r="O794" s="3">
        <f t="shared" si="89"/>
        <v>142450</v>
      </c>
      <c r="P794">
        <f t="shared" si="90"/>
        <v>80</v>
      </c>
    </row>
    <row r="795" spans="1:16" x14ac:dyDescent="0.25">
      <c r="A795">
        <v>731</v>
      </c>
      <c r="B795">
        <v>53</v>
      </c>
      <c r="C795" t="s">
        <v>18</v>
      </c>
      <c r="D795" s="3">
        <v>52855</v>
      </c>
      <c r="E795">
        <v>12</v>
      </c>
      <c r="F795">
        <v>5</v>
      </c>
      <c r="G795">
        <v>33</v>
      </c>
      <c r="H795" t="s">
        <v>16</v>
      </c>
      <c r="I795">
        <v>444.09</v>
      </c>
      <c r="J795" t="str">
        <f t="shared" si="84"/>
        <v>Medium</v>
      </c>
      <c r="K795" s="4" t="e">
        <f t="shared" si="85"/>
        <v>#N/A</v>
      </c>
      <c r="L795" t="e">
        <f t="shared" si="86"/>
        <v>#N/A</v>
      </c>
      <c r="M795" s="3">
        <f t="shared" si="87"/>
        <v>52855</v>
      </c>
      <c r="N795">
        <f t="shared" si="88"/>
        <v>12</v>
      </c>
      <c r="O795" s="3" t="e">
        <f t="shared" si="89"/>
        <v>#N/A</v>
      </c>
      <c r="P795" t="e">
        <f t="shared" si="90"/>
        <v>#N/A</v>
      </c>
    </row>
    <row r="796" spans="1:16" x14ac:dyDescent="0.25">
      <c r="A796">
        <v>745</v>
      </c>
      <c r="B796">
        <v>30</v>
      </c>
      <c r="C796" t="s">
        <v>18</v>
      </c>
      <c r="D796" s="3">
        <v>64288</v>
      </c>
      <c r="E796">
        <v>93</v>
      </c>
      <c r="F796">
        <v>9</v>
      </c>
      <c r="G796">
        <v>43</v>
      </c>
      <c r="H796" t="s">
        <v>16</v>
      </c>
      <c r="I796">
        <v>825.85</v>
      </c>
      <c r="J796" t="str">
        <f t="shared" si="84"/>
        <v>Medium</v>
      </c>
      <c r="K796" s="4" t="e">
        <f t="shared" si="85"/>
        <v>#N/A</v>
      </c>
      <c r="L796" t="e">
        <f t="shared" si="86"/>
        <v>#N/A</v>
      </c>
      <c r="M796" s="3">
        <f t="shared" si="87"/>
        <v>64288</v>
      </c>
      <c r="N796">
        <f t="shared" si="88"/>
        <v>93</v>
      </c>
      <c r="O796" s="3" t="e">
        <f t="shared" si="89"/>
        <v>#N/A</v>
      </c>
      <c r="P796" t="e">
        <f t="shared" si="90"/>
        <v>#N/A</v>
      </c>
    </row>
    <row r="797" spans="1:16" x14ac:dyDescent="0.25">
      <c r="A797">
        <v>748</v>
      </c>
      <c r="B797">
        <v>57</v>
      </c>
      <c r="C797" t="s">
        <v>18</v>
      </c>
      <c r="D797" s="3">
        <v>58696</v>
      </c>
      <c r="E797">
        <v>69</v>
      </c>
      <c r="F797">
        <v>4</v>
      </c>
      <c r="G797">
        <v>29</v>
      </c>
      <c r="H797" t="s">
        <v>16</v>
      </c>
      <c r="I797">
        <v>570.87</v>
      </c>
      <c r="J797" t="str">
        <f t="shared" si="84"/>
        <v>Medium</v>
      </c>
      <c r="K797" s="4" t="e">
        <f t="shared" si="85"/>
        <v>#N/A</v>
      </c>
      <c r="L797" t="e">
        <f t="shared" si="86"/>
        <v>#N/A</v>
      </c>
      <c r="M797" s="3">
        <f t="shared" si="87"/>
        <v>58696</v>
      </c>
      <c r="N797">
        <f t="shared" si="88"/>
        <v>69</v>
      </c>
      <c r="O797" s="3" t="e">
        <f t="shared" si="89"/>
        <v>#N/A</v>
      </c>
      <c r="P797" t="e">
        <f t="shared" si="90"/>
        <v>#N/A</v>
      </c>
    </row>
    <row r="798" spans="1:16" x14ac:dyDescent="0.25">
      <c r="A798">
        <v>773</v>
      </c>
      <c r="B798">
        <v>51</v>
      </c>
      <c r="C798" t="s">
        <v>18</v>
      </c>
      <c r="D798" s="3">
        <v>70099</v>
      </c>
      <c r="E798">
        <v>42</v>
      </c>
      <c r="F798">
        <v>7</v>
      </c>
      <c r="G798">
        <v>12</v>
      </c>
      <c r="H798" t="s">
        <v>16</v>
      </c>
      <c r="I798">
        <v>481.56</v>
      </c>
      <c r="J798" t="str">
        <f t="shared" si="84"/>
        <v>Medium</v>
      </c>
      <c r="K798" s="4" t="e">
        <f t="shared" si="85"/>
        <v>#N/A</v>
      </c>
      <c r="L798" t="e">
        <f t="shared" si="86"/>
        <v>#N/A</v>
      </c>
      <c r="M798" s="3">
        <f t="shared" si="87"/>
        <v>70099</v>
      </c>
      <c r="N798">
        <f t="shared" si="88"/>
        <v>42</v>
      </c>
      <c r="O798" s="3" t="e">
        <f t="shared" si="89"/>
        <v>#N/A</v>
      </c>
      <c r="P798" t="e">
        <f t="shared" si="90"/>
        <v>#N/A</v>
      </c>
    </row>
    <row r="799" spans="1:16" x14ac:dyDescent="0.25">
      <c r="A799">
        <v>776</v>
      </c>
      <c r="B799">
        <v>31</v>
      </c>
      <c r="C799" t="s">
        <v>18</v>
      </c>
      <c r="D799" s="3">
        <v>123947</v>
      </c>
      <c r="E799">
        <v>25</v>
      </c>
      <c r="F799">
        <v>2</v>
      </c>
      <c r="G799">
        <v>39</v>
      </c>
      <c r="H799" t="s">
        <v>16</v>
      </c>
      <c r="I799">
        <v>355.67</v>
      </c>
      <c r="J799" t="str">
        <f t="shared" si="84"/>
        <v>High</v>
      </c>
      <c r="K799" s="4" t="e">
        <f t="shared" si="85"/>
        <v>#N/A</v>
      </c>
      <c r="L799" t="e">
        <f t="shared" si="86"/>
        <v>#N/A</v>
      </c>
      <c r="M799" s="3" t="e">
        <f t="shared" si="87"/>
        <v>#N/A</v>
      </c>
      <c r="N799" t="e">
        <f t="shared" si="88"/>
        <v>#N/A</v>
      </c>
      <c r="O799" s="3">
        <f t="shared" si="89"/>
        <v>123947</v>
      </c>
      <c r="P799">
        <f t="shared" si="90"/>
        <v>25</v>
      </c>
    </row>
    <row r="800" spans="1:16" x14ac:dyDescent="0.25">
      <c r="A800">
        <v>804</v>
      </c>
      <c r="B800">
        <v>59</v>
      </c>
      <c r="C800" t="s">
        <v>18</v>
      </c>
      <c r="D800" s="3">
        <v>58656</v>
      </c>
      <c r="E800">
        <v>47</v>
      </c>
      <c r="F800">
        <v>6</v>
      </c>
      <c r="G800">
        <v>6</v>
      </c>
      <c r="H800" t="s">
        <v>16</v>
      </c>
      <c r="I800">
        <v>246.07</v>
      </c>
      <c r="J800" t="str">
        <f t="shared" si="84"/>
        <v>Medium</v>
      </c>
      <c r="K800" s="4" t="e">
        <f t="shared" si="85"/>
        <v>#N/A</v>
      </c>
      <c r="L800" t="e">
        <f t="shared" si="86"/>
        <v>#N/A</v>
      </c>
      <c r="M800" s="3">
        <f t="shared" si="87"/>
        <v>58656</v>
      </c>
      <c r="N800">
        <f t="shared" si="88"/>
        <v>47</v>
      </c>
      <c r="O800" s="3" t="e">
        <f t="shared" si="89"/>
        <v>#N/A</v>
      </c>
      <c r="P800" t="e">
        <f t="shared" si="90"/>
        <v>#N/A</v>
      </c>
    </row>
    <row r="801" spans="1:16" x14ac:dyDescent="0.25">
      <c r="A801">
        <v>817</v>
      </c>
      <c r="B801">
        <v>37</v>
      </c>
      <c r="C801" t="s">
        <v>18</v>
      </c>
      <c r="D801" s="3">
        <v>115734</v>
      </c>
      <c r="E801">
        <v>87</v>
      </c>
      <c r="F801">
        <v>2</v>
      </c>
      <c r="G801">
        <v>50</v>
      </c>
      <c r="H801" t="s">
        <v>16</v>
      </c>
      <c r="I801">
        <v>646.4</v>
      </c>
      <c r="J801" t="str">
        <f t="shared" si="84"/>
        <v>High</v>
      </c>
      <c r="K801" s="4" t="e">
        <f t="shared" si="85"/>
        <v>#N/A</v>
      </c>
      <c r="L801" t="e">
        <f t="shared" si="86"/>
        <v>#N/A</v>
      </c>
      <c r="M801" s="3" t="e">
        <f t="shared" si="87"/>
        <v>#N/A</v>
      </c>
      <c r="N801" t="e">
        <f t="shared" si="88"/>
        <v>#N/A</v>
      </c>
      <c r="O801" s="3">
        <f t="shared" si="89"/>
        <v>115734</v>
      </c>
      <c r="P801">
        <f t="shared" si="90"/>
        <v>87</v>
      </c>
    </row>
    <row r="802" spans="1:16" x14ac:dyDescent="0.25">
      <c r="A802">
        <v>822</v>
      </c>
      <c r="B802">
        <v>26</v>
      </c>
      <c r="C802" t="s">
        <v>18</v>
      </c>
      <c r="D802" s="3">
        <v>34901</v>
      </c>
      <c r="E802">
        <v>31</v>
      </c>
      <c r="F802">
        <v>7</v>
      </c>
      <c r="G802">
        <v>9</v>
      </c>
      <c r="H802" t="s">
        <v>16</v>
      </c>
      <c r="I802">
        <v>667.8</v>
      </c>
      <c r="J802" t="str">
        <f t="shared" si="84"/>
        <v>Low</v>
      </c>
      <c r="K802" s="4">
        <f t="shared" si="85"/>
        <v>34901</v>
      </c>
      <c r="L802">
        <f t="shared" si="86"/>
        <v>31</v>
      </c>
      <c r="M802" s="3" t="e">
        <f t="shared" si="87"/>
        <v>#N/A</v>
      </c>
      <c r="N802" t="e">
        <f t="shared" si="88"/>
        <v>#N/A</v>
      </c>
      <c r="O802" s="3" t="e">
        <f t="shared" si="89"/>
        <v>#N/A</v>
      </c>
      <c r="P802" t="e">
        <f t="shared" si="90"/>
        <v>#N/A</v>
      </c>
    </row>
    <row r="803" spans="1:16" x14ac:dyDescent="0.25">
      <c r="A803">
        <v>835</v>
      </c>
      <c r="B803">
        <v>41</v>
      </c>
      <c r="C803" t="s">
        <v>18</v>
      </c>
      <c r="D803" s="3">
        <v>68147</v>
      </c>
      <c r="E803">
        <v>75</v>
      </c>
      <c r="F803">
        <v>2</v>
      </c>
      <c r="G803">
        <v>33</v>
      </c>
      <c r="H803" t="s">
        <v>16</v>
      </c>
      <c r="I803">
        <v>553.35</v>
      </c>
      <c r="J803" t="str">
        <f t="shared" si="84"/>
        <v>Medium</v>
      </c>
      <c r="K803" s="4" t="e">
        <f t="shared" si="85"/>
        <v>#N/A</v>
      </c>
      <c r="L803" t="e">
        <f t="shared" si="86"/>
        <v>#N/A</v>
      </c>
      <c r="M803" s="3">
        <f t="shared" si="87"/>
        <v>68147</v>
      </c>
      <c r="N803">
        <f t="shared" si="88"/>
        <v>75</v>
      </c>
      <c r="O803" s="3" t="e">
        <f t="shared" si="89"/>
        <v>#N/A</v>
      </c>
      <c r="P803" t="e">
        <f t="shared" si="90"/>
        <v>#N/A</v>
      </c>
    </row>
    <row r="804" spans="1:16" x14ac:dyDescent="0.25">
      <c r="A804">
        <v>837</v>
      </c>
      <c r="B804">
        <v>69</v>
      </c>
      <c r="C804" t="s">
        <v>18</v>
      </c>
      <c r="D804" s="3">
        <v>106629</v>
      </c>
      <c r="E804">
        <v>4</v>
      </c>
      <c r="F804">
        <v>7</v>
      </c>
      <c r="G804">
        <v>9</v>
      </c>
      <c r="H804" t="s">
        <v>16</v>
      </c>
      <c r="I804">
        <v>443.22</v>
      </c>
      <c r="J804" t="str">
        <f t="shared" si="84"/>
        <v>High</v>
      </c>
      <c r="K804" s="4" t="e">
        <f t="shared" si="85"/>
        <v>#N/A</v>
      </c>
      <c r="L804" t="e">
        <f t="shared" si="86"/>
        <v>#N/A</v>
      </c>
      <c r="M804" s="3" t="e">
        <f t="shared" si="87"/>
        <v>#N/A</v>
      </c>
      <c r="N804" t="e">
        <f t="shared" si="88"/>
        <v>#N/A</v>
      </c>
      <c r="O804" s="3">
        <f t="shared" si="89"/>
        <v>106629</v>
      </c>
      <c r="P804">
        <f t="shared" si="90"/>
        <v>4</v>
      </c>
    </row>
    <row r="805" spans="1:16" x14ac:dyDescent="0.25">
      <c r="A805">
        <v>840</v>
      </c>
      <c r="B805">
        <v>58</v>
      </c>
      <c r="C805" t="s">
        <v>18</v>
      </c>
      <c r="D805" s="3">
        <v>68764</v>
      </c>
      <c r="E805">
        <v>96</v>
      </c>
      <c r="F805">
        <v>6</v>
      </c>
      <c r="G805">
        <v>31</v>
      </c>
      <c r="H805" t="s">
        <v>16</v>
      </c>
      <c r="I805">
        <v>723.66</v>
      </c>
      <c r="J805" t="str">
        <f t="shared" si="84"/>
        <v>Medium</v>
      </c>
      <c r="K805" s="4" t="e">
        <f t="shared" si="85"/>
        <v>#N/A</v>
      </c>
      <c r="L805" t="e">
        <f t="shared" si="86"/>
        <v>#N/A</v>
      </c>
      <c r="M805" s="3">
        <f t="shared" si="87"/>
        <v>68764</v>
      </c>
      <c r="N805">
        <f t="shared" si="88"/>
        <v>96</v>
      </c>
      <c r="O805" s="3" t="e">
        <f t="shared" si="89"/>
        <v>#N/A</v>
      </c>
      <c r="P805" t="e">
        <f t="shared" si="90"/>
        <v>#N/A</v>
      </c>
    </row>
    <row r="806" spans="1:16" x14ac:dyDescent="0.25">
      <c r="A806">
        <v>852</v>
      </c>
      <c r="B806">
        <v>64</v>
      </c>
      <c r="C806" t="s">
        <v>18</v>
      </c>
      <c r="D806" s="3">
        <v>63123</v>
      </c>
      <c r="E806">
        <v>88</v>
      </c>
      <c r="F806">
        <v>1</v>
      </c>
      <c r="G806">
        <v>16</v>
      </c>
      <c r="H806" t="s">
        <v>16</v>
      </c>
      <c r="I806">
        <v>330.95</v>
      </c>
      <c r="J806" t="str">
        <f t="shared" si="84"/>
        <v>Medium</v>
      </c>
      <c r="K806" s="4" t="e">
        <f t="shared" si="85"/>
        <v>#N/A</v>
      </c>
      <c r="L806" t="e">
        <f t="shared" si="86"/>
        <v>#N/A</v>
      </c>
      <c r="M806" s="3">
        <f t="shared" si="87"/>
        <v>63123</v>
      </c>
      <c r="N806">
        <f t="shared" si="88"/>
        <v>88</v>
      </c>
      <c r="O806" s="3" t="e">
        <f t="shared" si="89"/>
        <v>#N/A</v>
      </c>
      <c r="P806" t="e">
        <f t="shared" si="90"/>
        <v>#N/A</v>
      </c>
    </row>
    <row r="807" spans="1:16" x14ac:dyDescent="0.25">
      <c r="A807">
        <v>854</v>
      </c>
      <c r="B807">
        <v>27</v>
      </c>
      <c r="C807" t="s">
        <v>18</v>
      </c>
      <c r="D807" s="3">
        <v>40595</v>
      </c>
      <c r="E807">
        <v>84</v>
      </c>
      <c r="F807">
        <v>6</v>
      </c>
      <c r="G807">
        <v>15</v>
      </c>
      <c r="H807" t="s">
        <v>16</v>
      </c>
      <c r="I807">
        <v>268.76</v>
      </c>
      <c r="J807" t="str">
        <f t="shared" si="84"/>
        <v>Low</v>
      </c>
      <c r="K807" s="4">
        <f t="shared" si="85"/>
        <v>40595</v>
      </c>
      <c r="L807">
        <f t="shared" si="86"/>
        <v>84</v>
      </c>
      <c r="M807" s="3" t="e">
        <f t="shared" si="87"/>
        <v>#N/A</v>
      </c>
      <c r="N807" t="e">
        <f t="shared" si="88"/>
        <v>#N/A</v>
      </c>
      <c r="O807" s="3" t="e">
        <f t="shared" si="89"/>
        <v>#N/A</v>
      </c>
      <c r="P807" t="e">
        <f t="shared" si="90"/>
        <v>#N/A</v>
      </c>
    </row>
    <row r="808" spans="1:16" x14ac:dyDescent="0.25">
      <c r="A808">
        <v>881</v>
      </c>
      <c r="B808">
        <v>47</v>
      </c>
      <c r="C808" t="s">
        <v>18</v>
      </c>
      <c r="D808" s="3">
        <v>133264</v>
      </c>
      <c r="E808">
        <v>93</v>
      </c>
      <c r="F808">
        <v>2</v>
      </c>
      <c r="G808">
        <v>21</v>
      </c>
      <c r="H808" t="s">
        <v>16</v>
      </c>
      <c r="I808">
        <v>11.01</v>
      </c>
      <c r="J808" t="str">
        <f t="shared" si="84"/>
        <v>High</v>
      </c>
      <c r="K808" s="4" t="e">
        <f t="shared" si="85"/>
        <v>#N/A</v>
      </c>
      <c r="L808" t="e">
        <f t="shared" si="86"/>
        <v>#N/A</v>
      </c>
      <c r="M808" s="3" t="e">
        <f t="shared" si="87"/>
        <v>#N/A</v>
      </c>
      <c r="N808" t="e">
        <f t="shared" si="88"/>
        <v>#N/A</v>
      </c>
      <c r="O808" s="3">
        <f t="shared" si="89"/>
        <v>133264</v>
      </c>
      <c r="P808">
        <f t="shared" si="90"/>
        <v>93</v>
      </c>
    </row>
    <row r="809" spans="1:16" x14ac:dyDescent="0.25">
      <c r="A809">
        <v>904</v>
      </c>
      <c r="B809">
        <v>64</v>
      </c>
      <c r="C809" t="s">
        <v>18</v>
      </c>
      <c r="D809" s="3">
        <v>122557</v>
      </c>
      <c r="E809">
        <v>87</v>
      </c>
      <c r="F809">
        <v>2</v>
      </c>
      <c r="G809">
        <v>5</v>
      </c>
      <c r="H809" t="s">
        <v>16</v>
      </c>
      <c r="I809">
        <v>344.59</v>
      </c>
      <c r="J809" t="str">
        <f t="shared" si="84"/>
        <v>High</v>
      </c>
      <c r="K809" s="4" t="e">
        <f t="shared" si="85"/>
        <v>#N/A</v>
      </c>
      <c r="L809" t="e">
        <f t="shared" si="86"/>
        <v>#N/A</v>
      </c>
      <c r="M809" s="3" t="e">
        <f t="shared" si="87"/>
        <v>#N/A</v>
      </c>
      <c r="N809" t="e">
        <f t="shared" si="88"/>
        <v>#N/A</v>
      </c>
      <c r="O809" s="3">
        <f t="shared" si="89"/>
        <v>122557</v>
      </c>
      <c r="P809">
        <f t="shared" si="90"/>
        <v>87</v>
      </c>
    </row>
    <row r="810" spans="1:16" x14ac:dyDescent="0.25">
      <c r="A810">
        <v>909</v>
      </c>
      <c r="B810">
        <v>27</v>
      </c>
      <c r="C810" t="s">
        <v>18</v>
      </c>
      <c r="D810" s="3">
        <v>89618</v>
      </c>
      <c r="E810">
        <v>49</v>
      </c>
      <c r="F810">
        <v>8</v>
      </c>
      <c r="G810">
        <v>12</v>
      </c>
      <c r="H810" t="s">
        <v>16</v>
      </c>
      <c r="I810">
        <v>831.05</v>
      </c>
      <c r="J810" t="str">
        <f t="shared" si="84"/>
        <v>Medium</v>
      </c>
      <c r="K810" s="4" t="e">
        <f t="shared" si="85"/>
        <v>#N/A</v>
      </c>
      <c r="L810" t="e">
        <f t="shared" si="86"/>
        <v>#N/A</v>
      </c>
      <c r="M810" s="3">
        <f t="shared" si="87"/>
        <v>89618</v>
      </c>
      <c r="N810">
        <f t="shared" si="88"/>
        <v>49</v>
      </c>
      <c r="O810" s="3" t="e">
        <f t="shared" si="89"/>
        <v>#N/A</v>
      </c>
      <c r="P810" t="e">
        <f t="shared" si="90"/>
        <v>#N/A</v>
      </c>
    </row>
    <row r="811" spans="1:16" x14ac:dyDescent="0.25">
      <c r="A811">
        <v>918</v>
      </c>
      <c r="B811">
        <v>36</v>
      </c>
      <c r="C811" t="s">
        <v>18</v>
      </c>
      <c r="D811" s="3">
        <v>45458</v>
      </c>
      <c r="E811">
        <v>74</v>
      </c>
      <c r="F811">
        <v>6</v>
      </c>
      <c r="G811">
        <v>19</v>
      </c>
      <c r="H811" t="s">
        <v>16</v>
      </c>
      <c r="I811">
        <v>135.22999999999999</v>
      </c>
      <c r="J811" t="str">
        <f t="shared" si="84"/>
        <v>Low</v>
      </c>
      <c r="K811" s="4">
        <f t="shared" si="85"/>
        <v>45458</v>
      </c>
      <c r="L811">
        <f t="shared" si="86"/>
        <v>74</v>
      </c>
      <c r="M811" s="3" t="e">
        <f t="shared" si="87"/>
        <v>#N/A</v>
      </c>
      <c r="N811" t="e">
        <f t="shared" si="88"/>
        <v>#N/A</v>
      </c>
      <c r="O811" s="3" t="e">
        <f t="shared" si="89"/>
        <v>#N/A</v>
      </c>
      <c r="P811" t="e">
        <f t="shared" si="90"/>
        <v>#N/A</v>
      </c>
    </row>
    <row r="812" spans="1:16" x14ac:dyDescent="0.25">
      <c r="A812">
        <v>926</v>
      </c>
      <c r="B812">
        <v>39</v>
      </c>
      <c r="C812" t="s">
        <v>18</v>
      </c>
      <c r="D812" s="3">
        <v>53091</v>
      </c>
      <c r="E812">
        <v>41</v>
      </c>
      <c r="F812">
        <v>9</v>
      </c>
      <c r="G812">
        <v>3</v>
      </c>
      <c r="H812" t="s">
        <v>16</v>
      </c>
      <c r="I812">
        <v>12.45</v>
      </c>
      <c r="J812" t="str">
        <f t="shared" si="84"/>
        <v>Medium</v>
      </c>
      <c r="K812" s="4" t="e">
        <f t="shared" si="85"/>
        <v>#N/A</v>
      </c>
      <c r="L812" t="e">
        <f t="shared" si="86"/>
        <v>#N/A</v>
      </c>
      <c r="M812" s="3">
        <f t="shared" si="87"/>
        <v>53091</v>
      </c>
      <c r="N812">
        <f t="shared" si="88"/>
        <v>41</v>
      </c>
      <c r="O812" s="3" t="e">
        <f t="shared" si="89"/>
        <v>#N/A</v>
      </c>
      <c r="P812" t="e">
        <f t="shared" si="90"/>
        <v>#N/A</v>
      </c>
    </row>
    <row r="813" spans="1:16" x14ac:dyDescent="0.25">
      <c r="A813">
        <v>952</v>
      </c>
      <c r="B813">
        <v>29</v>
      </c>
      <c r="C813" t="s">
        <v>18</v>
      </c>
      <c r="D813" s="3">
        <v>45164</v>
      </c>
      <c r="E813">
        <v>54</v>
      </c>
      <c r="F813">
        <v>8</v>
      </c>
      <c r="G813">
        <v>45</v>
      </c>
      <c r="H813" t="s">
        <v>16</v>
      </c>
      <c r="I813">
        <v>915.62</v>
      </c>
      <c r="J813" t="str">
        <f t="shared" si="84"/>
        <v>Low</v>
      </c>
      <c r="K813" s="4">
        <f t="shared" si="85"/>
        <v>45164</v>
      </c>
      <c r="L813">
        <f t="shared" si="86"/>
        <v>54</v>
      </c>
      <c r="M813" s="3" t="e">
        <f t="shared" si="87"/>
        <v>#N/A</v>
      </c>
      <c r="N813" t="e">
        <f t="shared" si="88"/>
        <v>#N/A</v>
      </c>
      <c r="O813" s="3" t="e">
        <f t="shared" si="89"/>
        <v>#N/A</v>
      </c>
      <c r="P813" t="e">
        <f t="shared" si="90"/>
        <v>#N/A</v>
      </c>
    </row>
    <row r="814" spans="1:16" x14ac:dyDescent="0.25">
      <c r="A814">
        <v>957</v>
      </c>
      <c r="B814">
        <v>60</v>
      </c>
      <c r="C814" t="s">
        <v>18</v>
      </c>
      <c r="D814" s="3">
        <v>56429</v>
      </c>
      <c r="E814">
        <v>69</v>
      </c>
      <c r="F814">
        <v>9</v>
      </c>
      <c r="G814">
        <v>32</v>
      </c>
      <c r="H814" t="s">
        <v>16</v>
      </c>
      <c r="I814">
        <v>894.95</v>
      </c>
      <c r="J814" t="str">
        <f t="shared" si="84"/>
        <v>Medium</v>
      </c>
      <c r="K814" s="4" t="e">
        <f t="shared" si="85"/>
        <v>#N/A</v>
      </c>
      <c r="L814" t="e">
        <f t="shared" si="86"/>
        <v>#N/A</v>
      </c>
      <c r="M814" s="3">
        <f t="shared" si="87"/>
        <v>56429</v>
      </c>
      <c r="N814">
        <f t="shared" si="88"/>
        <v>69</v>
      </c>
      <c r="O814" s="3" t="e">
        <f t="shared" si="89"/>
        <v>#N/A</v>
      </c>
      <c r="P814" t="e">
        <f t="shared" si="90"/>
        <v>#N/A</v>
      </c>
    </row>
    <row r="815" spans="1:16" x14ac:dyDescent="0.25">
      <c r="A815">
        <v>959</v>
      </c>
      <c r="B815">
        <v>38</v>
      </c>
      <c r="C815" t="s">
        <v>18</v>
      </c>
      <c r="D815" s="3">
        <v>99054</v>
      </c>
      <c r="E815">
        <v>59</v>
      </c>
      <c r="F815">
        <v>6</v>
      </c>
      <c r="G815">
        <v>4</v>
      </c>
      <c r="H815" t="s">
        <v>16</v>
      </c>
      <c r="I815">
        <v>174.22</v>
      </c>
      <c r="J815" t="str">
        <f t="shared" si="84"/>
        <v>Medium</v>
      </c>
      <c r="K815" s="4" t="e">
        <f t="shared" si="85"/>
        <v>#N/A</v>
      </c>
      <c r="L815" t="e">
        <f t="shared" si="86"/>
        <v>#N/A</v>
      </c>
      <c r="M815" s="3">
        <f t="shared" si="87"/>
        <v>99054</v>
      </c>
      <c r="N815">
        <f t="shared" si="88"/>
        <v>59</v>
      </c>
      <c r="O815" s="3" t="e">
        <f t="shared" si="89"/>
        <v>#N/A</v>
      </c>
      <c r="P815" t="e">
        <f t="shared" si="90"/>
        <v>#N/A</v>
      </c>
    </row>
    <row r="816" spans="1:16" x14ac:dyDescent="0.25">
      <c r="A816">
        <v>963</v>
      </c>
      <c r="B816">
        <v>66</v>
      </c>
      <c r="C816" t="s">
        <v>18</v>
      </c>
      <c r="D816" s="3">
        <v>72885</v>
      </c>
      <c r="E816">
        <v>1</v>
      </c>
      <c r="F816">
        <v>9</v>
      </c>
      <c r="G816">
        <v>33</v>
      </c>
      <c r="H816" t="s">
        <v>16</v>
      </c>
      <c r="I816">
        <v>654.48</v>
      </c>
      <c r="J816" t="str">
        <f t="shared" si="84"/>
        <v>Medium</v>
      </c>
      <c r="K816" s="4" t="e">
        <f t="shared" si="85"/>
        <v>#N/A</v>
      </c>
      <c r="L816" t="e">
        <f t="shared" si="86"/>
        <v>#N/A</v>
      </c>
      <c r="M816" s="3">
        <f t="shared" si="87"/>
        <v>72885</v>
      </c>
      <c r="N816">
        <f t="shared" si="88"/>
        <v>1</v>
      </c>
      <c r="O816" s="3" t="e">
        <f t="shared" si="89"/>
        <v>#N/A</v>
      </c>
      <c r="P816" t="e">
        <f t="shared" si="90"/>
        <v>#N/A</v>
      </c>
    </row>
    <row r="817" spans="1:16" x14ac:dyDescent="0.25">
      <c r="A817">
        <v>968</v>
      </c>
      <c r="B817">
        <v>23</v>
      </c>
      <c r="C817" t="s">
        <v>18</v>
      </c>
      <c r="D817" s="3">
        <v>74773</v>
      </c>
      <c r="E817">
        <v>16</v>
      </c>
      <c r="F817">
        <v>2</v>
      </c>
      <c r="G817">
        <v>42</v>
      </c>
      <c r="H817" t="s">
        <v>16</v>
      </c>
      <c r="I817">
        <v>626.04999999999995</v>
      </c>
      <c r="J817" t="str">
        <f t="shared" si="84"/>
        <v>Medium</v>
      </c>
      <c r="K817" s="4" t="e">
        <f t="shared" si="85"/>
        <v>#N/A</v>
      </c>
      <c r="L817" t="e">
        <f t="shared" si="86"/>
        <v>#N/A</v>
      </c>
      <c r="M817" s="3">
        <f t="shared" si="87"/>
        <v>74773</v>
      </c>
      <c r="N817">
        <f t="shared" si="88"/>
        <v>16</v>
      </c>
      <c r="O817" s="3" t="e">
        <f t="shared" si="89"/>
        <v>#N/A</v>
      </c>
      <c r="P817" t="e">
        <f t="shared" si="90"/>
        <v>#N/A</v>
      </c>
    </row>
    <row r="818" spans="1:16" x14ac:dyDescent="0.25">
      <c r="A818">
        <v>970</v>
      </c>
      <c r="B818">
        <v>68</v>
      </c>
      <c r="C818" t="s">
        <v>18</v>
      </c>
      <c r="D818" s="3">
        <v>40471</v>
      </c>
      <c r="E818">
        <v>28</v>
      </c>
      <c r="F818">
        <v>3</v>
      </c>
      <c r="G818">
        <v>33</v>
      </c>
      <c r="H818" t="s">
        <v>16</v>
      </c>
      <c r="I818">
        <v>40.89</v>
      </c>
      <c r="J818" t="str">
        <f t="shared" si="84"/>
        <v>Low</v>
      </c>
      <c r="K818" s="4">
        <f t="shared" si="85"/>
        <v>40471</v>
      </c>
      <c r="L818">
        <f t="shared" si="86"/>
        <v>28</v>
      </c>
      <c r="M818" s="3" t="e">
        <f t="shared" si="87"/>
        <v>#N/A</v>
      </c>
      <c r="N818" t="e">
        <f t="shared" si="88"/>
        <v>#N/A</v>
      </c>
      <c r="O818" s="3" t="e">
        <f t="shared" si="89"/>
        <v>#N/A</v>
      </c>
      <c r="P818" t="e">
        <f t="shared" si="90"/>
        <v>#N/A</v>
      </c>
    </row>
    <row r="819" spans="1:16" x14ac:dyDescent="0.25">
      <c r="A819">
        <v>1000</v>
      </c>
      <c r="B819">
        <v>36</v>
      </c>
      <c r="C819" t="s">
        <v>18</v>
      </c>
      <c r="D819" s="3">
        <v>90420</v>
      </c>
      <c r="E819">
        <v>7</v>
      </c>
      <c r="F819">
        <v>2</v>
      </c>
      <c r="G819">
        <v>31</v>
      </c>
      <c r="H819" t="s">
        <v>16</v>
      </c>
      <c r="I819">
        <v>669.26</v>
      </c>
      <c r="J819" t="str">
        <f t="shared" si="84"/>
        <v>Medium</v>
      </c>
      <c r="K819" s="4" t="e">
        <f t="shared" si="85"/>
        <v>#N/A</v>
      </c>
      <c r="L819" t="e">
        <f t="shared" si="86"/>
        <v>#N/A</v>
      </c>
      <c r="M819" s="3">
        <f t="shared" si="87"/>
        <v>90420</v>
      </c>
      <c r="N819">
        <f t="shared" si="88"/>
        <v>7</v>
      </c>
      <c r="O819" s="3" t="e">
        <f t="shared" si="89"/>
        <v>#N/A</v>
      </c>
      <c r="P819" t="e">
        <f t="shared" si="90"/>
        <v>#N/A</v>
      </c>
    </row>
    <row r="820" spans="1:16" x14ac:dyDescent="0.25">
      <c r="A820">
        <v>5</v>
      </c>
      <c r="B820">
        <v>65</v>
      </c>
      <c r="C820" t="s">
        <v>18</v>
      </c>
      <c r="D820" s="3">
        <v>140621</v>
      </c>
      <c r="E820">
        <v>21</v>
      </c>
      <c r="F820">
        <v>3</v>
      </c>
      <c r="G820">
        <v>25</v>
      </c>
      <c r="H820" t="s">
        <v>14</v>
      </c>
      <c r="I820">
        <v>347.08</v>
      </c>
      <c r="J820" t="str">
        <f t="shared" si="84"/>
        <v>High</v>
      </c>
      <c r="K820" s="4" t="e">
        <f t="shared" si="85"/>
        <v>#N/A</v>
      </c>
      <c r="L820" t="e">
        <f t="shared" si="86"/>
        <v>#N/A</v>
      </c>
      <c r="M820" s="3" t="e">
        <f t="shared" si="87"/>
        <v>#N/A</v>
      </c>
      <c r="N820" t="e">
        <f t="shared" si="88"/>
        <v>#N/A</v>
      </c>
      <c r="O820" s="3">
        <f t="shared" si="89"/>
        <v>140621</v>
      </c>
      <c r="P820">
        <f t="shared" si="90"/>
        <v>21</v>
      </c>
    </row>
    <row r="821" spans="1:16" x14ac:dyDescent="0.25">
      <c r="A821">
        <v>10</v>
      </c>
      <c r="B821">
        <v>55</v>
      </c>
      <c r="C821" t="s">
        <v>18</v>
      </c>
      <c r="D821" s="3">
        <v>45839</v>
      </c>
      <c r="E821">
        <v>55</v>
      </c>
      <c r="F821">
        <v>7</v>
      </c>
      <c r="G821">
        <v>2</v>
      </c>
      <c r="H821" t="s">
        <v>14</v>
      </c>
      <c r="I821">
        <v>821.18</v>
      </c>
      <c r="J821" t="str">
        <f t="shared" si="84"/>
        <v>Low</v>
      </c>
      <c r="K821" s="4">
        <f t="shared" si="85"/>
        <v>45839</v>
      </c>
      <c r="L821">
        <f t="shared" si="86"/>
        <v>55</v>
      </c>
      <c r="M821" s="3" t="e">
        <f t="shared" si="87"/>
        <v>#N/A</v>
      </c>
      <c r="N821" t="e">
        <f t="shared" si="88"/>
        <v>#N/A</v>
      </c>
      <c r="O821" s="3" t="e">
        <f t="shared" si="89"/>
        <v>#N/A</v>
      </c>
      <c r="P821" t="e">
        <f t="shared" si="90"/>
        <v>#N/A</v>
      </c>
    </row>
    <row r="822" spans="1:16" x14ac:dyDescent="0.25">
      <c r="A822">
        <v>32</v>
      </c>
      <c r="B822">
        <v>60</v>
      </c>
      <c r="C822" t="s">
        <v>18</v>
      </c>
      <c r="D822" s="3">
        <v>45733</v>
      </c>
      <c r="E822">
        <v>69</v>
      </c>
      <c r="F822">
        <v>2</v>
      </c>
      <c r="G822">
        <v>18</v>
      </c>
      <c r="H822" t="s">
        <v>14</v>
      </c>
      <c r="I822">
        <v>197.29</v>
      </c>
      <c r="J822" t="str">
        <f t="shared" si="84"/>
        <v>Low</v>
      </c>
      <c r="K822" s="4">
        <f t="shared" si="85"/>
        <v>45733</v>
      </c>
      <c r="L822">
        <f t="shared" si="86"/>
        <v>69</v>
      </c>
      <c r="M822" s="3" t="e">
        <f t="shared" si="87"/>
        <v>#N/A</v>
      </c>
      <c r="N822" t="e">
        <f t="shared" si="88"/>
        <v>#N/A</v>
      </c>
      <c r="O822" s="3" t="e">
        <f t="shared" si="89"/>
        <v>#N/A</v>
      </c>
      <c r="P822" t="e">
        <f t="shared" si="90"/>
        <v>#N/A</v>
      </c>
    </row>
    <row r="823" spans="1:16" x14ac:dyDescent="0.25">
      <c r="A823">
        <v>59</v>
      </c>
      <c r="B823">
        <v>43</v>
      </c>
      <c r="C823" t="s">
        <v>18</v>
      </c>
      <c r="D823" s="3">
        <v>81595</v>
      </c>
      <c r="E823">
        <v>12</v>
      </c>
      <c r="F823">
        <v>7</v>
      </c>
      <c r="G823">
        <v>1</v>
      </c>
      <c r="H823" t="s">
        <v>14</v>
      </c>
      <c r="I823">
        <v>806.26</v>
      </c>
      <c r="J823" t="str">
        <f t="shared" si="84"/>
        <v>Medium</v>
      </c>
      <c r="K823" s="4" t="e">
        <f t="shared" si="85"/>
        <v>#N/A</v>
      </c>
      <c r="L823" t="e">
        <f t="shared" si="86"/>
        <v>#N/A</v>
      </c>
      <c r="M823" s="3">
        <f t="shared" si="87"/>
        <v>81595</v>
      </c>
      <c r="N823">
        <f t="shared" si="88"/>
        <v>12</v>
      </c>
      <c r="O823" s="3" t="e">
        <f t="shared" si="89"/>
        <v>#N/A</v>
      </c>
      <c r="P823" t="e">
        <f t="shared" si="90"/>
        <v>#N/A</v>
      </c>
    </row>
    <row r="824" spans="1:16" x14ac:dyDescent="0.25">
      <c r="A824">
        <v>64</v>
      </c>
      <c r="B824">
        <v>50</v>
      </c>
      <c r="C824" t="s">
        <v>18</v>
      </c>
      <c r="D824" s="3">
        <v>85111</v>
      </c>
      <c r="E824">
        <v>31</v>
      </c>
      <c r="F824">
        <v>1</v>
      </c>
      <c r="G824">
        <v>19</v>
      </c>
      <c r="H824" t="s">
        <v>14</v>
      </c>
      <c r="I824">
        <v>319.05</v>
      </c>
      <c r="J824" t="str">
        <f t="shared" si="84"/>
        <v>Medium</v>
      </c>
      <c r="K824" s="4" t="e">
        <f t="shared" si="85"/>
        <v>#N/A</v>
      </c>
      <c r="L824" t="e">
        <f t="shared" si="86"/>
        <v>#N/A</v>
      </c>
      <c r="M824" s="3">
        <f t="shared" si="87"/>
        <v>85111</v>
      </c>
      <c r="N824">
        <f t="shared" si="88"/>
        <v>31</v>
      </c>
      <c r="O824" s="3" t="e">
        <f t="shared" si="89"/>
        <v>#N/A</v>
      </c>
      <c r="P824" t="e">
        <f t="shared" si="90"/>
        <v>#N/A</v>
      </c>
    </row>
    <row r="825" spans="1:16" x14ac:dyDescent="0.25">
      <c r="A825">
        <v>67</v>
      </c>
      <c r="B825">
        <v>36</v>
      </c>
      <c r="C825" t="s">
        <v>18</v>
      </c>
      <c r="D825" s="3">
        <v>127346</v>
      </c>
      <c r="E825">
        <v>75</v>
      </c>
      <c r="F825">
        <v>5</v>
      </c>
      <c r="G825">
        <v>7</v>
      </c>
      <c r="H825" t="s">
        <v>14</v>
      </c>
      <c r="I825">
        <v>335.98</v>
      </c>
      <c r="J825" t="str">
        <f t="shared" si="84"/>
        <v>High</v>
      </c>
      <c r="K825" s="4" t="e">
        <f t="shared" si="85"/>
        <v>#N/A</v>
      </c>
      <c r="L825" t="e">
        <f t="shared" si="86"/>
        <v>#N/A</v>
      </c>
      <c r="M825" s="3" t="e">
        <f t="shared" si="87"/>
        <v>#N/A</v>
      </c>
      <c r="N825" t="e">
        <f t="shared" si="88"/>
        <v>#N/A</v>
      </c>
      <c r="O825" s="3">
        <f t="shared" si="89"/>
        <v>127346</v>
      </c>
      <c r="P825">
        <f t="shared" si="90"/>
        <v>75</v>
      </c>
    </row>
    <row r="826" spans="1:16" x14ac:dyDescent="0.25">
      <c r="A826">
        <v>71</v>
      </c>
      <c r="B826">
        <v>23</v>
      </c>
      <c r="C826" t="s">
        <v>18</v>
      </c>
      <c r="D826" s="3">
        <v>66376</v>
      </c>
      <c r="E826">
        <v>60</v>
      </c>
      <c r="F826">
        <v>1</v>
      </c>
      <c r="G826">
        <v>18</v>
      </c>
      <c r="H826" t="s">
        <v>14</v>
      </c>
      <c r="I826">
        <v>77.73</v>
      </c>
      <c r="J826" t="str">
        <f t="shared" si="84"/>
        <v>Medium</v>
      </c>
      <c r="K826" s="4" t="e">
        <f t="shared" si="85"/>
        <v>#N/A</v>
      </c>
      <c r="L826" t="e">
        <f t="shared" si="86"/>
        <v>#N/A</v>
      </c>
      <c r="M826" s="3">
        <f t="shared" si="87"/>
        <v>66376</v>
      </c>
      <c r="N826">
        <f t="shared" si="88"/>
        <v>60</v>
      </c>
      <c r="O826" s="3" t="e">
        <f t="shared" si="89"/>
        <v>#N/A</v>
      </c>
      <c r="P826" t="e">
        <f t="shared" si="90"/>
        <v>#N/A</v>
      </c>
    </row>
    <row r="827" spans="1:16" x14ac:dyDescent="0.25">
      <c r="A827">
        <v>106</v>
      </c>
      <c r="B827">
        <v>55</v>
      </c>
      <c r="C827" t="s">
        <v>18</v>
      </c>
      <c r="D827" s="3">
        <v>147187</v>
      </c>
      <c r="E827">
        <v>37</v>
      </c>
      <c r="F827">
        <v>7</v>
      </c>
      <c r="G827">
        <v>27</v>
      </c>
      <c r="H827" t="s">
        <v>14</v>
      </c>
      <c r="I827">
        <v>941.67</v>
      </c>
      <c r="J827" t="str">
        <f t="shared" si="84"/>
        <v>High</v>
      </c>
      <c r="K827" s="4" t="e">
        <f t="shared" si="85"/>
        <v>#N/A</v>
      </c>
      <c r="L827" t="e">
        <f t="shared" si="86"/>
        <v>#N/A</v>
      </c>
      <c r="M827" s="3" t="e">
        <f t="shared" si="87"/>
        <v>#N/A</v>
      </c>
      <c r="N827" t="e">
        <f t="shared" si="88"/>
        <v>#N/A</v>
      </c>
      <c r="O827" s="3">
        <f t="shared" si="89"/>
        <v>147187</v>
      </c>
      <c r="P827">
        <f t="shared" si="90"/>
        <v>37</v>
      </c>
    </row>
    <row r="828" spans="1:16" x14ac:dyDescent="0.25">
      <c r="A828">
        <v>109</v>
      </c>
      <c r="B828">
        <v>57</v>
      </c>
      <c r="C828" t="s">
        <v>18</v>
      </c>
      <c r="D828" s="3">
        <v>81695</v>
      </c>
      <c r="E828">
        <v>90</v>
      </c>
      <c r="F828">
        <v>8</v>
      </c>
      <c r="G828">
        <v>44</v>
      </c>
      <c r="H828" t="s">
        <v>14</v>
      </c>
      <c r="I828">
        <v>179.8</v>
      </c>
      <c r="J828" t="str">
        <f t="shared" si="84"/>
        <v>Medium</v>
      </c>
      <c r="K828" s="4" t="e">
        <f t="shared" si="85"/>
        <v>#N/A</v>
      </c>
      <c r="L828" t="e">
        <f t="shared" si="86"/>
        <v>#N/A</v>
      </c>
      <c r="M828" s="3">
        <f t="shared" si="87"/>
        <v>81695</v>
      </c>
      <c r="N828">
        <f t="shared" si="88"/>
        <v>90</v>
      </c>
      <c r="O828" s="3" t="e">
        <f t="shared" si="89"/>
        <v>#N/A</v>
      </c>
      <c r="P828" t="e">
        <f t="shared" si="90"/>
        <v>#N/A</v>
      </c>
    </row>
    <row r="829" spans="1:16" x14ac:dyDescent="0.25">
      <c r="A829">
        <v>126</v>
      </c>
      <c r="B829">
        <v>26</v>
      </c>
      <c r="C829" t="s">
        <v>18</v>
      </c>
      <c r="D829" s="3">
        <v>69795</v>
      </c>
      <c r="E829">
        <v>60</v>
      </c>
      <c r="F829">
        <v>9</v>
      </c>
      <c r="G829">
        <v>29</v>
      </c>
      <c r="H829" t="s">
        <v>14</v>
      </c>
      <c r="I829">
        <v>389.37</v>
      </c>
      <c r="J829" t="str">
        <f t="shared" si="84"/>
        <v>Medium</v>
      </c>
      <c r="K829" s="4" t="e">
        <f t="shared" si="85"/>
        <v>#N/A</v>
      </c>
      <c r="L829" t="e">
        <f t="shared" si="86"/>
        <v>#N/A</v>
      </c>
      <c r="M829" s="3">
        <f t="shared" si="87"/>
        <v>69795</v>
      </c>
      <c r="N829">
        <f t="shared" si="88"/>
        <v>60</v>
      </c>
      <c r="O829" s="3" t="e">
        <f t="shared" si="89"/>
        <v>#N/A</v>
      </c>
      <c r="P829" t="e">
        <f t="shared" si="90"/>
        <v>#N/A</v>
      </c>
    </row>
    <row r="830" spans="1:16" x14ac:dyDescent="0.25">
      <c r="A830">
        <v>178</v>
      </c>
      <c r="B830">
        <v>67</v>
      </c>
      <c r="C830" t="s">
        <v>18</v>
      </c>
      <c r="D830" s="3">
        <v>130300</v>
      </c>
      <c r="E830">
        <v>75</v>
      </c>
      <c r="F830">
        <v>5</v>
      </c>
      <c r="G830">
        <v>27</v>
      </c>
      <c r="H830" t="s">
        <v>14</v>
      </c>
      <c r="I830">
        <v>94.32</v>
      </c>
      <c r="J830" t="str">
        <f t="shared" si="84"/>
        <v>High</v>
      </c>
      <c r="K830" s="4" t="e">
        <f t="shared" si="85"/>
        <v>#N/A</v>
      </c>
      <c r="L830" t="e">
        <f t="shared" si="86"/>
        <v>#N/A</v>
      </c>
      <c r="M830" s="3" t="e">
        <f t="shared" si="87"/>
        <v>#N/A</v>
      </c>
      <c r="N830" t="e">
        <f t="shared" si="88"/>
        <v>#N/A</v>
      </c>
      <c r="O830" s="3">
        <f t="shared" si="89"/>
        <v>130300</v>
      </c>
      <c r="P830">
        <f t="shared" si="90"/>
        <v>75</v>
      </c>
    </row>
    <row r="831" spans="1:16" x14ac:dyDescent="0.25">
      <c r="A831">
        <v>218</v>
      </c>
      <c r="B831">
        <v>55</v>
      </c>
      <c r="C831" t="s">
        <v>18</v>
      </c>
      <c r="D831" s="3">
        <v>147024</v>
      </c>
      <c r="E831">
        <v>24</v>
      </c>
      <c r="F831">
        <v>9</v>
      </c>
      <c r="G831">
        <v>16</v>
      </c>
      <c r="H831" t="s">
        <v>14</v>
      </c>
      <c r="I831">
        <v>169.79</v>
      </c>
      <c r="J831" t="str">
        <f t="shared" si="84"/>
        <v>High</v>
      </c>
      <c r="K831" s="4" t="e">
        <f t="shared" si="85"/>
        <v>#N/A</v>
      </c>
      <c r="L831" t="e">
        <f t="shared" si="86"/>
        <v>#N/A</v>
      </c>
      <c r="M831" s="3" t="e">
        <f t="shared" si="87"/>
        <v>#N/A</v>
      </c>
      <c r="N831" t="e">
        <f t="shared" si="88"/>
        <v>#N/A</v>
      </c>
      <c r="O831" s="3">
        <f t="shared" si="89"/>
        <v>147024</v>
      </c>
      <c r="P831">
        <f t="shared" si="90"/>
        <v>24</v>
      </c>
    </row>
    <row r="832" spans="1:16" x14ac:dyDescent="0.25">
      <c r="A832">
        <v>225</v>
      </c>
      <c r="B832">
        <v>54</v>
      </c>
      <c r="C832" t="s">
        <v>18</v>
      </c>
      <c r="D832" s="3">
        <v>92156</v>
      </c>
      <c r="E832">
        <v>18</v>
      </c>
      <c r="F832">
        <v>7</v>
      </c>
      <c r="G832">
        <v>14</v>
      </c>
      <c r="H832" t="s">
        <v>14</v>
      </c>
      <c r="I832">
        <v>238.87</v>
      </c>
      <c r="J832" t="str">
        <f t="shared" si="84"/>
        <v>Medium</v>
      </c>
      <c r="K832" s="4" t="e">
        <f t="shared" si="85"/>
        <v>#N/A</v>
      </c>
      <c r="L832" t="e">
        <f t="shared" si="86"/>
        <v>#N/A</v>
      </c>
      <c r="M832" s="3">
        <f t="shared" si="87"/>
        <v>92156</v>
      </c>
      <c r="N832">
        <f t="shared" si="88"/>
        <v>18</v>
      </c>
      <c r="O832" s="3" t="e">
        <f t="shared" si="89"/>
        <v>#N/A</v>
      </c>
      <c r="P832" t="e">
        <f t="shared" si="90"/>
        <v>#N/A</v>
      </c>
    </row>
    <row r="833" spans="1:16" x14ac:dyDescent="0.25">
      <c r="A833">
        <v>231</v>
      </c>
      <c r="B833">
        <v>24</v>
      </c>
      <c r="C833" t="s">
        <v>18</v>
      </c>
      <c r="D833" s="3">
        <v>147572</v>
      </c>
      <c r="E833">
        <v>44</v>
      </c>
      <c r="F833">
        <v>7</v>
      </c>
      <c r="G833">
        <v>45</v>
      </c>
      <c r="H833" t="s">
        <v>14</v>
      </c>
      <c r="I833">
        <v>204.27</v>
      </c>
      <c r="J833" t="str">
        <f t="shared" si="84"/>
        <v>High</v>
      </c>
      <c r="K833" s="4" t="e">
        <f t="shared" si="85"/>
        <v>#N/A</v>
      </c>
      <c r="L833" t="e">
        <f t="shared" si="86"/>
        <v>#N/A</v>
      </c>
      <c r="M833" s="3" t="e">
        <f t="shared" si="87"/>
        <v>#N/A</v>
      </c>
      <c r="N833" t="e">
        <f t="shared" si="88"/>
        <v>#N/A</v>
      </c>
      <c r="O833" s="3">
        <f t="shared" si="89"/>
        <v>147572</v>
      </c>
      <c r="P833">
        <f t="shared" si="90"/>
        <v>44</v>
      </c>
    </row>
    <row r="834" spans="1:16" x14ac:dyDescent="0.25">
      <c r="A834">
        <v>242</v>
      </c>
      <c r="B834">
        <v>31</v>
      </c>
      <c r="C834" t="s">
        <v>18</v>
      </c>
      <c r="D834" s="3">
        <v>125501</v>
      </c>
      <c r="E834">
        <v>74</v>
      </c>
      <c r="F834">
        <v>3</v>
      </c>
      <c r="G834">
        <v>18</v>
      </c>
      <c r="H834" t="s">
        <v>14</v>
      </c>
      <c r="I834">
        <v>947.76</v>
      </c>
      <c r="J834" t="str">
        <f t="shared" ref="J834:J897" si="91">IF(D834&lt;50000,"Low",IF(D834&lt;100000,"Medium","High"))</f>
        <v>High</v>
      </c>
      <c r="K834" s="4" t="e">
        <f t="shared" ref="K834:K897" si="92">IF($J834="Low",$D834,NA())</f>
        <v>#N/A</v>
      </c>
      <c r="L834" t="e">
        <f t="shared" ref="L834:L897" si="93">IF($J834="Low",$E834,NA())</f>
        <v>#N/A</v>
      </c>
      <c r="M834" s="3" t="e">
        <f t="shared" ref="M834:M897" si="94">IF($J834="Medium",$D834,NA())</f>
        <v>#N/A</v>
      </c>
      <c r="N834" t="e">
        <f t="shared" ref="N834:N897" si="95">IF($J834="Medium",$E834,NA())</f>
        <v>#N/A</v>
      </c>
      <c r="O834" s="3">
        <f t="shared" ref="O834:O897" si="96">IF($J834="High",$D834,NA())</f>
        <v>125501</v>
      </c>
      <c r="P834">
        <f t="shared" ref="P834:P897" si="97">IF($J834="High",$E834,NA())</f>
        <v>74</v>
      </c>
    </row>
    <row r="835" spans="1:16" x14ac:dyDescent="0.25">
      <c r="A835">
        <v>264</v>
      </c>
      <c r="B835">
        <v>57</v>
      </c>
      <c r="C835" t="s">
        <v>18</v>
      </c>
      <c r="D835" s="3">
        <v>31451</v>
      </c>
      <c r="E835">
        <v>75</v>
      </c>
      <c r="F835">
        <v>3</v>
      </c>
      <c r="G835">
        <v>8</v>
      </c>
      <c r="H835" t="s">
        <v>14</v>
      </c>
      <c r="I835">
        <v>611.79</v>
      </c>
      <c r="J835" t="str">
        <f t="shared" si="91"/>
        <v>Low</v>
      </c>
      <c r="K835" s="4">
        <f t="shared" si="92"/>
        <v>31451</v>
      </c>
      <c r="L835">
        <f t="shared" si="93"/>
        <v>75</v>
      </c>
      <c r="M835" s="3" t="e">
        <f t="shared" si="94"/>
        <v>#N/A</v>
      </c>
      <c r="N835" t="e">
        <f t="shared" si="95"/>
        <v>#N/A</v>
      </c>
      <c r="O835" s="3" t="e">
        <f t="shared" si="96"/>
        <v>#N/A</v>
      </c>
      <c r="P835" t="e">
        <f t="shared" si="97"/>
        <v>#N/A</v>
      </c>
    </row>
    <row r="836" spans="1:16" x14ac:dyDescent="0.25">
      <c r="A836">
        <v>270</v>
      </c>
      <c r="B836">
        <v>28</v>
      </c>
      <c r="C836" t="s">
        <v>18</v>
      </c>
      <c r="D836" s="3">
        <v>49020</v>
      </c>
      <c r="E836">
        <v>75</v>
      </c>
      <c r="F836">
        <v>9</v>
      </c>
      <c r="G836">
        <v>49</v>
      </c>
      <c r="H836" t="s">
        <v>14</v>
      </c>
      <c r="I836">
        <v>109.03</v>
      </c>
      <c r="J836" t="str">
        <f t="shared" si="91"/>
        <v>Low</v>
      </c>
      <c r="K836" s="4">
        <f t="shared" si="92"/>
        <v>49020</v>
      </c>
      <c r="L836">
        <f t="shared" si="93"/>
        <v>75</v>
      </c>
      <c r="M836" s="3" t="e">
        <f t="shared" si="94"/>
        <v>#N/A</v>
      </c>
      <c r="N836" t="e">
        <f t="shared" si="95"/>
        <v>#N/A</v>
      </c>
      <c r="O836" s="3" t="e">
        <f t="shared" si="96"/>
        <v>#N/A</v>
      </c>
      <c r="P836" t="e">
        <f t="shared" si="97"/>
        <v>#N/A</v>
      </c>
    </row>
    <row r="837" spans="1:16" x14ac:dyDescent="0.25">
      <c r="A837">
        <v>303</v>
      </c>
      <c r="B837">
        <v>59</v>
      </c>
      <c r="C837" t="s">
        <v>18</v>
      </c>
      <c r="D837" s="3">
        <v>57745</v>
      </c>
      <c r="E837">
        <v>33</v>
      </c>
      <c r="F837">
        <v>7</v>
      </c>
      <c r="G837">
        <v>42</v>
      </c>
      <c r="H837" t="s">
        <v>14</v>
      </c>
      <c r="I837">
        <v>492.87</v>
      </c>
      <c r="J837" t="str">
        <f t="shared" si="91"/>
        <v>Medium</v>
      </c>
      <c r="K837" s="4" t="e">
        <f t="shared" si="92"/>
        <v>#N/A</v>
      </c>
      <c r="L837" t="e">
        <f t="shared" si="93"/>
        <v>#N/A</v>
      </c>
      <c r="M837" s="3">
        <f t="shared" si="94"/>
        <v>57745</v>
      </c>
      <c r="N837">
        <f t="shared" si="95"/>
        <v>33</v>
      </c>
      <c r="O837" s="3" t="e">
        <f t="shared" si="96"/>
        <v>#N/A</v>
      </c>
      <c r="P837" t="e">
        <f t="shared" si="97"/>
        <v>#N/A</v>
      </c>
    </row>
    <row r="838" spans="1:16" x14ac:dyDescent="0.25">
      <c r="A838">
        <v>304</v>
      </c>
      <c r="B838">
        <v>50</v>
      </c>
      <c r="C838" t="s">
        <v>18</v>
      </c>
      <c r="D838" s="3">
        <v>78296</v>
      </c>
      <c r="E838">
        <v>93</v>
      </c>
      <c r="F838">
        <v>9</v>
      </c>
      <c r="G838">
        <v>47</v>
      </c>
      <c r="H838" t="s">
        <v>14</v>
      </c>
      <c r="I838">
        <v>559.16</v>
      </c>
      <c r="J838" t="str">
        <f t="shared" si="91"/>
        <v>Medium</v>
      </c>
      <c r="K838" s="4" t="e">
        <f t="shared" si="92"/>
        <v>#N/A</v>
      </c>
      <c r="L838" t="e">
        <f t="shared" si="93"/>
        <v>#N/A</v>
      </c>
      <c r="M838" s="3">
        <f t="shared" si="94"/>
        <v>78296</v>
      </c>
      <c r="N838">
        <f t="shared" si="95"/>
        <v>93</v>
      </c>
      <c r="O838" s="3" t="e">
        <f t="shared" si="96"/>
        <v>#N/A</v>
      </c>
      <c r="P838" t="e">
        <f t="shared" si="97"/>
        <v>#N/A</v>
      </c>
    </row>
    <row r="839" spans="1:16" x14ac:dyDescent="0.25">
      <c r="A839">
        <v>308</v>
      </c>
      <c r="B839">
        <v>54</v>
      </c>
      <c r="C839" t="s">
        <v>18</v>
      </c>
      <c r="D839" s="3">
        <v>76995</v>
      </c>
      <c r="E839">
        <v>14</v>
      </c>
      <c r="F839">
        <v>3</v>
      </c>
      <c r="G839">
        <v>46</v>
      </c>
      <c r="H839" t="s">
        <v>14</v>
      </c>
      <c r="I839">
        <v>685.09</v>
      </c>
      <c r="J839" t="str">
        <f t="shared" si="91"/>
        <v>Medium</v>
      </c>
      <c r="K839" s="4" t="e">
        <f t="shared" si="92"/>
        <v>#N/A</v>
      </c>
      <c r="L839" t="e">
        <f t="shared" si="93"/>
        <v>#N/A</v>
      </c>
      <c r="M839" s="3">
        <f t="shared" si="94"/>
        <v>76995</v>
      </c>
      <c r="N839">
        <f t="shared" si="95"/>
        <v>14</v>
      </c>
      <c r="O839" s="3" t="e">
        <f t="shared" si="96"/>
        <v>#N/A</v>
      </c>
      <c r="P839" t="e">
        <f t="shared" si="97"/>
        <v>#N/A</v>
      </c>
    </row>
    <row r="840" spans="1:16" x14ac:dyDescent="0.25">
      <c r="A840">
        <v>315</v>
      </c>
      <c r="B840">
        <v>68</v>
      </c>
      <c r="C840" t="s">
        <v>18</v>
      </c>
      <c r="D840" s="3">
        <v>62971</v>
      </c>
      <c r="E840">
        <v>27</v>
      </c>
      <c r="F840">
        <v>8</v>
      </c>
      <c r="G840">
        <v>17</v>
      </c>
      <c r="H840" t="s">
        <v>14</v>
      </c>
      <c r="I840">
        <v>85.45</v>
      </c>
      <c r="J840" t="str">
        <f t="shared" si="91"/>
        <v>Medium</v>
      </c>
      <c r="K840" s="4" t="e">
        <f t="shared" si="92"/>
        <v>#N/A</v>
      </c>
      <c r="L840" t="e">
        <f t="shared" si="93"/>
        <v>#N/A</v>
      </c>
      <c r="M840" s="3">
        <f t="shared" si="94"/>
        <v>62971</v>
      </c>
      <c r="N840">
        <f t="shared" si="95"/>
        <v>27</v>
      </c>
      <c r="O840" s="3" t="e">
        <f t="shared" si="96"/>
        <v>#N/A</v>
      </c>
      <c r="P840" t="e">
        <f t="shared" si="97"/>
        <v>#N/A</v>
      </c>
    </row>
    <row r="841" spans="1:16" x14ac:dyDescent="0.25">
      <c r="A841">
        <v>316</v>
      </c>
      <c r="B841">
        <v>20</v>
      </c>
      <c r="C841" t="s">
        <v>18</v>
      </c>
      <c r="D841" s="3">
        <v>57260</v>
      </c>
      <c r="E841">
        <v>47</v>
      </c>
      <c r="F841">
        <v>2</v>
      </c>
      <c r="G841">
        <v>49</v>
      </c>
      <c r="H841" t="s">
        <v>14</v>
      </c>
      <c r="I841">
        <v>506.7</v>
      </c>
      <c r="J841" t="str">
        <f t="shared" si="91"/>
        <v>Medium</v>
      </c>
      <c r="K841" s="4" t="e">
        <f t="shared" si="92"/>
        <v>#N/A</v>
      </c>
      <c r="L841" t="e">
        <f t="shared" si="93"/>
        <v>#N/A</v>
      </c>
      <c r="M841" s="3">
        <f t="shared" si="94"/>
        <v>57260</v>
      </c>
      <c r="N841">
        <f t="shared" si="95"/>
        <v>47</v>
      </c>
      <c r="O841" s="3" t="e">
        <f t="shared" si="96"/>
        <v>#N/A</v>
      </c>
      <c r="P841" t="e">
        <f t="shared" si="97"/>
        <v>#N/A</v>
      </c>
    </row>
    <row r="842" spans="1:16" x14ac:dyDescent="0.25">
      <c r="A842">
        <v>346</v>
      </c>
      <c r="B842">
        <v>62</v>
      </c>
      <c r="C842" t="s">
        <v>18</v>
      </c>
      <c r="D842" s="3">
        <v>114587</v>
      </c>
      <c r="E842">
        <v>14</v>
      </c>
      <c r="F842">
        <v>7</v>
      </c>
      <c r="G842">
        <v>11</v>
      </c>
      <c r="H842" t="s">
        <v>14</v>
      </c>
      <c r="I842">
        <v>26.72</v>
      </c>
      <c r="J842" t="str">
        <f t="shared" si="91"/>
        <v>High</v>
      </c>
      <c r="K842" s="4" t="e">
        <f t="shared" si="92"/>
        <v>#N/A</v>
      </c>
      <c r="L842" t="e">
        <f t="shared" si="93"/>
        <v>#N/A</v>
      </c>
      <c r="M842" s="3" t="e">
        <f t="shared" si="94"/>
        <v>#N/A</v>
      </c>
      <c r="N842" t="e">
        <f t="shared" si="95"/>
        <v>#N/A</v>
      </c>
      <c r="O842" s="3">
        <f t="shared" si="96"/>
        <v>114587</v>
      </c>
      <c r="P842">
        <f t="shared" si="97"/>
        <v>14</v>
      </c>
    </row>
    <row r="843" spans="1:16" x14ac:dyDescent="0.25">
      <c r="A843">
        <v>350</v>
      </c>
      <c r="B843">
        <v>56</v>
      </c>
      <c r="C843" t="s">
        <v>18</v>
      </c>
      <c r="D843" s="3">
        <v>148694</v>
      </c>
      <c r="E843">
        <v>44</v>
      </c>
      <c r="F843">
        <v>7</v>
      </c>
      <c r="G843">
        <v>13</v>
      </c>
      <c r="H843" t="s">
        <v>14</v>
      </c>
      <c r="I843">
        <v>326.5</v>
      </c>
      <c r="J843" t="str">
        <f t="shared" si="91"/>
        <v>High</v>
      </c>
      <c r="K843" s="4" t="e">
        <f t="shared" si="92"/>
        <v>#N/A</v>
      </c>
      <c r="L843" t="e">
        <f t="shared" si="93"/>
        <v>#N/A</v>
      </c>
      <c r="M843" s="3" t="e">
        <f t="shared" si="94"/>
        <v>#N/A</v>
      </c>
      <c r="N843" t="e">
        <f t="shared" si="95"/>
        <v>#N/A</v>
      </c>
      <c r="O843" s="3">
        <f t="shared" si="96"/>
        <v>148694</v>
      </c>
      <c r="P843">
        <f t="shared" si="97"/>
        <v>44</v>
      </c>
    </row>
    <row r="844" spans="1:16" x14ac:dyDescent="0.25">
      <c r="A844">
        <v>352</v>
      </c>
      <c r="B844">
        <v>47</v>
      </c>
      <c r="C844" t="s">
        <v>18</v>
      </c>
      <c r="D844" s="3">
        <v>54571</v>
      </c>
      <c r="E844">
        <v>57</v>
      </c>
      <c r="F844">
        <v>4</v>
      </c>
      <c r="G844">
        <v>2</v>
      </c>
      <c r="H844" t="s">
        <v>14</v>
      </c>
      <c r="I844">
        <v>138.30000000000001</v>
      </c>
      <c r="J844" t="str">
        <f t="shared" si="91"/>
        <v>Medium</v>
      </c>
      <c r="K844" s="4" t="e">
        <f t="shared" si="92"/>
        <v>#N/A</v>
      </c>
      <c r="L844" t="e">
        <f t="shared" si="93"/>
        <v>#N/A</v>
      </c>
      <c r="M844" s="3">
        <f t="shared" si="94"/>
        <v>54571</v>
      </c>
      <c r="N844">
        <f t="shared" si="95"/>
        <v>57</v>
      </c>
      <c r="O844" s="3" t="e">
        <f t="shared" si="96"/>
        <v>#N/A</v>
      </c>
      <c r="P844" t="e">
        <f t="shared" si="97"/>
        <v>#N/A</v>
      </c>
    </row>
    <row r="845" spans="1:16" x14ac:dyDescent="0.25">
      <c r="A845">
        <v>361</v>
      </c>
      <c r="B845">
        <v>28</v>
      </c>
      <c r="C845" t="s">
        <v>18</v>
      </c>
      <c r="D845" s="3">
        <v>130938</v>
      </c>
      <c r="E845">
        <v>98</v>
      </c>
      <c r="F845">
        <v>5</v>
      </c>
      <c r="G845">
        <v>37</v>
      </c>
      <c r="H845" t="s">
        <v>14</v>
      </c>
      <c r="I845">
        <v>612.09</v>
      </c>
      <c r="J845" t="str">
        <f t="shared" si="91"/>
        <v>High</v>
      </c>
      <c r="K845" s="4" t="e">
        <f t="shared" si="92"/>
        <v>#N/A</v>
      </c>
      <c r="L845" t="e">
        <f t="shared" si="93"/>
        <v>#N/A</v>
      </c>
      <c r="M845" s="3" t="e">
        <f t="shared" si="94"/>
        <v>#N/A</v>
      </c>
      <c r="N845" t="e">
        <f t="shared" si="95"/>
        <v>#N/A</v>
      </c>
      <c r="O845" s="3">
        <f t="shared" si="96"/>
        <v>130938</v>
      </c>
      <c r="P845">
        <f t="shared" si="97"/>
        <v>98</v>
      </c>
    </row>
    <row r="846" spans="1:16" x14ac:dyDescent="0.25">
      <c r="A846">
        <v>370</v>
      </c>
      <c r="B846">
        <v>23</v>
      </c>
      <c r="C846" t="s">
        <v>18</v>
      </c>
      <c r="D846" s="3">
        <v>30751</v>
      </c>
      <c r="E846">
        <v>99</v>
      </c>
      <c r="F846">
        <v>9</v>
      </c>
      <c r="G846">
        <v>26</v>
      </c>
      <c r="H846" t="s">
        <v>14</v>
      </c>
      <c r="I846">
        <v>696.9</v>
      </c>
      <c r="J846" t="str">
        <f t="shared" si="91"/>
        <v>Low</v>
      </c>
      <c r="K846" s="4">
        <f t="shared" si="92"/>
        <v>30751</v>
      </c>
      <c r="L846">
        <f t="shared" si="93"/>
        <v>99</v>
      </c>
      <c r="M846" s="3" t="e">
        <f t="shared" si="94"/>
        <v>#N/A</v>
      </c>
      <c r="N846" t="e">
        <f t="shared" si="95"/>
        <v>#N/A</v>
      </c>
      <c r="O846" s="3" t="e">
        <f t="shared" si="96"/>
        <v>#N/A</v>
      </c>
      <c r="P846" t="e">
        <f t="shared" si="97"/>
        <v>#N/A</v>
      </c>
    </row>
    <row r="847" spans="1:16" x14ac:dyDescent="0.25">
      <c r="A847">
        <v>376</v>
      </c>
      <c r="B847">
        <v>25</v>
      </c>
      <c r="C847" t="s">
        <v>18</v>
      </c>
      <c r="D847" s="3">
        <v>56110</v>
      </c>
      <c r="E847">
        <v>36</v>
      </c>
      <c r="F847">
        <v>5</v>
      </c>
      <c r="G847">
        <v>42</v>
      </c>
      <c r="H847" t="s">
        <v>14</v>
      </c>
      <c r="I847">
        <v>389.97</v>
      </c>
      <c r="J847" t="str">
        <f t="shared" si="91"/>
        <v>Medium</v>
      </c>
      <c r="K847" s="4" t="e">
        <f t="shared" si="92"/>
        <v>#N/A</v>
      </c>
      <c r="L847" t="e">
        <f t="shared" si="93"/>
        <v>#N/A</v>
      </c>
      <c r="M847" s="3">
        <f t="shared" si="94"/>
        <v>56110</v>
      </c>
      <c r="N847">
        <f t="shared" si="95"/>
        <v>36</v>
      </c>
      <c r="O847" s="3" t="e">
        <f t="shared" si="96"/>
        <v>#N/A</v>
      </c>
      <c r="P847" t="e">
        <f t="shared" si="97"/>
        <v>#N/A</v>
      </c>
    </row>
    <row r="848" spans="1:16" x14ac:dyDescent="0.25">
      <c r="A848">
        <v>387</v>
      </c>
      <c r="B848">
        <v>51</v>
      </c>
      <c r="C848" t="s">
        <v>18</v>
      </c>
      <c r="D848" s="3">
        <v>105658</v>
      </c>
      <c r="E848">
        <v>49</v>
      </c>
      <c r="F848">
        <v>9</v>
      </c>
      <c r="G848">
        <v>9</v>
      </c>
      <c r="H848" t="s">
        <v>14</v>
      </c>
      <c r="I848">
        <v>785.55</v>
      </c>
      <c r="J848" t="str">
        <f t="shared" si="91"/>
        <v>High</v>
      </c>
      <c r="K848" s="4" t="e">
        <f t="shared" si="92"/>
        <v>#N/A</v>
      </c>
      <c r="L848" t="e">
        <f t="shared" si="93"/>
        <v>#N/A</v>
      </c>
      <c r="M848" s="3" t="e">
        <f t="shared" si="94"/>
        <v>#N/A</v>
      </c>
      <c r="N848" t="e">
        <f t="shared" si="95"/>
        <v>#N/A</v>
      </c>
      <c r="O848" s="3">
        <f t="shared" si="96"/>
        <v>105658</v>
      </c>
      <c r="P848">
        <f t="shared" si="97"/>
        <v>49</v>
      </c>
    </row>
    <row r="849" spans="1:16" x14ac:dyDescent="0.25">
      <c r="A849">
        <v>388</v>
      </c>
      <c r="B849">
        <v>25</v>
      </c>
      <c r="C849" t="s">
        <v>18</v>
      </c>
      <c r="D849" s="3">
        <v>100053</v>
      </c>
      <c r="E849">
        <v>6</v>
      </c>
      <c r="F849">
        <v>5</v>
      </c>
      <c r="G849">
        <v>33</v>
      </c>
      <c r="H849" t="s">
        <v>14</v>
      </c>
      <c r="I849">
        <v>832.57</v>
      </c>
      <c r="J849" t="str">
        <f t="shared" si="91"/>
        <v>High</v>
      </c>
      <c r="K849" s="4" t="e">
        <f t="shared" si="92"/>
        <v>#N/A</v>
      </c>
      <c r="L849" t="e">
        <f t="shared" si="93"/>
        <v>#N/A</v>
      </c>
      <c r="M849" s="3" t="e">
        <f t="shared" si="94"/>
        <v>#N/A</v>
      </c>
      <c r="N849" t="e">
        <f t="shared" si="95"/>
        <v>#N/A</v>
      </c>
      <c r="O849" s="3">
        <f t="shared" si="96"/>
        <v>100053</v>
      </c>
      <c r="P849">
        <f t="shared" si="97"/>
        <v>6</v>
      </c>
    </row>
    <row r="850" spans="1:16" x14ac:dyDescent="0.25">
      <c r="A850">
        <v>423</v>
      </c>
      <c r="B850">
        <v>62</v>
      </c>
      <c r="C850" t="s">
        <v>18</v>
      </c>
      <c r="D850" s="3">
        <v>96260</v>
      </c>
      <c r="E850">
        <v>30</v>
      </c>
      <c r="F850">
        <v>6</v>
      </c>
      <c r="G850">
        <v>45</v>
      </c>
      <c r="H850" t="s">
        <v>14</v>
      </c>
      <c r="I850">
        <v>159.13</v>
      </c>
      <c r="J850" t="str">
        <f t="shared" si="91"/>
        <v>Medium</v>
      </c>
      <c r="K850" s="4" t="e">
        <f t="shared" si="92"/>
        <v>#N/A</v>
      </c>
      <c r="L850" t="e">
        <f t="shared" si="93"/>
        <v>#N/A</v>
      </c>
      <c r="M850" s="3">
        <f t="shared" si="94"/>
        <v>96260</v>
      </c>
      <c r="N850">
        <f t="shared" si="95"/>
        <v>30</v>
      </c>
      <c r="O850" s="3" t="e">
        <f t="shared" si="96"/>
        <v>#N/A</v>
      </c>
      <c r="P850" t="e">
        <f t="shared" si="97"/>
        <v>#N/A</v>
      </c>
    </row>
    <row r="851" spans="1:16" x14ac:dyDescent="0.25">
      <c r="A851">
        <v>433</v>
      </c>
      <c r="B851">
        <v>44</v>
      </c>
      <c r="C851" t="s">
        <v>18</v>
      </c>
      <c r="D851" s="3">
        <v>100832</v>
      </c>
      <c r="E851">
        <v>90</v>
      </c>
      <c r="F851">
        <v>8</v>
      </c>
      <c r="G851">
        <v>39</v>
      </c>
      <c r="H851" t="s">
        <v>14</v>
      </c>
      <c r="I851">
        <v>769</v>
      </c>
      <c r="J851" t="str">
        <f t="shared" si="91"/>
        <v>High</v>
      </c>
      <c r="K851" s="4" t="e">
        <f t="shared" si="92"/>
        <v>#N/A</v>
      </c>
      <c r="L851" t="e">
        <f t="shared" si="93"/>
        <v>#N/A</v>
      </c>
      <c r="M851" s="3" t="e">
        <f t="shared" si="94"/>
        <v>#N/A</v>
      </c>
      <c r="N851" t="e">
        <f t="shared" si="95"/>
        <v>#N/A</v>
      </c>
      <c r="O851" s="3">
        <f t="shared" si="96"/>
        <v>100832</v>
      </c>
      <c r="P851">
        <f t="shared" si="97"/>
        <v>90</v>
      </c>
    </row>
    <row r="852" spans="1:16" x14ac:dyDescent="0.25">
      <c r="A852">
        <v>438</v>
      </c>
      <c r="B852">
        <v>47</v>
      </c>
      <c r="C852" t="s">
        <v>18</v>
      </c>
      <c r="D852" s="3">
        <v>95033</v>
      </c>
      <c r="E852">
        <v>25</v>
      </c>
      <c r="F852">
        <v>3</v>
      </c>
      <c r="G852">
        <v>35</v>
      </c>
      <c r="H852" t="s">
        <v>14</v>
      </c>
      <c r="I852">
        <v>273.38</v>
      </c>
      <c r="J852" t="str">
        <f t="shared" si="91"/>
        <v>Medium</v>
      </c>
      <c r="K852" s="4" t="e">
        <f t="shared" si="92"/>
        <v>#N/A</v>
      </c>
      <c r="L852" t="e">
        <f t="shared" si="93"/>
        <v>#N/A</v>
      </c>
      <c r="M852" s="3">
        <f t="shared" si="94"/>
        <v>95033</v>
      </c>
      <c r="N852">
        <f t="shared" si="95"/>
        <v>25</v>
      </c>
      <c r="O852" s="3" t="e">
        <f t="shared" si="96"/>
        <v>#N/A</v>
      </c>
      <c r="P852" t="e">
        <f t="shared" si="97"/>
        <v>#N/A</v>
      </c>
    </row>
    <row r="853" spans="1:16" x14ac:dyDescent="0.25">
      <c r="A853">
        <v>462</v>
      </c>
      <c r="B853">
        <v>57</v>
      </c>
      <c r="C853" t="s">
        <v>18</v>
      </c>
      <c r="D853" s="3">
        <v>46563</v>
      </c>
      <c r="E853">
        <v>86</v>
      </c>
      <c r="F853">
        <v>4</v>
      </c>
      <c r="G853">
        <v>24</v>
      </c>
      <c r="H853" t="s">
        <v>14</v>
      </c>
      <c r="I853">
        <v>800.46</v>
      </c>
      <c r="J853" t="str">
        <f t="shared" si="91"/>
        <v>Low</v>
      </c>
      <c r="K853" s="4">
        <f t="shared" si="92"/>
        <v>46563</v>
      </c>
      <c r="L853">
        <f t="shared" si="93"/>
        <v>86</v>
      </c>
      <c r="M853" s="3" t="e">
        <f t="shared" si="94"/>
        <v>#N/A</v>
      </c>
      <c r="N853" t="e">
        <f t="shared" si="95"/>
        <v>#N/A</v>
      </c>
      <c r="O853" s="3" t="e">
        <f t="shared" si="96"/>
        <v>#N/A</v>
      </c>
      <c r="P853" t="e">
        <f t="shared" si="97"/>
        <v>#N/A</v>
      </c>
    </row>
    <row r="854" spans="1:16" x14ac:dyDescent="0.25">
      <c r="A854">
        <v>479</v>
      </c>
      <c r="B854">
        <v>58</v>
      </c>
      <c r="C854" t="s">
        <v>18</v>
      </c>
      <c r="D854" s="3">
        <v>137836</v>
      </c>
      <c r="E854">
        <v>19</v>
      </c>
      <c r="F854">
        <v>9</v>
      </c>
      <c r="G854">
        <v>21</v>
      </c>
      <c r="H854" t="s">
        <v>14</v>
      </c>
      <c r="I854">
        <v>172.39</v>
      </c>
      <c r="J854" t="str">
        <f t="shared" si="91"/>
        <v>High</v>
      </c>
      <c r="K854" s="4" t="e">
        <f t="shared" si="92"/>
        <v>#N/A</v>
      </c>
      <c r="L854" t="e">
        <f t="shared" si="93"/>
        <v>#N/A</v>
      </c>
      <c r="M854" s="3" t="e">
        <f t="shared" si="94"/>
        <v>#N/A</v>
      </c>
      <c r="N854" t="e">
        <f t="shared" si="95"/>
        <v>#N/A</v>
      </c>
      <c r="O854" s="3">
        <f t="shared" si="96"/>
        <v>137836</v>
      </c>
      <c r="P854">
        <f t="shared" si="97"/>
        <v>19</v>
      </c>
    </row>
    <row r="855" spans="1:16" x14ac:dyDescent="0.25">
      <c r="A855">
        <v>498</v>
      </c>
      <c r="B855">
        <v>54</v>
      </c>
      <c r="C855" t="s">
        <v>18</v>
      </c>
      <c r="D855" s="3">
        <v>43308</v>
      </c>
      <c r="E855">
        <v>56</v>
      </c>
      <c r="F855">
        <v>5</v>
      </c>
      <c r="G855">
        <v>50</v>
      </c>
      <c r="H855" t="s">
        <v>14</v>
      </c>
      <c r="I855">
        <v>667.92</v>
      </c>
      <c r="J855" t="str">
        <f t="shared" si="91"/>
        <v>Low</v>
      </c>
      <c r="K855" s="4">
        <f t="shared" si="92"/>
        <v>43308</v>
      </c>
      <c r="L855">
        <f t="shared" si="93"/>
        <v>56</v>
      </c>
      <c r="M855" s="3" t="e">
        <f t="shared" si="94"/>
        <v>#N/A</v>
      </c>
      <c r="N855" t="e">
        <f t="shared" si="95"/>
        <v>#N/A</v>
      </c>
      <c r="O855" s="3" t="e">
        <f t="shared" si="96"/>
        <v>#N/A</v>
      </c>
      <c r="P855" t="e">
        <f t="shared" si="97"/>
        <v>#N/A</v>
      </c>
    </row>
    <row r="856" spans="1:16" x14ac:dyDescent="0.25">
      <c r="A856">
        <v>502</v>
      </c>
      <c r="B856">
        <v>61</v>
      </c>
      <c r="C856" t="s">
        <v>18</v>
      </c>
      <c r="D856" s="3">
        <v>41730</v>
      </c>
      <c r="E856">
        <v>2</v>
      </c>
      <c r="F856">
        <v>9</v>
      </c>
      <c r="G856">
        <v>20</v>
      </c>
      <c r="H856" t="s">
        <v>14</v>
      </c>
      <c r="I856">
        <v>177.64</v>
      </c>
      <c r="J856" t="str">
        <f t="shared" si="91"/>
        <v>Low</v>
      </c>
      <c r="K856" s="4">
        <f t="shared" si="92"/>
        <v>41730</v>
      </c>
      <c r="L856">
        <f t="shared" si="93"/>
        <v>2</v>
      </c>
      <c r="M856" s="3" t="e">
        <f t="shared" si="94"/>
        <v>#N/A</v>
      </c>
      <c r="N856" t="e">
        <f t="shared" si="95"/>
        <v>#N/A</v>
      </c>
      <c r="O856" s="3" t="e">
        <f t="shared" si="96"/>
        <v>#N/A</v>
      </c>
      <c r="P856" t="e">
        <f t="shared" si="97"/>
        <v>#N/A</v>
      </c>
    </row>
    <row r="857" spans="1:16" x14ac:dyDescent="0.25">
      <c r="A857">
        <v>523</v>
      </c>
      <c r="B857">
        <v>32</v>
      </c>
      <c r="C857" t="s">
        <v>18</v>
      </c>
      <c r="D857" s="3">
        <v>58144</v>
      </c>
      <c r="E857">
        <v>4</v>
      </c>
      <c r="F857">
        <v>5</v>
      </c>
      <c r="G857">
        <v>16</v>
      </c>
      <c r="H857" t="s">
        <v>14</v>
      </c>
      <c r="I857">
        <v>923.37</v>
      </c>
      <c r="J857" t="str">
        <f t="shared" si="91"/>
        <v>Medium</v>
      </c>
      <c r="K857" s="4" t="e">
        <f t="shared" si="92"/>
        <v>#N/A</v>
      </c>
      <c r="L857" t="e">
        <f t="shared" si="93"/>
        <v>#N/A</v>
      </c>
      <c r="M857" s="3">
        <f t="shared" si="94"/>
        <v>58144</v>
      </c>
      <c r="N857">
        <f t="shared" si="95"/>
        <v>4</v>
      </c>
      <c r="O857" s="3" t="e">
        <f t="shared" si="96"/>
        <v>#N/A</v>
      </c>
      <c r="P857" t="e">
        <f t="shared" si="97"/>
        <v>#N/A</v>
      </c>
    </row>
    <row r="858" spans="1:16" x14ac:dyDescent="0.25">
      <c r="A858">
        <v>541</v>
      </c>
      <c r="B858">
        <v>33</v>
      </c>
      <c r="C858" t="s">
        <v>18</v>
      </c>
      <c r="D858" s="3">
        <v>103063</v>
      </c>
      <c r="E858">
        <v>16</v>
      </c>
      <c r="F858">
        <v>3</v>
      </c>
      <c r="G858">
        <v>4</v>
      </c>
      <c r="H858" t="s">
        <v>14</v>
      </c>
      <c r="I858">
        <v>998.51</v>
      </c>
      <c r="J858" t="str">
        <f t="shared" si="91"/>
        <v>High</v>
      </c>
      <c r="K858" s="4" t="e">
        <f t="shared" si="92"/>
        <v>#N/A</v>
      </c>
      <c r="L858" t="e">
        <f t="shared" si="93"/>
        <v>#N/A</v>
      </c>
      <c r="M858" s="3" t="e">
        <f t="shared" si="94"/>
        <v>#N/A</v>
      </c>
      <c r="N858" t="e">
        <f t="shared" si="95"/>
        <v>#N/A</v>
      </c>
      <c r="O858" s="3">
        <f t="shared" si="96"/>
        <v>103063</v>
      </c>
      <c r="P858">
        <f t="shared" si="97"/>
        <v>16</v>
      </c>
    </row>
    <row r="859" spans="1:16" x14ac:dyDescent="0.25">
      <c r="A859">
        <v>571</v>
      </c>
      <c r="B859">
        <v>36</v>
      </c>
      <c r="C859" t="s">
        <v>18</v>
      </c>
      <c r="D859" s="3">
        <v>31458</v>
      </c>
      <c r="E859">
        <v>40</v>
      </c>
      <c r="F859">
        <v>4</v>
      </c>
      <c r="G859">
        <v>6</v>
      </c>
      <c r="H859" t="s">
        <v>14</v>
      </c>
      <c r="I859">
        <v>371.77</v>
      </c>
      <c r="J859" t="str">
        <f t="shared" si="91"/>
        <v>Low</v>
      </c>
      <c r="K859" s="4">
        <f t="shared" si="92"/>
        <v>31458</v>
      </c>
      <c r="L859">
        <f t="shared" si="93"/>
        <v>40</v>
      </c>
      <c r="M859" s="3" t="e">
        <f t="shared" si="94"/>
        <v>#N/A</v>
      </c>
      <c r="N859" t="e">
        <f t="shared" si="95"/>
        <v>#N/A</v>
      </c>
      <c r="O859" s="3" t="e">
        <f t="shared" si="96"/>
        <v>#N/A</v>
      </c>
      <c r="P859" t="e">
        <f t="shared" si="97"/>
        <v>#N/A</v>
      </c>
    </row>
    <row r="860" spans="1:16" x14ac:dyDescent="0.25">
      <c r="A860">
        <v>576</v>
      </c>
      <c r="B860">
        <v>51</v>
      </c>
      <c r="C860" t="s">
        <v>18</v>
      </c>
      <c r="D860" s="3">
        <v>149256</v>
      </c>
      <c r="E860">
        <v>96</v>
      </c>
      <c r="F860">
        <v>1</v>
      </c>
      <c r="G860">
        <v>31</v>
      </c>
      <c r="H860" t="s">
        <v>14</v>
      </c>
      <c r="I860">
        <v>266.83</v>
      </c>
      <c r="J860" t="str">
        <f t="shared" si="91"/>
        <v>High</v>
      </c>
      <c r="K860" s="4" t="e">
        <f t="shared" si="92"/>
        <v>#N/A</v>
      </c>
      <c r="L860" t="e">
        <f t="shared" si="93"/>
        <v>#N/A</v>
      </c>
      <c r="M860" s="3" t="e">
        <f t="shared" si="94"/>
        <v>#N/A</v>
      </c>
      <c r="N860" t="e">
        <f t="shared" si="95"/>
        <v>#N/A</v>
      </c>
      <c r="O860" s="3">
        <f t="shared" si="96"/>
        <v>149256</v>
      </c>
      <c r="P860">
        <f t="shared" si="97"/>
        <v>96</v>
      </c>
    </row>
    <row r="861" spans="1:16" x14ac:dyDescent="0.25">
      <c r="A861">
        <v>579</v>
      </c>
      <c r="B861">
        <v>21</v>
      </c>
      <c r="C861" t="s">
        <v>18</v>
      </c>
      <c r="D861" s="3">
        <v>71227</v>
      </c>
      <c r="E861">
        <v>17</v>
      </c>
      <c r="F861">
        <v>10</v>
      </c>
      <c r="G861">
        <v>12</v>
      </c>
      <c r="H861" t="s">
        <v>14</v>
      </c>
      <c r="I861">
        <v>101.48</v>
      </c>
      <c r="J861" t="str">
        <f t="shared" si="91"/>
        <v>Medium</v>
      </c>
      <c r="K861" s="4" t="e">
        <f t="shared" si="92"/>
        <v>#N/A</v>
      </c>
      <c r="L861" t="e">
        <f t="shared" si="93"/>
        <v>#N/A</v>
      </c>
      <c r="M861" s="3">
        <f t="shared" si="94"/>
        <v>71227</v>
      </c>
      <c r="N861">
        <f t="shared" si="95"/>
        <v>17</v>
      </c>
      <c r="O861" s="3" t="e">
        <f t="shared" si="96"/>
        <v>#N/A</v>
      </c>
      <c r="P861" t="e">
        <f t="shared" si="97"/>
        <v>#N/A</v>
      </c>
    </row>
    <row r="862" spans="1:16" x14ac:dyDescent="0.25">
      <c r="A862">
        <v>605</v>
      </c>
      <c r="B862">
        <v>18</v>
      </c>
      <c r="C862" t="s">
        <v>18</v>
      </c>
      <c r="D862" s="3">
        <v>144275</v>
      </c>
      <c r="E862">
        <v>69</v>
      </c>
      <c r="F862">
        <v>9</v>
      </c>
      <c r="G862">
        <v>27</v>
      </c>
      <c r="H862" t="s">
        <v>14</v>
      </c>
      <c r="I862">
        <v>141.72</v>
      </c>
      <c r="J862" t="str">
        <f t="shared" si="91"/>
        <v>High</v>
      </c>
      <c r="K862" s="4" t="e">
        <f t="shared" si="92"/>
        <v>#N/A</v>
      </c>
      <c r="L862" t="e">
        <f t="shared" si="93"/>
        <v>#N/A</v>
      </c>
      <c r="M862" s="3" t="e">
        <f t="shared" si="94"/>
        <v>#N/A</v>
      </c>
      <c r="N862" t="e">
        <f t="shared" si="95"/>
        <v>#N/A</v>
      </c>
      <c r="O862" s="3">
        <f t="shared" si="96"/>
        <v>144275</v>
      </c>
      <c r="P862">
        <f t="shared" si="97"/>
        <v>69</v>
      </c>
    </row>
    <row r="863" spans="1:16" x14ac:dyDescent="0.25">
      <c r="A863">
        <v>612</v>
      </c>
      <c r="B863">
        <v>33</v>
      </c>
      <c r="C863" t="s">
        <v>18</v>
      </c>
      <c r="D863" s="3">
        <v>38271</v>
      </c>
      <c r="E863">
        <v>39</v>
      </c>
      <c r="F863">
        <v>10</v>
      </c>
      <c r="G863">
        <v>43</v>
      </c>
      <c r="H863" t="s">
        <v>14</v>
      </c>
      <c r="I863">
        <v>99.52</v>
      </c>
      <c r="J863" t="str">
        <f t="shared" si="91"/>
        <v>Low</v>
      </c>
      <c r="K863" s="4">
        <f t="shared" si="92"/>
        <v>38271</v>
      </c>
      <c r="L863">
        <f t="shared" si="93"/>
        <v>39</v>
      </c>
      <c r="M863" s="3" t="e">
        <f t="shared" si="94"/>
        <v>#N/A</v>
      </c>
      <c r="N863" t="e">
        <f t="shared" si="95"/>
        <v>#N/A</v>
      </c>
      <c r="O863" s="3" t="e">
        <f t="shared" si="96"/>
        <v>#N/A</v>
      </c>
      <c r="P863" t="e">
        <f t="shared" si="97"/>
        <v>#N/A</v>
      </c>
    </row>
    <row r="864" spans="1:16" x14ac:dyDescent="0.25">
      <c r="A864">
        <v>627</v>
      </c>
      <c r="B864">
        <v>27</v>
      </c>
      <c r="C864" t="s">
        <v>18</v>
      </c>
      <c r="D864" s="3">
        <v>96762</v>
      </c>
      <c r="E864">
        <v>22</v>
      </c>
      <c r="F864">
        <v>3</v>
      </c>
      <c r="G864">
        <v>10</v>
      </c>
      <c r="H864" t="s">
        <v>14</v>
      </c>
      <c r="I864">
        <v>551.42999999999995</v>
      </c>
      <c r="J864" t="str">
        <f t="shared" si="91"/>
        <v>Medium</v>
      </c>
      <c r="K864" s="4" t="e">
        <f t="shared" si="92"/>
        <v>#N/A</v>
      </c>
      <c r="L864" t="e">
        <f t="shared" si="93"/>
        <v>#N/A</v>
      </c>
      <c r="M864" s="3">
        <f t="shared" si="94"/>
        <v>96762</v>
      </c>
      <c r="N864">
        <f t="shared" si="95"/>
        <v>22</v>
      </c>
      <c r="O864" s="3" t="e">
        <f t="shared" si="96"/>
        <v>#N/A</v>
      </c>
      <c r="P864" t="e">
        <f t="shared" si="97"/>
        <v>#N/A</v>
      </c>
    </row>
    <row r="865" spans="1:16" x14ac:dyDescent="0.25">
      <c r="A865">
        <v>633</v>
      </c>
      <c r="B865">
        <v>43</v>
      </c>
      <c r="C865" t="s">
        <v>18</v>
      </c>
      <c r="D865" s="3">
        <v>97989</v>
      </c>
      <c r="E865">
        <v>14</v>
      </c>
      <c r="F865">
        <v>6</v>
      </c>
      <c r="G865">
        <v>49</v>
      </c>
      <c r="H865" t="s">
        <v>14</v>
      </c>
      <c r="I865">
        <v>886.61</v>
      </c>
      <c r="J865" t="str">
        <f t="shared" si="91"/>
        <v>Medium</v>
      </c>
      <c r="K865" s="4" t="e">
        <f t="shared" si="92"/>
        <v>#N/A</v>
      </c>
      <c r="L865" t="e">
        <f t="shared" si="93"/>
        <v>#N/A</v>
      </c>
      <c r="M865" s="3">
        <f t="shared" si="94"/>
        <v>97989</v>
      </c>
      <c r="N865">
        <f t="shared" si="95"/>
        <v>14</v>
      </c>
      <c r="O865" s="3" t="e">
        <f t="shared" si="96"/>
        <v>#N/A</v>
      </c>
      <c r="P865" t="e">
        <f t="shared" si="97"/>
        <v>#N/A</v>
      </c>
    </row>
    <row r="866" spans="1:16" x14ac:dyDescent="0.25">
      <c r="A866">
        <v>635</v>
      </c>
      <c r="B866">
        <v>23</v>
      </c>
      <c r="C866" t="s">
        <v>18</v>
      </c>
      <c r="D866" s="3">
        <v>122669</v>
      </c>
      <c r="E866">
        <v>15</v>
      </c>
      <c r="F866">
        <v>3</v>
      </c>
      <c r="G866">
        <v>4</v>
      </c>
      <c r="H866" t="s">
        <v>14</v>
      </c>
      <c r="I866">
        <v>248.68</v>
      </c>
      <c r="J866" t="str">
        <f t="shared" si="91"/>
        <v>High</v>
      </c>
      <c r="K866" s="4" t="e">
        <f t="shared" si="92"/>
        <v>#N/A</v>
      </c>
      <c r="L866" t="e">
        <f t="shared" si="93"/>
        <v>#N/A</v>
      </c>
      <c r="M866" s="3" t="e">
        <f t="shared" si="94"/>
        <v>#N/A</v>
      </c>
      <c r="N866" t="e">
        <f t="shared" si="95"/>
        <v>#N/A</v>
      </c>
      <c r="O866" s="3">
        <f t="shared" si="96"/>
        <v>122669</v>
      </c>
      <c r="P866">
        <f t="shared" si="97"/>
        <v>15</v>
      </c>
    </row>
    <row r="867" spans="1:16" x14ac:dyDescent="0.25">
      <c r="A867">
        <v>642</v>
      </c>
      <c r="B867">
        <v>34</v>
      </c>
      <c r="C867" t="s">
        <v>18</v>
      </c>
      <c r="D867" s="3">
        <v>114408</v>
      </c>
      <c r="E867">
        <v>38</v>
      </c>
      <c r="F867">
        <v>7</v>
      </c>
      <c r="G867">
        <v>28</v>
      </c>
      <c r="H867" t="s">
        <v>14</v>
      </c>
      <c r="I867">
        <v>647.35</v>
      </c>
      <c r="J867" t="str">
        <f t="shared" si="91"/>
        <v>High</v>
      </c>
      <c r="K867" s="4" t="e">
        <f t="shared" si="92"/>
        <v>#N/A</v>
      </c>
      <c r="L867" t="e">
        <f t="shared" si="93"/>
        <v>#N/A</v>
      </c>
      <c r="M867" s="3" t="e">
        <f t="shared" si="94"/>
        <v>#N/A</v>
      </c>
      <c r="N867" t="e">
        <f t="shared" si="95"/>
        <v>#N/A</v>
      </c>
      <c r="O867" s="3">
        <f t="shared" si="96"/>
        <v>114408</v>
      </c>
      <c r="P867">
        <f t="shared" si="97"/>
        <v>38</v>
      </c>
    </row>
    <row r="868" spans="1:16" x14ac:dyDescent="0.25">
      <c r="A868">
        <v>651</v>
      </c>
      <c r="B868">
        <v>27</v>
      </c>
      <c r="C868" t="s">
        <v>18</v>
      </c>
      <c r="D868" s="3">
        <v>113174</v>
      </c>
      <c r="E868">
        <v>36</v>
      </c>
      <c r="F868">
        <v>3</v>
      </c>
      <c r="G868">
        <v>46</v>
      </c>
      <c r="H868" t="s">
        <v>14</v>
      </c>
      <c r="I868">
        <v>499.07</v>
      </c>
      <c r="J868" t="str">
        <f t="shared" si="91"/>
        <v>High</v>
      </c>
      <c r="K868" s="4" t="e">
        <f t="shared" si="92"/>
        <v>#N/A</v>
      </c>
      <c r="L868" t="e">
        <f t="shared" si="93"/>
        <v>#N/A</v>
      </c>
      <c r="M868" s="3" t="e">
        <f t="shared" si="94"/>
        <v>#N/A</v>
      </c>
      <c r="N868" t="e">
        <f t="shared" si="95"/>
        <v>#N/A</v>
      </c>
      <c r="O868" s="3">
        <f t="shared" si="96"/>
        <v>113174</v>
      </c>
      <c r="P868">
        <f t="shared" si="97"/>
        <v>36</v>
      </c>
    </row>
    <row r="869" spans="1:16" x14ac:dyDescent="0.25">
      <c r="A869">
        <v>702</v>
      </c>
      <c r="B869">
        <v>26</v>
      </c>
      <c r="C869" t="s">
        <v>18</v>
      </c>
      <c r="D869" s="3">
        <v>42499</v>
      </c>
      <c r="E869">
        <v>92</v>
      </c>
      <c r="F869">
        <v>9</v>
      </c>
      <c r="G869">
        <v>50</v>
      </c>
      <c r="H869" t="s">
        <v>14</v>
      </c>
      <c r="I869">
        <v>37.57</v>
      </c>
      <c r="J869" t="str">
        <f t="shared" si="91"/>
        <v>Low</v>
      </c>
      <c r="K869" s="4">
        <f t="shared" si="92"/>
        <v>42499</v>
      </c>
      <c r="L869">
        <f t="shared" si="93"/>
        <v>92</v>
      </c>
      <c r="M869" s="3" t="e">
        <f t="shared" si="94"/>
        <v>#N/A</v>
      </c>
      <c r="N869" t="e">
        <f t="shared" si="95"/>
        <v>#N/A</v>
      </c>
      <c r="O869" s="3" t="e">
        <f t="shared" si="96"/>
        <v>#N/A</v>
      </c>
      <c r="P869" t="e">
        <f t="shared" si="97"/>
        <v>#N/A</v>
      </c>
    </row>
    <row r="870" spans="1:16" x14ac:dyDescent="0.25">
      <c r="A870">
        <v>710</v>
      </c>
      <c r="B870">
        <v>43</v>
      </c>
      <c r="C870" t="s">
        <v>18</v>
      </c>
      <c r="D870" s="3">
        <v>43545</v>
      </c>
      <c r="E870">
        <v>67</v>
      </c>
      <c r="F870">
        <v>5</v>
      </c>
      <c r="G870">
        <v>41</v>
      </c>
      <c r="H870" t="s">
        <v>14</v>
      </c>
      <c r="I870">
        <v>179.71</v>
      </c>
      <c r="J870" t="str">
        <f t="shared" si="91"/>
        <v>Low</v>
      </c>
      <c r="K870" s="4">
        <f t="shared" si="92"/>
        <v>43545</v>
      </c>
      <c r="L870">
        <f t="shared" si="93"/>
        <v>67</v>
      </c>
      <c r="M870" s="3" t="e">
        <f t="shared" si="94"/>
        <v>#N/A</v>
      </c>
      <c r="N870" t="e">
        <f t="shared" si="95"/>
        <v>#N/A</v>
      </c>
      <c r="O870" s="3" t="e">
        <f t="shared" si="96"/>
        <v>#N/A</v>
      </c>
      <c r="P870" t="e">
        <f t="shared" si="97"/>
        <v>#N/A</v>
      </c>
    </row>
    <row r="871" spans="1:16" x14ac:dyDescent="0.25">
      <c r="A871">
        <v>713</v>
      </c>
      <c r="B871">
        <v>19</v>
      </c>
      <c r="C871" t="s">
        <v>18</v>
      </c>
      <c r="D871" s="3">
        <v>76416</v>
      </c>
      <c r="E871">
        <v>26</v>
      </c>
      <c r="F871">
        <v>6</v>
      </c>
      <c r="G871">
        <v>20</v>
      </c>
      <c r="H871" t="s">
        <v>14</v>
      </c>
      <c r="I871">
        <v>385.1</v>
      </c>
      <c r="J871" t="str">
        <f t="shared" si="91"/>
        <v>Medium</v>
      </c>
      <c r="K871" s="4" t="e">
        <f t="shared" si="92"/>
        <v>#N/A</v>
      </c>
      <c r="L871" t="e">
        <f t="shared" si="93"/>
        <v>#N/A</v>
      </c>
      <c r="M871" s="3">
        <f t="shared" si="94"/>
        <v>76416</v>
      </c>
      <c r="N871">
        <f t="shared" si="95"/>
        <v>26</v>
      </c>
      <c r="O871" s="3" t="e">
        <f t="shared" si="96"/>
        <v>#N/A</v>
      </c>
      <c r="P871" t="e">
        <f t="shared" si="97"/>
        <v>#N/A</v>
      </c>
    </row>
    <row r="872" spans="1:16" x14ac:dyDescent="0.25">
      <c r="A872">
        <v>738</v>
      </c>
      <c r="B872">
        <v>18</v>
      </c>
      <c r="C872" t="s">
        <v>18</v>
      </c>
      <c r="D872" s="3">
        <v>136320</v>
      </c>
      <c r="E872">
        <v>52</v>
      </c>
      <c r="F872">
        <v>5</v>
      </c>
      <c r="G872">
        <v>42</v>
      </c>
      <c r="H872" t="s">
        <v>14</v>
      </c>
      <c r="I872">
        <v>891.19</v>
      </c>
      <c r="J872" t="str">
        <f t="shared" si="91"/>
        <v>High</v>
      </c>
      <c r="K872" s="4" t="e">
        <f t="shared" si="92"/>
        <v>#N/A</v>
      </c>
      <c r="L872" t="e">
        <f t="shared" si="93"/>
        <v>#N/A</v>
      </c>
      <c r="M872" s="3" t="e">
        <f t="shared" si="94"/>
        <v>#N/A</v>
      </c>
      <c r="N872" t="e">
        <f t="shared" si="95"/>
        <v>#N/A</v>
      </c>
      <c r="O872" s="3">
        <f t="shared" si="96"/>
        <v>136320</v>
      </c>
      <c r="P872">
        <f t="shared" si="97"/>
        <v>52</v>
      </c>
    </row>
    <row r="873" spans="1:16" x14ac:dyDescent="0.25">
      <c r="A873">
        <v>740</v>
      </c>
      <c r="B873">
        <v>62</v>
      </c>
      <c r="C873" t="s">
        <v>18</v>
      </c>
      <c r="D873" s="3">
        <v>119083</v>
      </c>
      <c r="E873">
        <v>18</v>
      </c>
      <c r="F873">
        <v>4</v>
      </c>
      <c r="G873">
        <v>28</v>
      </c>
      <c r="H873" t="s">
        <v>14</v>
      </c>
      <c r="I873">
        <v>317.77999999999997</v>
      </c>
      <c r="J873" t="str">
        <f t="shared" si="91"/>
        <v>High</v>
      </c>
      <c r="K873" s="4" t="e">
        <f t="shared" si="92"/>
        <v>#N/A</v>
      </c>
      <c r="L873" t="e">
        <f t="shared" si="93"/>
        <v>#N/A</v>
      </c>
      <c r="M873" s="3" t="e">
        <f t="shared" si="94"/>
        <v>#N/A</v>
      </c>
      <c r="N873" t="e">
        <f t="shared" si="95"/>
        <v>#N/A</v>
      </c>
      <c r="O873" s="3">
        <f t="shared" si="96"/>
        <v>119083</v>
      </c>
      <c r="P873">
        <f t="shared" si="97"/>
        <v>18</v>
      </c>
    </row>
    <row r="874" spans="1:16" x14ac:dyDescent="0.25">
      <c r="A874">
        <v>741</v>
      </c>
      <c r="B874">
        <v>50</v>
      </c>
      <c r="C874" t="s">
        <v>18</v>
      </c>
      <c r="D874" s="3">
        <v>50944</v>
      </c>
      <c r="E874">
        <v>24</v>
      </c>
      <c r="F874">
        <v>3</v>
      </c>
      <c r="G874">
        <v>36</v>
      </c>
      <c r="H874" t="s">
        <v>14</v>
      </c>
      <c r="I874">
        <v>121.22</v>
      </c>
      <c r="J874" t="str">
        <f t="shared" si="91"/>
        <v>Medium</v>
      </c>
      <c r="K874" s="4" t="e">
        <f t="shared" si="92"/>
        <v>#N/A</v>
      </c>
      <c r="L874" t="e">
        <f t="shared" si="93"/>
        <v>#N/A</v>
      </c>
      <c r="M874" s="3">
        <f t="shared" si="94"/>
        <v>50944</v>
      </c>
      <c r="N874">
        <f t="shared" si="95"/>
        <v>24</v>
      </c>
      <c r="O874" s="3" t="e">
        <f t="shared" si="96"/>
        <v>#N/A</v>
      </c>
      <c r="P874" t="e">
        <f t="shared" si="97"/>
        <v>#N/A</v>
      </c>
    </row>
    <row r="875" spans="1:16" x14ac:dyDescent="0.25">
      <c r="A875">
        <v>756</v>
      </c>
      <c r="B875">
        <v>30</v>
      </c>
      <c r="C875" t="s">
        <v>18</v>
      </c>
      <c r="D875" s="3">
        <v>111050</v>
      </c>
      <c r="E875">
        <v>61</v>
      </c>
      <c r="F875">
        <v>10</v>
      </c>
      <c r="G875">
        <v>32</v>
      </c>
      <c r="H875" t="s">
        <v>14</v>
      </c>
      <c r="I875">
        <v>213.88</v>
      </c>
      <c r="J875" t="str">
        <f t="shared" si="91"/>
        <v>High</v>
      </c>
      <c r="K875" s="4" t="e">
        <f t="shared" si="92"/>
        <v>#N/A</v>
      </c>
      <c r="L875" t="e">
        <f t="shared" si="93"/>
        <v>#N/A</v>
      </c>
      <c r="M875" s="3" t="e">
        <f t="shared" si="94"/>
        <v>#N/A</v>
      </c>
      <c r="N875" t="e">
        <f t="shared" si="95"/>
        <v>#N/A</v>
      </c>
      <c r="O875" s="3">
        <f t="shared" si="96"/>
        <v>111050</v>
      </c>
      <c r="P875">
        <f t="shared" si="97"/>
        <v>61</v>
      </c>
    </row>
    <row r="876" spans="1:16" x14ac:dyDescent="0.25">
      <c r="A876">
        <v>785</v>
      </c>
      <c r="B876">
        <v>45</v>
      </c>
      <c r="C876" t="s">
        <v>18</v>
      </c>
      <c r="D876" s="3">
        <v>88366</v>
      </c>
      <c r="E876">
        <v>22</v>
      </c>
      <c r="F876">
        <v>10</v>
      </c>
      <c r="G876">
        <v>24</v>
      </c>
      <c r="H876" t="s">
        <v>14</v>
      </c>
      <c r="I876">
        <v>253.64</v>
      </c>
      <c r="J876" t="str">
        <f t="shared" si="91"/>
        <v>Medium</v>
      </c>
      <c r="K876" s="4" t="e">
        <f t="shared" si="92"/>
        <v>#N/A</v>
      </c>
      <c r="L876" t="e">
        <f t="shared" si="93"/>
        <v>#N/A</v>
      </c>
      <c r="M876" s="3">
        <f t="shared" si="94"/>
        <v>88366</v>
      </c>
      <c r="N876">
        <f t="shared" si="95"/>
        <v>22</v>
      </c>
      <c r="O876" s="3" t="e">
        <f t="shared" si="96"/>
        <v>#N/A</v>
      </c>
      <c r="P876" t="e">
        <f t="shared" si="97"/>
        <v>#N/A</v>
      </c>
    </row>
    <row r="877" spans="1:16" x14ac:dyDescent="0.25">
      <c r="A877">
        <v>795</v>
      </c>
      <c r="B877">
        <v>33</v>
      </c>
      <c r="C877" t="s">
        <v>18</v>
      </c>
      <c r="D877" s="3">
        <v>45432</v>
      </c>
      <c r="E877">
        <v>11</v>
      </c>
      <c r="F877">
        <v>4</v>
      </c>
      <c r="G877">
        <v>42</v>
      </c>
      <c r="H877" t="s">
        <v>14</v>
      </c>
      <c r="I877">
        <v>990.34</v>
      </c>
      <c r="J877" t="str">
        <f t="shared" si="91"/>
        <v>Low</v>
      </c>
      <c r="K877" s="4">
        <f t="shared" si="92"/>
        <v>45432</v>
      </c>
      <c r="L877">
        <f t="shared" si="93"/>
        <v>11</v>
      </c>
      <c r="M877" s="3" t="e">
        <f t="shared" si="94"/>
        <v>#N/A</v>
      </c>
      <c r="N877" t="e">
        <f t="shared" si="95"/>
        <v>#N/A</v>
      </c>
      <c r="O877" s="3" t="e">
        <f t="shared" si="96"/>
        <v>#N/A</v>
      </c>
      <c r="P877" t="e">
        <f t="shared" si="97"/>
        <v>#N/A</v>
      </c>
    </row>
    <row r="878" spans="1:16" x14ac:dyDescent="0.25">
      <c r="A878">
        <v>825</v>
      </c>
      <c r="B878">
        <v>30</v>
      </c>
      <c r="C878" t="s">
        <v>18</v>
      </c>
      <c r="D878" s="3">
        <v>121358</v>
      </c>
      <c r="E878">
        <v>16</v>
      </c>
      <c r="F878">
        <v>1</v>
      </c>
      <c r="G878">
        <v>2</v>
      </c>
      <c r="H878" t="s">
        <v>14</v>
      </c>
      <c r="I878">
        <v>122.7</v>
      </c>
      <c r="J878" t="str">
        <f t="shared" si="91"/>
        <v>High</v>
      </c>
      <c r="K878" s="4" t="e">
        <f t="shared" si="92"/>
        <v>#N/A</v>
      </c>
      <c r="L878" t="e">
        <f t="shared" si="93"/>
        <v>#N/A</v>
      </c>
      <c r="M878" s="3" t="e">
        <f t="shared" si="94"/>
        <v>#N/A</v>
      </c>
      <c r="N878" t="e">
        <f t="shared" si="95"/>
        <v>#N/A</v>
      </c>
      <c r="O878" s="3">
        <f t="shared" si="96"/>
        <v>121358</v>
      </c>
      <c r="P878">
        <f t="shared" si="97"/>
        <v>16</v>
      </c>
    </row>
    <row r="879" spans="1:16" x14ac:dyDescent="0.25">
      <c r="A879">
        <v>845</v>
      </c>
      <c r="B879">
        <v>45</v>
      </c>
      <c r="C879" t="s">
        <v>18</v>
      </c>
      <c r="D879" s="3">
        <v>57615</v>
      </c>
      <c r="E879">
        <v>30</v>
      </c>
      <c r="F879">
        <v>5</v>
      </c>
      <c r="G879">
        <v>15</v>
      </c>
      <c r="H879" t="s">
        <v>14</v>
      </c>
      <c r="I879">
        <v>998.09</v>
      </c>
      <c r="J879" t="str">
        <f t="shared" si="91"/>
        <v>Medium</v>
      </c>
      <c r="K879" s="4" t="e">
        <f t="shared" si="92"/>
        <v>#N/A</v>
      </c>
      <c r="L879" t="e">
        <f t="shared" si="93"/>
        <v>#N/A</v>
      </c>
      <c r="M879" s="3">
        <f t="shared" si="94"/>
        <v>57615</v>
      </c>
      <c r="N879">
        <f t="shared" si="95"/>
        <v>30</v>
      </c>
      <c r="O879" s="3" t="e">
        <f t="shared" si="96"/>
        <v>#N/A</v>
      </c>
      <c r="P879" t="e">
        <f t="shared" si="97"/>
        <v>#N/A</v>
      </c>
    </row>
    <row r="880" spans="1:16" x14ac:dyDescent="0.25">
      <c r="A880">
        <v>911</v>
      </c>
      <c r="B880">
        <v>66</v>
      </c>
      <c r="C880" t="s">
        <v>18</v>
      </c>
      <c r="D880" s="3">
        <v>55154</v>
      </c>
      <c r="E880">
        <v>93</v>
      </c>
      <c r="F880">
        <v>3</v>
      </c>
      <c r="G880">
        <v>19</v>
      </c>
      <c r="H880" t="s">
        <v>14</v>
      </c>
      <c r="I880">
        <v>684.88</v>
      </c>
      <c r="J880" t="str">
        <f t="shared" si="91"/>
        <v>Medium</v>
      </c>
      <c r="K880" s="4" t="e">
        <f t="shared" si="92"/>
        <v>#N/A</v>
      </c>
      <c r="L880" t="e">
        <f t="shared" si="93"/>
        <v>#N/A</v>
      </c>
      <c r="M880" s="3">
        <f t="shared" si="94"/>
        <v>55154</v>
      </c>
      <c r="N880">
        <f t="shared" si="95"/>
        <v>93</v>
      </c>
      <c r="O880" s="3" t="e">
        <f t="shared" si="96"/>
        <v>#N/A</v>
      </c>
      <c r="P880" t="e">
        <f t="shared" si="97"/>
        <v>#N/A</v>
      </c>
    </row>
    <row r="881" spans="1:16" x14ac:dyDescent="0.25">
      <c r="A881">
        <v>943</v>
      </c>
      <c r="B881">
        <v>54</v>
      </c>
      <c r="C881" t="s">
        <v>18</v>
      </c>
      <c r="D881" s="3">
        <v>140081</v>
      </c>
      <c r="E881">
        <v>100</v>
      </c>
      <c r="F881">
        <v>1</v>
      </c>
      <c r="G881">
        <v>25</v>
      </c>
      <c r="H881" t="s">
        <v>14</v>
      </c>
      <c r="I881">
        <v>30.51</v>
      </c>
      <c r="J881" t="str">
        <f t="shared" si="91"/>
        <v>High</v>
      </c>
      <c r="K881" s="4" t="e">
        <f t="shared" si="92"/>
        <v>#N/A</v>
      </c>
      <c r="L881" t="e">
        <f t="shared" si="93"/>
        <v>#N/A</v>
      </c>
      <c r="M881" s="3" t="e">
        <f t="shared" si="94"/>
        <v>#N/A</v>
      </c>
      <c r="N881" t="e">
        <f t="shared" si="95"/>
        <v>#N/A</v>
      </c>
      <c r="O881" s="3">
        <f t="shared" si="96"/>
        <v>140081</v>
      </c>
      <c r="P881">
        <f t="shared" si="97"/>
        <v>100</v>
      </c>
    </row>
    <row r="882" spans="1:16" x14ac:dyDescent="0.25">
      <c r="A882">
        <v>983</v>
      </c>
      <c r="B882">
        <v>68</v>
      </c>
      <c r="C882" t="s">
        <v>18</v>
      </c>
      <c r="D882" s="3">
        <v>117203</v>
      </c>
      <c r="E882">
        <v>76</v>
      </c>
      <c r="F882">
        <v>7</v>
      </c>
      <c r="G882">
        <v>38</v>
      </c>
      <c r="H882" t="s">
        <v>14</v>
      </c>
      <c r="I882">
        <v>363.94</v>
      </c>
      <c r="J882" t="str">
        <f t="shared" si="91"/>
        <v>High</v>
      </c>
      <c r="K882" s="4" t="e">
        <f t="shared" si="92"/>
        <v>#N/A</v>
      </c>
      <c r="L882" t="e">
        <f t="shared" si="93"/>
        <v>#N/A</v>
      </c>
      <c r="M882" s="3" t="e">
        <f t="shared" si="94"/>
        <v>#N/A</v>
      </c>
      <c r="N882" t="e">
        <f t="shared" si="95"/>
        <v>#N/A</v>
      </c>
      <c r="O882" s="3">
        <f t="shared" si="96"/>
        <v>117203</v>
      </c>
      <c r="P882">
        <f t="shared" si="97"/>
        <v>76</v>
      </c>
    </row>
    <row r="883" spans="1:16" x14ac:dyDescent="0.25">
      <c r="A883">
        <v>994</v>
      </c>
      <c r="B883">
        <v>29</v>
      </c>
      <c r="C883" t="s">
        <v>18</v>
      </c>
      <c r="D883" s="3">
        <v>64799</v>
      </c>
      <c r="E883">
        <v>42</v>
      </c>
      <c r="F883">
        <v>5</v>
      </c>
      <c r="G883">
        <v>19</v>
      </c>
      <c r="H883" t="s">
        <v>14</v>
      </c>
      <c r="I883">
        <v>967.26</v>
      </c>
      <c r="J883" t="str">
        <f t="shared" si="91"/>
        <v>Medium</v>
      </c>
      <c r="K883" s="4" t="e">
        <f t="shared" si="92"/>
        <v>#N/A</v>
      </c>
      <c r="L883" t="e">
        <f t="shared" si="93"/>
        <v>#N/A</v>
      </c>
      <c r="M883" s="3">
        <f t="shared" si="94"/>
        <v>64799</v>
      </c>
      <c r="N883">
        <f t="shared" si="95"/>
        <v>42</v>
      </c>
      <c r="O883" s="3" t="e">
        <f t="shared" si="96"/>
        <v>#N/A</v>
      </c>
      <c r="P883" t="e">
        <f t="shared" si="97"/>
        <v>#N/A</v>
      </c>
    </row>
    <row r="884" spans="1:16" x14ac:dyDescent="0.25">
      <c r="A884">
        <v>999</v>
      </c>
      <c r="B884">
        <v>22</v>
      </c>
      <c r="C884" t="s">
        <v>18</v>
      </c>
      <c r="D884" s="3">
        <v>113695</v>
      </c>
      <c r="E884">
        <v>63</v>
      </c>
      <c r="F884">
        <v>7</v>
      </c>
      <c r="G884">
        <v>44</v>
      </c>
      <c r="H884" t="s">
        <v>14</v>
      </c>
      <c r="I884">
        <v>505.16</v>
      </c>
      <c r="J884" t="str">
        <f t="shared" si="91"/>
        <v>High</v>
      </c>
      <c r="K884" s="4" t="e">
        <f t="shared" si="92"/>
        <v>#N/A</v>
      </c>
      <c r="L884" t="e">
        <f t="shared" si="93"/>
        <v>#N/A</v>
      </c>
      <c r="M884" s="3" t="e">
        <f t="shared" si="94"/>
        <v>#N/A</v>
      </c>
      <c r="N884" t="e">
        <f t="shared" si="95"/>
        <v>#N/A</v>
      </c>
      <c r="O884" s="3">
        <f t="shared" si="96"/>
        <v>113695</v>
      </c>
      <c r="P884">
        <f t="shared" si="97"/>
        <v>63</v>
      </c>
    </row>
    <row r="885" spans="1:16" x14ac:dyDescent="0.25">
      <c r="A885">
        <v>2</v>
      </c>
      <c r="B885">
        <v>21</v>
      </c>
      <c r="C885" t="s">
        <v>18</v>
      </c>
      <c r="D885" s="3">
        <v>78852</v>
      </c>
      <c r="E885">
        <v>60</v>
      </c>
      <c r="F885">
        <v>2</v>
      </c>
      <c r="G885">
        <v>42</v>
      </c>
      <c r="H885" t="s">
        <v>15</v>
      </c>
      <c r="I885">
        <v>41.93</v>
      </c>
      <c r="J885" t="str">
        <f t="shared" si="91"/>
        <v>Medium</v>
      </c>
      <c r="K885" s="4" t="e">
        <f t="shared" si="92"/>
        <v>#N/A</v>
      </c>
      <c r="L885" t="e">
        <f t="shared" si="93"/>
        <v>#N/A</v>
      </c>
      <c r="M885" s="3">
        <f t="shared" si="94"/>
        <v>78852</v>
      </c>
      <c r="N885">
        <f t="shared" si="95"/>
        <v>60</v>
      </c>
      <c r="O885" s="3" t="e">
        <f t="shared" si="96"/>
        <v>#N/A</v>
      </c>
      <c r="P885" t="e">
        <f t="shared" si="97"/>
        <v>#N/A</v>
      </c>
    </row>
    <row r="886" spans="1:16" x14ac:dyDescent="0.25">
      <c r="A886">
        <v>3</v>
      </c>
      <c r="B886">
        <v>60</v>
      </c>
      <c r="C886" t="s">
        <v>18</v>
      </c>
      <c r="D886" s="3">
        <v>126573</v>
      </c>
      <c r="E886">
        <v>30</v>
      </c>
      <c r="F886">
        <v>2</v>
      </c>
      <c r="G886">
        <v>28</v>
      </c>
      <c r="H886" t="s">
        <v>17</v>
      </c>
      <c r="I886">
        <v>424.36</v>
      </c>
      <c r="J886" t="str">
        <f t="shared" si="91"/>
        <v>High</v>
      </c>
      <c r="K886" s="4" t="e">
        <f t="shared" si="92"/>
        <v>#N/A</v>
      </c>
      <c r="L886" t="e">
        <f t="shared" si="93"/>
        <v>#N/A</v>
      </c>
      <c r="M886" s="3" t="e">
        <f t="shared" si="94"/>
        <v>#N/A</v>
      </c>
      <c r="N886" t="e">
        <f t="shared" si="95"/>
        <v>#N/A</v>
      </c>
      <c r="O886" s="3">
        <f t="shared" si="96"/>
        <v>126573</v>
      </c>
      <c r="P886">
        <f t="shared" si="97"/>
        <v>30</v>
      </c>
    </row>
    <row r="887" spans="1:16" x14ac:dyDescent="0.25">
      <c r="A887">
        <v>25</v>
      </c>
      <c r="B887">
        <v>69</v>
      </c>
      <c r="C887" t="s">
        <v>18</v>
      </c>
      <c r="D887" s="3">
        <v>36140</v>
      </c>
      <c r="E887">
        <v>78</v>
      </c>
      <c r="F887">
        <v>5</v>
      </c>
      <c r="G887">
        <v>39</v>
      </c>
      <c r="H887" t="s">
        <v>15</v>
      </c>
      <c r="I887">
        <v>508.86</v>
      </c>
      <c r="J887" t="str">
        <f t="shared" si="91"/>
        <v>Low</v>
      </c>
      <c r="K887" s="4">
        <f t="shared" si="92"/>
        <v>36140</v>
      </c>
      <c r="L887">
        <f t="shared" si="93"/>
        <v>78</v>
      </c>
      <c r="M887" s="3" t="e">
        <f t="shared" si="94"/>
        <v>#N/A</v>
      </c>
      <c r="N887" t="e">
        <f t="shared" si="95"/>
        <v>#N/A</v>
      </c>
      <c r="O887" s="3" t="e">
        <f t="shared" si="96"/>
        <v>#N/A</v>
      </c>
      <c r="P887" t="e">
        <f t="shared" si="97"/>
        <v>#N/A</v>
      </c>
    </row>
    <row r="888" spans="1:16" x14ac:dyDescent="0.25">
      <c r="A888">
        <v>28</v>
      </c>
      <c r="B888">
        <v>30</v>
      </c>
      <c r="C888" t="s">
        <v>18</v>
      </c>
      <c r="D888" s="3">
        <v>50680</v>
      </c>
      <c r="E888">
        <v>19</v>
      </c>
      <c r="F888">
        <v>7</v>
      </c>
      <c r="G888">
        <v>27</v>
      </c>
      <c r="H888" t="s">
        <v>15</v>
      </c>
      <c r="I888">
        <v>515.88</v>
      </c>
      <c r="J888" t="str">
        <f t="shared" si="91"/>
        <v>Medium</v>
      </c>
      <c r="K888" s="4" t="e">
        <f t="shared" si="92"/>
        <v>#N/A</v>
      </c>
      <c r="L888" t="e">
        <f t="shared" si="93"/>
        <v>#N/A</v>
      </c>
      <c r="M888" s="3">
        <f t="shared" si="94"/>
        <v>50680</v>
      </c>
      <c r="N888">
        <f t="shared" si="95"/>
        <v>19</v>
      </c>
      <c r="O888" s="3" t="e">
        <f t="shared" si="96"/>
        <v>#N/A</v>
      </c>
      <c r="P888" t="e">
        <f t="shared" si="97"/>
        <v>#N/A</v>
      </c>
    </row>
    <row r="889" spans="1:16" x14ac:dyDescent="0.25">
      <c r="A889">
        <v>36</v>
      </c>
      <c r="B889">
        <v>30</v>
      </c>
      <c r="C889" t="s">
        <v>18</v>
      </c>
      <c r="D889" s="3">
        <v>73464</v>
      </c>
      <c r="E889">
        <v>37</v>
      </c>
      <c r="F889">
        <v>1</v>
      </c>
      <c r="G889">
        <v>6</v>
      </c>
      <c r="H889" t="s">
        <v>17</v>
      </c>
      <c r="I889">
        <v>532.51</v>
      </c>
      <c r="J889" t="str">
        <f t="shared" si="91"/>
        <v>Medium</v>
      </c>
      <c r="K889" s="4" t="e">
        <f t="shared" si="92"/>
        <v>#N/A</v>
      </c>
      <c r="L889" t="e">
        <f t="shared" si="93"/>
        <v>#N/A</v>
      </c>
      <c r="M889" s="3">
        <f t="shared" si="94"/>
        <v>73464</v>
      </c>
      <c r="N889">
        <f t="shared" si="95"/>
        <v>37</v>
      </c>
      <c r="O889" s="3" t="e">
        <f t="shared" si="96"/>
        <v>#N/A</v>
      </c>
      <c r="P889" t="e">
        <f t="shared" si="97"/>
        <v>#N/A</v>
      </c>
    </row>
    <row r="890" spans="1:16" x14ac:dyDescent="0.25">
      <c r="A890">
        <v>39</v>
      </c>
      <c r="B890">
        <v>31</v>
      </c>
      <c r="C890" t="s">
        <v>18</v>
      </c>
      <c r="D890" s="3">
        <v>75392</v>
      </c>
      <c r="E890">
        <v>43</v>
      </c>
      <c r="F890">
        <v>4</v>
      </c>
      <c r="G890">
        <v>29</v>
      </c>
      <c r="H890" t="s">
        <v>15</v>
      </c>
      <c r="I890">
        <v>88.44</v>
      </c>
      <c r="J890" t="str">
        <f t="shared" si="91"/>
        <v>Medium</v>
      </c>
      <c r="K890" s="4" t="e">
        <f t="shared" si="92"/>
        <v>#N/A</v>
      </c>
      <c r="L890" t="e">
        <f t="shared" si="93"/>
        <v>#N/A</v>
      </c>
      <c r="M890" s="3">
        <f t="shared" si="94"/>
        <v>75392</v>
      </c>
      <c r="N890">
        <f t="shared" si="95"/>
        <v>43</v>
      </c>
      <c r="O890" s="3" t="e">
        <f t="shared" si="96"/>
        <v>#N/A</v>
      </c>
      <c r="P890" t="e">
        <f t="shared" si="97"/>
        <v>#N/A</v>
      </c>
    </row>
    <row r="891" spans="1:16" x14ac:dyDescent="0.25">
      <c r="A891">
        <v>51</v>
      </c>
      <c r="B891">
        <v>61</v>
      </c>
      <c r="C891" t="s">
        <v>18</v>
      </c>
      <c r="D891" s="3">
        <v>61290</v>
      </c>
      <c r="E891">
        <v>83</v>
      </c>
      <c r="F891">
        <v>9</v>
      </c>
      <c r="G891">
        <v>35</v>
      </c>
      <c r="H891" t="s">
        <v>17</v>
      </c>
      <c r="I891">
        <v>110.32</v>
      </c>
      <c r="J891" t="str">
        <f t="shared" si="91"/>
        <v>Medium</v>
      </c>
      <c r="K891" s="4" t="e">
        <f t="shared" si="92"/>
        <v>#N/A</v>
      </c>
      <c r="L891" t="e">
        <f t="shared" si="93"/>
        <v>#N/A</v>
      </c>
      <c r="M891" s="3">
        <f t="shared" si="94"/>
        <v>61290</v>
      </c>
      <c r="N891">
        <f t="shared" si="95"/>
        <v>83</v>
      </c>
      <c r="O891" s="3" t="e">
        <f t="shared" si="96"/>
        <v>#N/A</v>
      </c>
      <c r="P891" t="e">
        <f t="shared" si="97"/>
        <v>#N/A</v>
      </c>
    </row>
    <row r="892" spans="1:16" x14ac:dyDescent="0.25">
      <c r="A892">
        <v>52</v>
      </c>
      <c r="B892">
        <v>24</v>
      </c>
      <c r="C892" t="s">
        <v>18</v>
      </c>
      <c r="D892" s="3">
        <v>96082</v>
      </c>
      <c r="E892">
        <v>83</v>
      </c>
      <c r="F892">
        <v>4</v>
      </c>
      <c r="G892">
        <v>36</v>
      </c>
      <c r="H892" t="s">
        <v>15</v>
      </c>
      <c r="I892">
        <v>589.35</v>
      </c>
      <c r="J892" t="str">
        <f t="shared" si="91"/>
        <v>Medium</v>
      </c>
      <c r="K892" s="4" t="e">
        <f t="shared" si="92"/>
        <v>#N/A</v>
      </c>
      <c r="L892" t="e">
        <f t="shared" si="93"/>
        <v>#N/A</v>
      </c>
      <c r="M892" s="3">
        <f t="shared" si="94"/>
        <v>96082</v>
      </c>
      <c r="N892">
        <f t="shared" si="95"/>
        <v>83</v>
      </c>
      <c r="O892" s="3" t="e">
        <f t="shared" si="96"/>
        <v>#N/A</v>
      </c>
      <c r="P892" t="e">
        <f t="shared" si="97"/>
        <v>#N/A</v>
      </c>
    </row>
    <row r="893" spans="1:16" x14ac:dyDescent="0.25">
      <c r="A893">
        <v>55</v>
      </c>
      <c r="B893">
        <v>56</v>
      </c>
      <c r="C893" t="s">
        <v>18</v>
      </c>
      <c r="D893" s="3">
        <v>85476</v>
      </c>
      <c r="E893">
        <v>55</v>
      </c>
      <c r="F893">
        <v>2</v>
      </c>
      <c r="G893">
        <v>41</v>
      </c>
      <c r="H893" t="s">
        <v>15</v>
      </c>
      <c r="I893">
        <v>774.5</v>
      </c>
      <c r="J893" t="str">
        <f t="shared" si="91"/>
        <v>Medium</v>
      </c>
      <c r="K893" s="4" t="e">
        <f t="shared" si="92"/>
        <v>#N/A</v>
      </c>
      <c r="L893" t="e">
        <f t="shared" si="93"/>
        <v>#N/A</v>
      </c>
      <c r="M893" s="3">
        <f t="shared" si="94"/>
        <v>85476</v>
      </c>
      <c r="N893">
        <f t="shared" si="95"/>
        <v>55</v>
      </c>
      <c r="O893" s="3" t="e">
        <f t="shared" si="96"/>
        <v>#N/A</v>
      </c>
      <c r="P893" t="e">
        <f t="shared" si="97"/>
        <v>#N/A</v>
      </c>
    </row>
    <row r="894" spans="1:16" x14ac:dyDescent="0.25">
      <c r="A894">
        <v>58</v>
      </c>
      <c r="B894">
        <v>49</v>
      </c>
      <c r="C894" t="s">
        <v>18</v>
      </c>
      <c r="D894" s="3">
        <v>112198</v>
      </c>
      <c r="E894">
        <v>48</v>
      </c>
      <c r="F894">
        <v>5</v>
      </c>
      <c r="G894">
        <v>24</v>
      </c>
      <c r="H894" t="s">
        <v>15</v>
      </c>
      <c r="I894">
        <v>843.87</v>
      </c>
      <c r="J894" t="str">
        <f t="shared" si="91"/>
        <v>High</v>
      </c>
      <c r="K894" s="4" t="e">
        <f t="shared" si="92"/>
        <v>#N/A</v>
      </c>
      <c r="L894" t="e">
        <f t="shared" si="93"/>
        <v>#N/A</v>
      </c>
      <c r="M894" s="3" t="e">
        <f t="shared" si="94"/>
        <v>#N/A</v>
      </c>
      <c r="N894" t="e">
        <f t="shared" si="95"/>
        <v>#N/A</v>
      </c>
      <c r="O894" s="3">
        <f t="shared" si="96"/>
        <v>112198</v>
      </c>
      <c r="P894">
        <f t="shared" si="97"/>
        <v>48</v>
      </c>
    </row>
    <row r="895" spans="1:16" x14ac:dyDescent="0.25">
      <c r="A895">
        <v>60</v>
      </c>
      <c r="B895">
        <v>21</v>
      </c>
      <c r="C895" t="s">
        <v>18</v>
      </c>
      <c r="D895" s="3">
        <v>139387</v>
      </c>
      <c r="E895">
        <v>1</v>
      </c>
      <c r="F895">
        <v>5</v>
      </c>
      <c r="G895">
        <v>7</v>
      </c>
      <c r="H895" t="s">
        <v>17</v>
      </c>
      <c r="I895">
        <v>399.58</v>
      </c>
      <c r="J895" t="str">
        <f t="shared" si="91"/>
        <v>High</v>
      </c>
      <c r="K895" s="4" t="e">
        <f t="shared" si="92"/>
        <v>#N/A</v>
      </c>
      <c r="L895" t="e">
        <f t="shared" si="93"/>
        <v>#N/A</v>
      </c>
      <c r="M895" s="3" t="e">
        <f t="shared" si="94"/>
        <v>#N/A</v>
      </c>
      <c r="N895" t="e">
        <f t="shared" si="95"/>
        <v>#N/A</v>
      </c>
      <c r="O895" s="3">
        <f t="shared" si="96"/>
        <v>139387</v>
      </c>
      <c r="P895">
        <f t="shared" si="97"/>
        <v>1</v>
      </c>
    </row>
    <row r="896" spans="1:16" x14ac:dyDescent="0.25">
      <c r="A896">
        <v>63</v>
      </c>
      <c r="B896">
        <v>49</v>
      </c>
      <c r="C896" t="s">
        <v>18</v>
      </c>
      <c r="D896" s="3">
        <v>79992</v>
      </c>
      <c r="E896">
        <v>49</v>
      </c>
      <c r="F896">
        <v>8</v>
      </c>
      <c r="G896">
        <v>6</v>
      </c>
      <c r="H896" t="s">
        <v>15</v>
      </c>
      <c r="I896">
        <v>636.65</v>
      </c>
      <c r="J896" t="str">
        <f t="shared" si="91"/>
        <v>Medium</v>
      </c>
      <c r="K896" s="4" t="e">
        <f t="shared" si="92"/>
        <v>#N/A</v>
      </c>
      <c r="L896" t="e">
        <f t="shared" si="93"/>
        <v>#N/A</v>
      </c>
      <c r="M896" s="3">
        <f t="shared" si="94"/>
        <v>79992</v>
      </c>
      <c r="N896">
        <f t="shared" si="95"/>
        <v>49</v>
      </c>
      <c r="O896" s="3" t="e">
        <f t="shared" si="96"/>
        <v>#N/A</v>
      </c>
      <c r="P896" t="e">
        <f t="shared" si="97"/>
        <v>#N/A</v>
      </c>
    </row>
    <row r="897" spans="1:16" x14ac:dyDescent="0.25">
      <c r="A897">
        <v>68</v>
      </c>
      <c r="B897">
        <v>43</v>
      </c>
      <c r="C897" t="s">
        <v>18</v>
      </c>
      <c r="D897" s="3">
        <v>87807</v>
      </c>
      <c r="E897">
        <v>52</v>
      </c>
      <c r="F897">
        <v>9</v>
      </c>
      <c r="G897">
        <v>41</v>
      </c>
      <c r="H897" t="s">
        <v>17</v>
      </c>
      <c r="I897">
        <v>95.08</v>
      </c>
      <c r="J897" t="str">
        <f t="shared" si="91"/>
        <v>Medium</v>
      </c>
      <c r="K897" s="4" t="e">
        <f t="shared" si="92"/>
        <v>#N/A</v>
      </c>
      <c r="L897" t="e">
        <f t="shared" si="93"/>
        <v>#N/A</v>
      </c>
      <c r="M897" s="3">
        <f t="shared" si="94"/>
        <v>87807</v>
      </c>
      <c r="N897">
        <f t="shared" si="95"/>
        <v>52</v>
      </c>
      <c r="O897" s="3" t="e">
        <f t="shared" si="96"/>
        <v>#N/A</v>
      </c>
      <c r="P897" t="e">
        <f t="shared" si="97"/>
        <v>#N/A</v>
      </c>
    </row>
    <row r="898" spans="1:16" x14ac:dyDescent="0.25">
      <c r="A898">
        <v>83</v>
      </c>
      <c r="B898">
        <v>36</v>
      </c>
      <c r="C898" t="s">
        <v>18</v>
      </c>
      <c r="D898" s="3">
        <v>99427</v>
      </c>
      <c r="E898">
        <v>94</v>
      </c>
      <c r="F898">
        <v>8</v>
      </c>
      <c r="G898">
        <v>15</v>
      </c>
      <c r="H898" t="s">
        <v>15</v>
      </c>
      <c r="I898">
        <v>265.04000000000002</v>
      </c>
      <c r="J898" t="str">
        <f t="shared" ref="J898:J961" si="98">IF(D898&lt;50000,"Low",IF(D898&lt;100000,"Medium","High"))</f>
        <v>Medium</v>
      </c>
      <c r="K898" s="4" t="e">
        <f t="shared" ref="K898:K961" si="99">IF($J898="Low",$D898,NA())</f>
        <v>#N/A</v>
      </c>
      <c r="L898" t="e">
        <f t="shared" ref="L898:L961" si="100">IF($J898="Low",$E898,NA())</f>
        <v>#N/A</v>
      </c>
      <c r="M898" s="3">
        <f t="shared" ref="M898:M961" si="101">IF($J898="Medium",$D898,NA())</f>
        <v>99427</v>
      </c>
      <c r="N898">
        <f t="shared" ref="N898:N961" si="102">IF($J898="Medium",$E898,NA())</f>
        <v>94</v>
      </c>
      <c r="O898" s="3" t="e">
        <f t="shared" ref="O898:O961" si="103">IF($J898="High",$D898,NA())</f>
        <v>#N/A</v>
      </c>
      <c r="P898" t="e">
        <f t="shared" ref="P898:P961" si="104">IF($J898="High",$E898,NA())</f>
        <v>#N/A</v>
      </c>
    </row>
    <row r="899" spans="1:16" x14ac:dyDescent="0.25">
      <c r="A899">
        <v>100</v>
      </c>
      <c r="B899">
        <v>26</v>
      </c>
      <c r="C899" t="s">
        <v>18</v>
      </c>
      <c r="D899" s="3">
        <v>59496</v>
      </c>
      <c r="E899">
        <v>58</v>
      </c>
      <c r="F899">
        <v>2</v>
      </c>
      <c r="G899">
        <v>50</v>
      </c>
      <c r="H899" t="s">
        <v>17</v>
      </c>
      <c r="I899">
        <v>23.33</v>
      </c>
      <c r="J899" t="str">
        <f t="shared" si="98"/>
        <v>Medium</v>
      </c>
      <c r="K899" s="4" t="e">
        <f t="shared" si="99"/>
        <v>#N/A</v>
      </c>
      <c r="L899" t="e">
        <f t="shared" si="100"/>
        <v>#N/A</v>
      </c>
      <c r="M899" s="3">
        <f t="shared" si="101"/>
        <v>59496</v>
      </c>
      <c r="N899">
        <f t="shared" si="102"/>
        <v>58</v>
      </c>
      <c r="O899" s="3" t="e">
        <f t="shared" si="103"/>
        <v>#N/A</v>
      </c>
      <c r="P899" t="e">
        <f t="shared" si="104"/>
        <v>#N/A</v>
      </c>
    </row>
    <row r="900" spans="1:16" x14ac:dyDescent="0.25">
      <c r="A900">
        <v>104</v>
      </c>
      <c r="B900">
        <v>60</v>
      </c>
      <c r="C900" t="s">
        <v>18</v>
      </c>
      <c r="D900" s="3">
        <v>142407</v>
      </c>
      <c r="E900">
        <v>4</v>
      </c>
      <c r="F900">
        <v>2</v>
      </c>
      <c r="G900">
        <v>1</v>
      </c>
      <c r="H900" t="s">
        <v>15</v>
      </c>
      <c r="I900">
        <v>29.58</v>
      </c>
      <c r="J900" t="str">
        <f t="shared" si="98"/>
        <v>High</v>
      </c>
      <c r="K900" s="4" t="e">
        <f t="shared" si="99"/>
        <v>#N/A</v>
      </c>
      <c r="L900" t="e">
        <f t="shared" si="100"/>
        <v>#N/A</v>
      </c>
      <c r="M900" s="3" t="e">
        <f t="shared" si="101"/>
        <v>#N/A</v>
      </c>
      <c r="N900" t="e">
        <f t="shared" si="102"/>
        <v>#N/A</v>
      </c>
      <c r="O900" s="3">
        <f t="shared" si="103"/>
        <v>142407</v>
      </c>
      <c r="P900">
        <f t="shared" si="104"/>
        <v>4</v>
      </c>
    </row>
    <row r="901" spans="1:16" x14ac:dyDescent="0.25">
      <c r="A901">
        <v>120</v>
      </c>
      <c r="B901">
        <v>68</v>
      </c>
      <c r="C901" t="s">
        <v>18</v>
      </c>
      <c r="D901" s="3">
        <v>78309</v>
      </c>
      <c r="E901">
        <v>12</v>
      </c>
      <c r="F901">
        <v>2</v>
      </c>
      <c r="G901">
        <v>49</v>
      </c>
      <c r="H901" t="s">
        <v>17</v>
      </c>
      <c r="I901">
        <v>848.14</v>
      </c>
      <c r="J901" t="str">
        <f t="shared" si="98"/>
        <v>Medium</v>
      </c>
      <c r="K901" s="4" t="e">
        <f t="shared" si="99"/>
        <v>#N/A</v>
      </c>
      <c r="L901" t="e">
        <f t="shared" si="100"/>
        <v>#N/A</v>
      </c>
      <c r="M901" s="3">
        <f t="shared" si="101"/>
        <v>78309</v>
      </c>
      <c r="N901">
        <f t="shared" si="102"/>
        <v>12</v>
      </c>
      <c r="O901" s="3" t="e">
        <f t="shared" si="103"/>
        <v>#N/A</v>
      </c>
      <c r="P901" t="e">
        <f t="shared" si="104"/>
        <v>#N/A</v>
      </c>
    </row>
    <row r="902" spans="1:16" x14ac:dyDescent="0.25">
      <c r="A902">
        <v>130</v>
      </c>
      <c r="B902">
        <v>61</v>
      </c>
      <c r="C902" t="s">
        <v>18</v>
      </c>
      <c r="D902" s="3">
        <v>131607</v>
      </c>
      <c r="E902">
        <v>25</v>
      </c>
      <c r="F902">
        <v>7</v>
      </c>
      <c r="G902">
        <v>26</v>
      </c>
      <c r="H902" t="s">
        <v>17</v>
      </c>
      <c r="I902">
        <v>714.15</v>
      </c>
      <c r="J902" t="str">
        <f t="shared" si="98"/>
        <v>High</v>
      </c>
      <c r="K902" s="4" t="e">
        <f t="shared" si="99"/>
        <v>#N/A</v>
      </c>
      <c r="L902" t="e">
        <f t="shared" si="100"/>
        <v>#N/A</v>
      </c>
      <c r="M902" s="3" t="e">
        <f t="shared" si="101"/>
        <v>#N/A</v>
      </c>
      <c r="N902" t="e">
        <f t="shared" si="102"/>
        <v>#N/A</v>
      </c>
      <c r="O902" s="3">
        <f t="shared" si="103"/>
        <v>131607</v>
      </c>
      <c r="P902">
        <f t="shared" si="104"/>
        <v>25</v>
      </c>
    </row>
    <row r="903" spans="1:16" x14ac:dyDescent="0.25">
      <c r="A903">
        <v>135</v>
      </c>
      <c r="B903">
        <v>29</v>
      </c>
      <c r="C903" t="s">
        <v>18</v>
      </c>
      <c r="D903" s="3">
        <v>100290</v>
      </c>
      <c r="E903">
        <v>85</v>
      </c>
      <c r="F903">
        <v>8</v>
      </c>
      <c r="G903">
        <v>29</v>
      </c>
      <c r="H903" t="s">
        <v>17</v>
      </c>
      <c r="I903">
        <v>480.87</v>
      </c>
      <c r="J903" t="str">
        <f t="shared" si="98"/>
        <v>High</v>
      </c>
      <c r="K903" s="4" t="e">
        <f t="shared" si="99"/>
        <v>#N/A</v>
      </c>
      <c r="L903" t="e">
        <f t="shared" si="100"/>
        <v>#N/A</v>
      </c>
      <c r="M903" s="3" t="e">
        <f t="shared" si="101"/>
        <v>#N/A</v>
      </c>
      <c r="N903" t="e">
        <f t="shared" si="102"/>
        <v>#N/A</v>
      </c>
      <c r="O903" s="3">
        <f t="shared" si="103"/>
        <v>100290</v>
      </c>
      <c r="P903">
        <f t="shared" si="104"/>
        <v>85</v>
      </c>
    </row>
    <row r="904" spans="1:16" x14ac:dyDescent="0.25">
      <c r="A904">
        <v>138</v>
      </c>
      <c r="B904">
        <v>67</v>
      </c>
      <c r="C904" t="s">
        <v>18</v>
      </c>
      <c r="D904" s="3">
        <v>120561</v>
      </c>
      <c r="E904">
        <v>66</v>
      </c>
      <c r="F904">
        <v>2</v>
      </c>
      <c r="G904">
        <v>21</v>
      </c>
      <c r="H904" t="s">
        <v>17</v>
      </c>
      <c r="I904">
        <v>798.2</v>
      </c>
      <c r="J904" t="str">
        <f t="shared" si="98"/>
        <v>High</v>
      </c>
      <c r="K904" s="4" t="e">
        <f t="shared" si="99"/>
        <v>#N/A</v>
      </c>
      <c r="L904" t="e">
        <f t="shared" si="100"/>
        <v>#N/A</v>
      </c>
      <c r="M904" s="3" t="e">
        <f t="shared" si="101"/>
        <v>#N/A</v>
      </c>
      <c r="N904" t="e">
        <f t="shared" si="102"/>
        <v>#N/A</v>
      </c>
      <c r="O904" s="3">
        <f t="shared" si="103"/>
        <v>120561</v>
      </c>
      <c r="P904">
        <f t="shared" si="104"/>
        <v>66</v>
      </c>
    </row>
    <row r="905" spans="1:16" x14ac:dyDescent="0.25">
      <c r="A905">
        <v>140</v>
      </c>
      <c r="B905">
        <v>18</v>
      </c>
      <c r="C905" t="s">
        <v>18</v>
      </c>
      <c r="D905" s="3">
        <v>78097</v>
      </c>
      <c r="E905">
        <v>84</v>
      </c>
      <c r="F905">
        <v>3</v>
      </c>
      <c r="G905">
        <v>26</v>
      </c>
      <c r="H905" t="s">
        <v>17</v>
      </c>
      <c r="I905">
        <v>453.34</v>
      </c>
      <c r="J905" t="str">
        <f t="shared" si="98"/>
        <v>Medium</v>
      </c>
      <c r="K905" s="4" t="e">
        <f t="shared" si="99"/>
        <v>#N/A</v>
      </c>
      <c r="L905" t="e">
        <f t="shared" si="100"/>
        <v>#N/A</v>
      </c>
      <c r="M905" s="3">
        <f t="shared" si="101"/>
        <v>78097</v>
      </c>
      <c r="N905">
        <f t="shared" si="102"/>
        <v>84</v>
      </c>
      <c r="O905" s="3" t="e">
        <f t="shared" si="103"/>
        <v>#N/A</v>
      </c>
      <c r="P905" t="e">
        <f t="shared" si="104"/>
        <v>#N/A</v>
      </c>
    </row>
    <row r="906" spans="1:16" x14ac:dyDescent="0.25">
      <c r="A906">
        <v>157</v>
      </c>
      <c r="B906">
        <v>69</v>
      </c>
      <c r="C906" t="s">
        <v>18</v>
      </c>
      <c r="D906" s="3">
        <v>51990</v>
      </c>
      <c r="E906">
        <v>59</v>
      </c>
      <c r="F906">
        <v>2</v>
      </c>
      <c r="G906">
        <v>37</v>
      </c>
      <c r="H906" t="s">
        <v>17</v>
      </c>
      <c r="I906">
        <v>762.41</v>
      </c>
      <c r="J906" t="str">
        <f t="shared" si="98"/>
        <v>Medium</v>
      </c>
      <c r="K906" s="4" t="e">
        <f t="shared" si="99"/>
        <v>#N/A</v>
      </c>
      <c r="L906" t="e">
        <f t="shared" si="100"/>
        <v>#N/A</v>
      </c>
      <c r="M906" s="3">
        <f t="shared" si="101"/>
        <v>51990</v>
      </c>
      <c r="N906">
        <f t="shared" si="102"/>
        <v>59</v>
      </c>
      <c r="O906" s="3" t="e">
        <f t="shared" si="103"/>
        <v>#N/A</v>
      </c>
      <c r="P906" t="e">
        <f t="shared" si="104"/>
        <v>#N/A</v>
      </c>
    </row>
    <row r="907" spans="1:16" x14ac:dyDescent="0.25">
      <c r="A907">
        <v>161</v>
      </c>
      <c r="B907">
        <v>69</v>
      </c>
      <c r="C907" t="s">
        <v>18</v>
      </c>
      <c r="D907" s="3">
        <v>117782</v>
      </c>
      <c r="E907">
        <v>18</v>
      </c>
      <c r="F907">
        <v>1</v>
      </c>
      <c r="G907">
        <v>15</v>
      </c>
      <c r="H907" t="s">
        <v>15</v>
      </c>
      <c r="I907">
        <v>762.55</v>
      </c>
      <c r="J907" t="str">
        <f t="shared" si="98"/>
        <v>High</v>
      </c>
      <c r="K907" s="4" t="e">
        <f t="shared" si="99"/>
        <v>#N/A</v>
      </c>
      <c r="L907" t="e">
        <f t="shared" si="100"/>
        <v>#N/A</v>
      </c>
      <c r="M907" s="3" t="e">
        <f t="shared" si="101"/>
        <v>#N/A</v>
      </c>
      <c r="N907" t="e">
        <f t="shared" si="102"/>
        <v>#N/A</v>
      </c>
      <c r="O907" s="3">
        <f t="shared" si="103"/>
        <v>117782</v>
      </c>
      <c r="P907">
        <f t="shared" si="104"/>
        <v>18</v>
      </c>
    </row>
    <row r="908" spans="1:16" x14ac:dyDescent="0.25">
      <c r="A908">
        <v>169</v>
      </c>
      <c r="B908">
        <v>51</v>
      </c>
      <c r="C908" t="s">
        <v>18</v>
      </c>
      <c r="D908" s="3">
        <v>58930</v>
      </c>
      <c r="E908">
        <v>95</v>
      </c>
      <c r="F908">
        <v>5</v>
      </c>
      <c r="G908">
        <v>33</v>
      </c>
      <c r="H908" t="s">
        <v>15</v>
      </c>
      <c r="I908">
        <v>115.09</v>
      </c>
      <c r="J908" t="str">
        <f t="shared" si="98"/>
        <v>Medium</v>
      </c>
      <c r="K908" s="4" t="e">
        <f t="shared" si="99"/>
        <v>#N/A</v>
      </c>
      <c r="L908" t="e">
        <f t="shared" si="100"/>
        <v>#N/A</v>
      </c>
      <c r="M908" s="3">
        <f t="shared" si="101"/>
        <v>58930</v>
      </c>
      <c r="N908">
        <f t="shared" si="102"/>
        <v>95</v>
      </c>
      <c r="O908" s="3" t="e">
        <f t="shared" si="103"/>
        <v>#N/A</v>
      </c>
      <c r="P908" t="e">
        <f t="shared" si="104"/>
        <v>#N/A</v>
      </c>
    </row>
    <row r="909" spans="1:16" x14ac:dyDescent="0.25">
      <c r="A909">
        <v>175</v>
      </c>
      <c r="B909">
        <v>33</v>
      </c>
      <c r="C909" t="s">
        <v>18</v>
      </c>
      <c r="D909" s="3">
        <v>81766</v>
      </c>
      <c r="E909">
        <v>86</v>
      </c>
      <c r="F909">
        <v>1</v>
      </c>
      <c r="G909">
        <v>16</v>
      </c>
      <c r="H909" t="s">
        <v>15</v>
      </c>
      <c r="I909">
        <v>160.11000000000001</v>
      </c>
      <c r="J909" t="str">
        <f t="shared" si="98"/>
        <v>Medium</v>
      </c>
      <c r="K909" s="4" t="e">
        <f t="shared" si="99"/>
        <v>#N/A</v>
      </c>
      <c r="L909" t="e">
        <f t="shared" si="100"/>
        <v>#N/A</v>
      </c>
      <c r="M909" s="3">
        <f t="shared" si="101"/>
        <v>81766</v>
      </c>
      <c r="N909">
        <f t="shared" si="102"/>
        <v>86</v>
      </c>
      <c r="O909" s="3" t="e">
        <f t="shared" si="103"/>
        <v>#N/A</v>
      </c>
      <c r="P909" t="e">
        <f t="shared" si="104"/>
        <v>#N/A</v>
      </c>
    </row>
    <row r="910" spans="1:16" x14ac:dyDescent="0.25">
      <c r="A910">
        <v>200</v>
      </c>
      <c r="B910">
        <v>63</v>
      </c>
      <c r="C910" t="s">
        <v>18</v>
      </c>
      <c r="D910" s="3">
        <v>113240</v>
      </c>
      <c r="E910">
        <v>47</v>
      </c>
      <c r="F910">
        <v>9</v>
      </c>
      <c r="G910">
        <v>22</v>
      </c>
      <c r="H910" t="s">
        <v>17</v>
      </c>
      <c r="I910">
        <v>279.95999999999998</v>
      </c>
      <c r="J910" t="str">
        <f t="shared" si="98"/>
        <v>High</v>
      </c>
      <c r="K910" s="4" t="e">
        <f t="shared" si="99"/>
        <v>#N/A</v>
      </c>
      <c r="L910" t="e">
        <f t="shared" si="100"/>
        <v>#N/A</v>
      </c>
      <c r="M910" s="3" t="e">
        <f t="shared" si="101"/>
        <v>#N/A</v>
      </c>
      <c r="N910" t="e">
        <f t="shared" si="102"/>
        <v>#N/A</v>
      </c>
      <c r="O910" s="3">
        <f t="shared" si="103"/>
        <v>113240</v>
      </c>
      <c r="P910">
        <f t="shared" si="104"/>
        <v>47</v>
      </c>
    </row>
    <row r="911" spans="1:16" x14ac:dyDescent="0.25">
      <c r="A911">
        <v>208</v>
      </c>
      <c r="B911">
        <v>59</v>
      </c>
      <c r="C911" t="s">
        <v>18</v>
      </c>
      <c r="D911" s="3">
        <v>70050</v>
      </c>
      <c r="E911">
        <v>62</v>
      </c>
      <c r="F911">
        <v>3</v>
      </c>
      <c r="G911">
        <v>10</v>
      </c>
      <c r="H911" t="s">
        <v>17</v>
      </c>
      <c r="I911">
        <v>49.53</v>
      </c>
      <c r="J911" t="str">
        <f t="shared" si="98"/>
        <v>Medium</v>
      </c>
      <c r="K911" s="4" t="e">
        <f t="shared" si="99"/>
        <v>#N/A</v>
      </c>
      <c r="L911" t="e">
        <f t="shared" si="100"/>
        <v>#N/A</v>
      </c>
      <c r="M911" s="3">
        <f t="shared" si="101"/>
        <v>70050</v>
      </c>
      <c r="N911">
        <f t="shared" si="102"/>
        <v>62</v>
      </c>
      <c r="O911" s="3" t="e">
        <f t="shared" si="103"/>
        <v>#N/A</v>
      </c>
      <c r="P911" t="e">
        <f t="shared" si="104"/>
        <v>#N/A</v>
      </c>
    </row>
    <row r="912" spans="1:16" x14ac:dyDescent="0.25">
      <c r="A912">
        <v>211</v>
      </c>
      <c r="B912">
        <v>40</v>
      </c>
      <c r="C912" t="s">
        <v>18</v>
      </c>
      <c r="D912" s="3">
        <v>83445</v>
      </c>
      <c r="E912">
        <v>89</v>
      </c>
      <c r="F912">
        <v>7</v>
      </c>
      <c r="G912">
        <v>11</v>
      </c>
      <c r="H912" t="s">
        <v>17</v>
      </c>
      <c r="I912">
        <v>356.35</v>
      </c>
      <c r="J912" t="str">
        <f t="shared" si="98"/>
        <v>Medium</v>
      </c>
      <c r="K912" s="4" t="e">
        <f t="shared" si="99"/>
        <v>#N/A</v>
      </c>
      <c r="L912" t="e">
        <f t="shared" si="100"/>
        <v>#N/A</v>
      </c>
      <c r="M912" s="3">
        <f t="shared" si="101"/>
        <v>83445</v>
      </c>
      <c r="N912">
        <f t="shared" si="102"/>
        <v>89</v>
      </c>
      <c r="O912" s="3" t="e">
        <f t="shared" si="103"/>
        <v>#N/A</v>
      </c>
      <c r="P912" t="e">
        <f t="shared" si="104"/>
        <v>#N/A</v>
      </c>
    </row>
    <row r="913" spans="1:16" x14ac:dyDescent="0.25">
      <c r="A913">
        <v>213</v>
      </c>
      <c r="B913">
        <v>47</v>
      </c>
      <c r="C913" t="s">
        <v>18</v>
      </c>
      <c r="D913" s="3">
        <v>121498</v>
      </c>
      <c r="E913">
        <v>29</v>
      </c>
      <c r="F913">
        <v>9</v>
      </c>
      <c r="G913">
        <v>28</v>
      </c>
      <c r="H913" t="s">
        <v>15</v>
      </c>
      <c r="I913">
        <v>706.37</v>
      </c>
      <c r="J913" t="str">
        <f t="shared" si="98"/>
        <v>High</v>
      </c>
      <c r="K913" s="4" t="e">
        <f t="shared" si="99"/>
        <v>#N/A</v>
      </c>
      <c r="L913" t="e">
        <f t="shared" si="100"/>
        <v>#N/A</v>
      </c>
      <c r="M913" s="3" t="e">
        <f t="shared" si="101"/>
        <v>#N/A</v>
      </c>
      <c r="N913" t="e">
        <f t="shared" si="102"/>
        <v>#N/A</v>
      </c>
      <c r="O913" s="3">
        <f t="shared" si="103"/>
        <v>121498</v>
      </c>
      <c r="P913">
        <f t="shared" si="104"/>
        <v>29</v>
      </c>
    </row>
    <row r="914" spans="1:16" x14ac:dyDescent="0.25">
      <c r="A914">
        <v>217</v>
      </c>
      <c r="B914">
        <v>46</v>
      </c>
      <c r="C914" t="s">
        <v>18</v>
      </c>
      <c r="D914" s="3">
        <v>82034</v>
      </c>
      <c r="E914">
        <v>19</v>
      </c>
      <c r="F914">
        <v>2</v>
      </c>
      <c r="G914">
        <v>45</v>
      </c>
      <c r="H914" t="s">
        <v>15</v>
      </c>
      <c r="I914">
        <v>635.92999999999995</v>
      </c>
      <c r="J914" t="str">
        <f t="shared" si="98"/>
        <v>Medium</v>
      </c>
      <c r="K914" s="4" t="e">
        <f t="shared" si="99"/>
        <v>#N/A</v>
      </c>
      <c r="L914" t="e">
        <f t="shared" si="100"/>
        <v>#N/A</v>
      </c>
      <c r="M914" s="3">
        <f t="shared" si="101"/>
        <v>82034</v>
      </c>
      <c r="N914">
        <f t="shared" si="102"/>
        <v>19</v>
      </c>
      <c r="O914" s="3" t="e">
        <f t="shared" si="103"/>
        <v>#N/A</v>
      </c>
      <c r="P914" t="e">
        <f t="shared" si="104"/>
        <v>#N/A</v>
      </c>
    </row>
    <row r="915" spans="1:16" x14ac:dyDescent="0.25">
      <c r="A915">
        <v>223</v>
      </c>
      <c r="B915">
        <v>53</v>
      </c>
      <c r="C915" t="s">
        <v>18</v>
      </c>
      <c r="D915" s="3">
        <v>146546</v>
      </c>
      <c r="E915">
        <v>12</v>
      </c>
      <c r="F915">
        <v>6</v>
      </c>
      <c r="G915">
        <v>45</v>
      </c>
      <c r="H915" t="s">
        <v>15</v>
      </c>
      <c r="I915">
        <v>915.02</v>
      </c>
      <c r="J915" t="str">
        <f t="shared" si="98"/>
        <v>High</v>
      </c>
      <c r="K915" s="4" t="e">
        <f t="shared" si="99"/>
        <v>#N/A</v>
      </c>
      <c r="L915" t="e">
        <f t="shared" si="100"/>
        <v>#N/A</v>
      </c>
      <c r="M915" s="3" t="e">
        <f t="shared" si="101"/>
        <v>#N/A</v>
      </c>
      <c r="N915" t="e">
        <f t="shared" si="102"/>
        <v>#N/A</v>
      </c>
      <c r="O915" s="3">
        <f t="shared" si="103"/>
        <v>146546</v>
      </c>
      <c r="P915">
        <f t="shared" si="104"/>
        <v>12</v>
      </c>
    </row>
    <row r="916" spans="1:16" x14ac:dyDescent="0.25">
      <c r="A916">
        <v>234</v>
      </c>
      <c r="B916">
        <v>29</v>
      </c>
      <c r="C916" t="s">
        <v>18</v>
      </c>
      <c r="D916" s="3">
        <v>96066</v>
      </c>
      <c r="E916">
        <v>45</v>
      </c>
      <c r="F916">
        <v>7</v>
      </c>
      <c r="G916">
        <v>24</v>
      </c>
      <c r="H916" t="s">
        <v>15</v>
      </c>
      <c r="I916">
        <v>479.36</v>
      </c>
      <c r="J916" t="str">
        <f t="shared" si="98"/>
        <v>Medium</v>
      </c>
      <c r="K916" s="4" t="e">
        <f t="shared" si="99"/>
        <v>#N/A</v>
      </c>
      <c r="L916" t="e">
        <f t="shared" si="100"/>
        <v>#N/A</v>
      </c>
      <c r="M916" s="3">
        <f t="shared" si="101"/>
        <v>96066</v>
      </c>
      <c r="N916">
        <f t="shared" si="102"/>
        <v>45</v>
      </c>
      <c r="O916" s="3" t="e">
        <f t="shared" si="103"/>
        <v>#N/A</v>
      </c>
      <c r="P916" t="e">
        <f t="shared" si="104"/>
        <v>#N/A</v>
      </c>
    </row>
    <row r="917" spans="1:16" x14ac:dyDescent="0.25">
      <c r="A917">
        <v>241</v>
      </c>
      <c r="B917">
        <v>41</v>
      </c>
      <c r="C917" t="s">
        <v>18</v>
      </c>
      <c r="D917" s="3">
        <v>41748</v>
      </c>
      <c r="E917">
        <v>50</v>
      </c>
      <c r="F917">
        <v>8</v>
      </c>
      <c r="G917">
        <v>5</v>
      </c>
      <c r="H917" t="s">
        <v>15</v>
      </c>
      <c r="I917">
        <v>35.159999999999997</v>
      </c>
      <c r="J917" t="str">
        <f t="shared" si="98"/>
        <v>Low</v>
      </c>
      <c r="K917" s="4">
        <f t="shared" si="99"/>
        <v>41748</v>
      </c>
      <c r="L917">
        <f t="shared" si="100"/>
        <v>50</v>
      </c>
      <c r="M917" s="3" t="e">
        <f t="shared" si="101"/>
        <v>#N/A</v>
      </c>
      <c r="N917" t="e">
        <f t="shared" si="102"/>
        <v>#N/A</v>
      </c>
      <c r="O917" s="3" t="e">
        <f t="shared" si="103"/>
        <v>#N/A</v>
      </c>
      <c r="P917" t="e">
        <f t="shared" si="104"/>
        <v>#N/A</v>
      </c>
    </row>
    <row r="918" spans="1:16" x14ac:dyDescent="0.25">
      <c r="A918">
        <v>249</v>
      </c>
      <c r="B918">
        <v>54</v>
      </c>
      <c r="C918" t="s">
        <v>18</v>
      </c>
      <c r="D918" s="3">
        <v>134743</v>
      </c>
      <c r="E918">
        <v>98</v>
      </c>
      <c r="F918">
        <v>9</v>
      </c>
      <c r="G918">
        <v>42</v>
      </c>
      <c r="H918" t="s">
        <v>15</v>
      </c>
      <c r="I918">
        <v>894.21</v>
      </c>
      <c r="J918" t="str">
        <f t="shared" si="98"/>
        <v>High</v>
      </c>
      <c r="K918" s="4" t="e">
        <f t="shared" si="99"/>
        <v>#N/A</v>
      </c>
      <c r="L918" t="e">
        <f t="shared" si="100"/>
        <v>#N/A</v>
      </c>
      <c r="M918" s="3" t="e">
        <f t="shared" si="101"/>
        <v>#N/A</v>
      </c>
      <c r="N918" t="e">
        <f t="shared" si="102"/>
        <v>#N/A</v>
      </c>
      <c r="O918" s="3">
        <f t="shared" si="103"/>
        <v>134743</v>
      </c>
      <c r="P918">
        <f t="shared" si="104"/>
        <v>98</v>
      </c>
    </row>
    <row r="919" spans="1:16" x14ac:dyDescent="0.25">
      <c r="A919">
        <v>260</v>
      </c>
      <c r="B919">
        <v>39</v>
      </c>
      <c r="C919" t="s">
        <v>18</v>
      </c>
      <c r="D919" s="3">
        <v>56381</v>
      </c>
      <c r="E919">
        <v>82</v>
      </c>
      <c r="F919">
        <v>6</v>
      </c>
      <c r="G919">
        <v>19</v>
      </c>
      <c r="H919" t="s">
        <v>15</v>
      </c>
      <c r="I919">
        <v>759.6</v>
      </c>
      <c r="J919" t="str">
        <f t="shared" si="98"/>
        <v>Medium</v>
      </c>
      <c r="K919" s="4" t="e">
        <f t="shared" si="99"/>
        <v>#N/A</v>
      </c>
      <c r="L919" t="e">
        <f t="shared" si="100"/>
        <v>#N/A</v>
      </c>
      <c r="M919" s="3">
        <f t="shared" si="101"/>
        <v>56381</v>
      </c>
      <c r="N919">
        <f t="shared" si="102"/>
        <v>82</v>
      </c>
      <c r="O919" s="3" t="e">
        <f t="shared" si="103"/>
        <v>#N/A</v>
      </c>
      <c r="P919" t="e">
        <f t="shared" si="104"/>
        <v>#N/A</v>
      </c>
    </row>
    <row r="920" spans="1:16" x14ac:dyDescent="0.25">
      <c r="A920">
        <v>269</v>
      </c>
      <c r="B920">
        <v>33</v>
      </c>
      <c r="C920" t="s">
        <v>18</v>
      </c>
      <c r="D920" s="3">
        <v>118116</v>
      </c>
      <c r="E920">
        <v>100</v>
      </c>
      <c r="F920">
        <v>9</v>
      </c>
      <c r="G920">
        <v>48</v>
      </c>
      <c r="H920" t="s">
        <v>15</v>
      </c>
      <c r="I920">
        <v>21.9</v>
      </c>
      <c r="J920" t="str">
        <f t="shared" si="98"/>
        <v>High</v>
      </c>
      <c r="K920" s="4" t="e">
        <f t="shared" si="99"/>
        <v>#N/A</v>
      </c>
      <c r="L920" t="e">
        <f t="shared" si="100"/>
        <v>#N/A</v>
      </c>
      <c r="M920" s="3" t="e">
        <f t="shared" si="101"/>
        <v>#N/A</v>
      </c>
      <c r="N920" t="e">
        <f t="shared" si="102"/>
        <v>#N/A</v>
      </c>
      <c r="O920" s="3">
        <f t="shared" si="103"/>
        <v>118116</v>
      </c>
      <c r="P920">
        <f t="shared" si="104"/>
        <v>100</v>
      </c>
    </row>
    <row r="921" spans="1:16" x14ac:dyDescent="0.25">
      <c r="A921">
        <v>272</v>
      </c>
      <c r="B921">
        <v>52</v>
      </c>
      <c r="C921" t="s">
        <v>18</v>
      </c>
      <c r="D921" s="3">
        <v>104033</v>
      </c>
      <c r="E921">
        <v>6</v>
      </c>
      <c r="F921">
        <v>5</v>
      </c>
      <c r="G921">
        <v>15</v>
      </c>
      <c r="H921" t="s">
        <v>17</v>
      </c>
      <c r="I921">
        <v>192.31</v>
      </c>
      <c r="J921" t="str">
        <f t="shared" si="98"/>
        <v>High</v>
      </c>
      <c r="K921" s="4" t="e">
        <f t="shared" si="99"/>
        <v>#N/A</v>
      </c>
      <c r="L921" t="e">
        <f t="shared" si="100"/>
        <v>#N/A</v>
      </c>
      <c r="M921" s="3" t="e">
        <f t="shared" si="101"/>
        <v>#N/A</v>
      </c>
      <c r="N921" t="e">
        <f t="shared" si="102"/>
        <v>#N/A</v>
      </c>
      <c r="O921" s="3">
        <f t="shared" si="103"/>
        <v>104033</v>
      </c>
      <c r="P921">
        <f t="shared" si="104"/>
        <v>6</v>
      </c>
    </row>
    <row r="922" spans="1:16" x14ac:dyDescent="0.25">
      <c r="A922">
        <v>280</v>
      </c>
      <c r="B922">
        <v>53</v>
      </c>
      <c r="C922" t="s">
        <v>18</v>
      </c>
      <c r="D922" s="3">
        <v>61826</v>
      </c>
      <c r="E922">
        <v>96</v>
      </c>
      <c r="F922">
        <v>1</v>
      </c>
      <c r="G922">
        <v>14</v>
      </c>
      <c r="H922" t="s">
        <v>17</v>
      </c>
      <c r="I922">
        <v>577</v>
      </c>
      <c r="J922" t="str">
        <f t="shared" si="98"/>
        <v>Medium</v>
      </c>
      <c r="K922" s="4" t="e">
        <f t="shared" si="99"/>
        <v>#N/A</v>
      </c>
      <c r="L922" t="e">
        <f t="shared" si="100"/>
        <v>#N/A</v>
      </c>
      <c r="M922" s="3">
        <f t="shared" si="101"/>
        <v>61826</v>
      </c>
      <c r="N922">
        <f t="shared" si="102"/>
        <v>96</v>
      </c>
      <c r="O922" s="3" t="e">
        <f t="shared" si="103"/>
        <v>#N/A</v>
      </c>
      <c r="P922" t="e">
        <f t="shared" si="104"/>
        <v>#N/A</v>
      </c>
    </row>
    <row r="923" spans="1:16" x14ac:dyDescent="0.25">
      <c r="A923">
        <v>285</v>
      </c>
      <c r="B923">
        <v>63</v>
      </c>
      <c r="C923" t="s">
        <v>18</v>
      </c>
      <c r="D923" s="3">
        <v>121652</v>
      </c>
      <c r="E923">
        <v>20</v>
      </c>
      <c r="F923">
        <v>1</v>
      </c>
      <c r="G923">
        <v>26</v>
      </c>
      <c r="H923" t="s">
        <v>15</v>
      </c>
      <c r="I923">
        <v>169.58</v>
      </c>
      <c r="J923" t="str">
        <f t="shared" si="98"/>
        <v>High</v>
      </c>
      <c r="K923" s="4" t="e">
        <f t="shared" si="99"/>
        <v>#N/A</v>
      </c>
      <c r="L923" t="e">
        <f t="shared" si="100"/>
        <v>#N/A</v>
      </c>
      <c r="M923" s="3" t="e">
        <f t="shared" si="101"/>
        <v>#N/A</v>
      </c>
      <c r="N923" t="e">
        <f t="shared" si="102"/>
        <v>#N/A</v>
      </c>
      <c r="O923" s="3">
        <f t="shared" si="103"/>
        <v>121652</v>
      </c>
      <c r="P923">
        <f t="shared" si="104"/>
        <v>20</v>
      </c>
    </row>
    <row r="924" spans="1:16" x14ac:dyDescent="0.25">
      <c r="A924">
        <v>291</v>
      </c>
      <c r="B924">
        <v>45</v>
      </c>
      <c r="C924" t="s">
        <v>18</v>
      </c>
      <c r="D924" s="3">
        <v>57845</v>
      </c>
      <c r="E924">
        <v>32</v>
      </c>
      <c r="F924">
        <v>6</v>
      </c>
      <c r="G924">
        <v>41</v>
      </c>
      <c r="H924" t="s">
        <v>17</v>
      </c>
      <c r="I924">
        <v>934.34</v>
      </c>
      <c r="J924" t="str">
        <f t="shared" si="98"/>
        <v>Medium</v>
      </c>
      <c r="K924" s="4" t="e">
        <f t="shared" si="99"/>
        <v>#N/A</v>
      </c>
      <c r="L924" t="e">
        <f t="shared" si="100"/>
        <v>#N/A</v>
      </c>
      <c r="M924" s="3">
        <f t="shared" si="101"/>
        <v>57845</v>
      </c>
      <c r="N924">
        <f t="shared" si="102"/>
        <v>32</v>
      </c>
      <c r="O924" s="3" t="e">
        <f t="shared" si="103"/>
        <v>#N/A</v>
      </c>
      <c r="P924" t="e">
        <f t="shared" si="104"/>
        <v>#N/A</v>
      </c>
    </row>
    <row r="925" spans="1:16" x14ac:dyDescent="0.25">
      <c r="A925">
        <v>321</v>
      </c>
      <c r="B925">
        <v>43</v>
      </c>
      <c r="C925" t="s">
        <v>18</v>
      </c>
      <c r="D925" s="3">
        <v>78858</v>
      </c>
      <c r="E925">
        <v>4</v>
      </c>
      <c r="F925">
        <v>3</v>
      </c>
      <c r="G925">
        <v>38</v>
      </c>
      <c r="H925" t="s">
        <v>15</v>
      </c>
      <c r="I925">
        <v>261.19</v>
      </c>
      <c r="J925" t="str">
        <f t="shared" si="98"/>
        <v>Medium</v>
      </c>
      <c r="K925" s="4" t="e">
        <f t="shared" si="99"/>
        <v>#N/A</v>
      </c>
      <c r="L925" t="e">
        <f t="shared" si="100"/>
        <v>#N/A</v>
      </c>
      <c r="M925" s="3">
        <f t="shared" si="101"/>
        <v>78858</v>
      </c>
      <c r="N925">
        <f t="shared" si="102"/>
        <v>4</v>
      </c>
      <c r="O925" s="3" t="e">
        <f t="shared" si="103"/>
        <v>#N/A</v>
      </c>
      <c r="P925" t="e">
        <f t="shared" si="104"/>
        <v>#N/A</v>
      </c>
    </row>
    <row r="926" spans="1:16" x14ac:dyDescent="0.25">
      <c r="A926">
        <v>339</v>
      </c>
      <c r="B926">
        <v>28</v>
      </c>
      <c r="C926" t="s">
        <v>18</v>
      </c>
      <c r="D926" s="3">
        <v>111697</v>
      </c>
      <c r="E926">
        <v>92</v>
      </c>
      <c r="F926">
        <v>9</v>
      </c>
      <c r="G926">
        <v>50</v>
      </c>
      <c r="H926" t="s">
        <v>15</v>
      </c>
      <c r="I926">
        <v>205.58</v>
      </c>
      <c r="J926" t="str">
        <f t="shared" si="98"/>
        <v>High</v>
      </c>
      <c r="K926" s="4" t="e">
        <f t="shared" si="99"/>
        <v>#N/A</v>
      </c>
      <c r="L926" t="e">
        <f t="shared" si="100"/>
        <v>#N/A</v>
      </c>
      <c r="M926" s="3" t="e">
        <f t="shared" si="101"/>
        <v>#N/A</v>
      </c>
      <c r="N926" t="e">
        <f t="shared" si="102"/>
        <v>#N/A</v>
      </c>
      <c r="O926" s="3">
        <f t="shared" si="103"/>
        <v>111697</v>
      </c>
      <c r="P926">
        <f t="shared" si="104"/>
        <v>92</v>
      </c>
    </row>
    <row r="927" spans="1:16" x14ac:dyDescent="0.25">
      <c r="A927">
        <v>342</v>
      </c>
      <c r="B927">
        <v>69</v>
      </c>
      <c r="C927" t="s">
        <v>18</v>
      </c>
      <c r="D927" s="3">
        <v>71688</v>
      </c>
      <c r="E927">
        <v>69</v>
      </c>
      <c r="F927">
        <v>4</v>
      </c>
      <c r="G927">
        <v>25</v>
      </c>
      <c r="H927" t="s">
        <v>17</v>
      </c>
      <c r="I927">
        <v>532.23</v>
      </c>
      <c r="J927" t="str">
        <f t="shared" si="98"/>
        <v>Medium</v>
      </c>
      <c r="K927" s="4" t="e">
        <f t="shared" si="99"/>
        <v>#N/A</v>
      </c>
      <c r="L927" t="e">
        <f t="shared" si="100"/>
        <v>#N/A</v>
      </c>
      <c r="M927" s="3">
        <f t="shared" si="101"/>
        <v>71688</v>
      </c>
      <c r="N927">
        <f t="shared" si="102"/>
        <v>69</v>
      </c>
      <c r="O927" s="3" t="e">
        <f t="shared" si="103"/>
        <v>#N/A</v>
      </c>
      <c r="P927" t="e">
        <f t="shared" si="104"/>
        <v>#N/A</v>
      </c>
    </row>
    <row r="928" spans="1:16" x14ac:dyDescent="0.25">
      <c r="A928">
        <v>347</v>
      </c>
      <c r="B928">
        <v>38</v>
      </c>
      <c r="C928" t="s">
        <v>18</v>
      </c>
      <c r="D928" s="3">
        <v>42378</v>
      </c>
      <c r="E928">
        <v>36</v>
      </c>
      <c r="F928">
        <v>5</v>
      </c>
      <c r="G928">
        <v>20</v>
      </c>
      <c r="H928" t="s">
        <v>15</v>
      </c>
      <c r="I928">
        <v>279.77</v>
      </c>
      <c r="J928" t="str">
        <f t="shared" si="98"/>
        <v>Low</v>
      </c>
      <c r="K928" s="4">
        <f t="shared" si="99"/>
        <v>42378</v>
      </c>
      <c r="L928">
        <f t="shared" si="100"/>
        <v>36</v>
      </c>
      <c r="M928" s="3" t="e">
        <f t="shared" si="101"/>
        <v>#N/A</v>
      </c>
      <c r="N928" t="e">
        <f t="shared" si="102"/>
        <v>#N/A</v>
      </c>
      <c r="O928" s="3" t="e">
        <f t="shared" si="103"/>
        <v>#N/A</v>
      </c>
      <c r="P928" t="e">
        <f t="shared" si="104"/>
        <v>#N/A</v>
      </c>
    </row>
    <row r="929" spans="1:16" x14ac:dyDescent="0.25">
      <c r="A929">
        <v>367</v>
      </c>
      <c r="B929">
        <v>65</v>
      </c>
      <c r="C929" t="s">
        <v>18</v>
      </c>
      <c r="D929" s="3">
        <v>65576</v>
      </c>
      <c r="E929">
        <v>91</v>
      </c>
      <c r="F929">
        <v>5</v>
      </c>
      <c r="G929">
        <v>12</v>
      </c>
      <c r="H929" t="s">
        <v>17</v>
      </c>
      <c r="I929">
        <v>782.55</v>
      </c>
      <c r="J929" t="str">
        <f t="shared" si="98"/>
        <v>Medium</v>
      </c>
      <c r="K929" s="4" t="e">
        <f t="shared" si="99"/>
        <v>#N/A</v>
      </c>
      <c r="L929" t="e">
        <f t="shared" si="100"/>
        <v>#N/A</v>
      </c>
      <c r="M929" s="3">
        <f t="shared" si="101"/>
        <v>65576</v>
      </c>
      <c r="N929">
        <f t="shared" si="102"/>
        <v>91</v>
      </c>
      <c r="O929" s="3" t="e">
        <f t="shared" si="103"/>
        <v>#N/A</v>
      </c>
      <c r="P929" t="e">
        <f t="shared" si="104"/>
        <v>#N/A</v>
      </c>
    </row>
    <row r="930" spans="1:16" x14ac:dyDescent="0.25">
      <c r="A930">
        <v>372</v>
      </c>
      <c r="B930">
        <v>39</v>
      </c>
      <c r="C930" t="s">
        <v>18</v>
      </c>
      <c r="D930" s="3">
        <v>53805</v>
      </c>
      <c r="E930">
        <v>71</v>
      </c>
      <c r="F930">
        <v>5</v>
      </c>
      <c r="G930">
        <v>16</v>
      </c>
      <c r="H930" t="s">
        <v>15</v>
      </c>
      <c r="I930">
        <v>372.03</v>
      </c>
      <c r="J930" t="str">
        <f t="shared" si="98"/>
        <v>Medium</v>
      </c>
      <c r="K930" s="4" t="e">
        <f t="shared" si="99"/>
        <v>#N/A</v>
      </c>
      <c r="L930" t="e">
        <f t="shared" si="100"/>
        <v>#N/A</v>
      </c>
      <c r="M930" s="3">
        <f t="shared" si="101"/>
        <v>53805</v>
      </c>
      <c r="N930">
        <f t="shared" si="102"/>
        <v>71</v>
      </c>
      <c r="O930" s="3" t="e">
        <f t="shared" si="103"/>
        <v>#N/A</v>
      </c>
      <c r="P930" t="e">
        <f t="shared" si="104"/>
        <v>#N/A</v>
      </c>
    </row>
    <row r="931" spans="1:16" x14ac:dyDescent="0.25">
      <c r="A931">
        <v>379</v>
      </c>
      <c r="B931">
        <v>41</v>
      </c>
      <c r="C931" t="s">
        <v>18</v>
      </c>
      <c r="D931" s="3">
        <v>30074</v>
      </c>
      <c r="E931">
        <v>95</v>
      </c>
      <c r="F931">
        <v>8</v>
      </c>
      <c r="G931">
        <v>19</v>
      </c>
      <c r="H931" t="s">
        <v>17</v>
      </c>
      <c r="I931">
        <v>78.819999999999993</v>
      </c>
      <c r="J931" t="str">
        <f t="shared" si="98"/>
        <v>Low</v>
      </c>
      <c r="K931" s="4">
        <f t="shared" si="99"/>
        <v>30074</v>
      </c>
      <c r="L931">
        <f t="shared" si="100"/>
        <v>95</v>
      </c>
      <c r="M931" s="3" t="e">
        <f t="shared" si="101"/>
        <v>#N/A</v>
      </c>
      <c r="N931" t="e">
        <f t="shared" si="102"/>
        <v>#N/A</v>
      </c>
      <c r="O931" s="3" t="e">
        <f t="shared" si="103"/>
        <v>#N/A</v>
      </c>
      <c r="P931" t="e">
        <f t="shared" si="104"/>
        <v>#N/A</v>
      </c>
    </row>
    <row r="932" spans="1:16" x14ac:dyDescent="0.25">
      <c r="A932">
        <v>381</v>
      </c>
      <c r="B932">
        <v>67</v>
      </c>
      <c r="C932" t="s">
        <v>18</v>
      </c>
      <c r="D932" s="3">
        <v>104036</v>
      </c>
      <c r="E932">
        <v>56</v>
      </c>
      <c r="F932">
        <v>10</v>
      </c>
      <c r="G932">
        <v>37</v>
      </c>
      <c r="H932" t="s">
        <v>15</v>
      </c>
      <c r="I932">
        <v>998.98</v>
      </c>
      <c r="J932" t="str">
        <f t="shared" si="98"/>
        <v>High</v>
      </c>
      <c r="K932" s="4" t="e">
        <f t="shared" si="99"/>
        <v>#N/A</v>
      </c>
      <c r="L932" t="e">
        <f t="shared" si="100"/>
        <v>#N/A</v>
      </c>
      <c r="M932" s="3" t="e">
        <f t="shared" si="101"/>
        <v>#N/A</v>
      </c>
      <c r="N932" t="e">
        <f t="shared" si="102"/>
        <v>#N/A</v>
      </c>
      <c r="O932" s="3">
        <f t="shared" si="103"/>
        <v>104036</v>
      </c>
      <c r="P932">
        <f t="shared" si="104"/>
        <v>56</v>
      </c>
    </row>
    <row r="933" spans="1:16" x14ac:dyDescent="0.25">
      <c r="A933">
        <v>391</v>
      </c>
      <c r="B933">
        <v>67</v>
      </c>
      <c r="C933" t="s">
        <v>18</v>
      </c>
      <c r="D933" s="3">
        <v>101759</v>
      </c>
      <c r="E933">
        <v>57</v>
      </c>
      <c r="F933">
        <v>3</v>
      </c>
      <c r="G933">
        <v>19</v>
      </c>
      <c r="H933" t="s">
        <v>15</v>
      </c>
      <c r="I933">
        <v>670.51</v>
      </c>
      <c r="J933" t="str">
        <f t="shared" si="98"/>
        <v>High</v>
      </c>
      <c r="K933" s="4" t="e">
        <f t="shared" si="99"/>
        <v>#N/A</v>
      </c>
      <c r="L933" t="e">
        <f t="shared" si="100"/>
        <v>#N/A</v>
      </c>
      <c r="M933" s="3" t="e">
        <f t="shared" si="101"/>
        <v>#N/A</v>
      </c>
      <c r="N933" t="e">
        <f t="shared" si="102"/>
        <v>#N/A</v>
      </c>
      <c r="O933" s="3">
        <f t="shared" si="103"/>
        <v>101759</v>
      </c>
      <c r="P933">
        <f t="shared" si="104"/>
        <v>57</v>
      </c>
    </row>
    <row r="934" spans="1:16" x14ac:dyDescent="0.25">
      <c r="A934">
        <v>393</v>
      </c>
      <c r="B934">
        <v>55</v>
      </c>
      <c r="C934" t="s">
        <v>18</v>
      </c>
      <c r="D934" s="3">
        <v>127542</v>
      </c>
      <c r="E934">
        <v>79</v>
      </c>
      <c r="F934">
        <v>8</v>
      </c>
      <c r="G934">
        <v>12</v>
      </c>
      <c r="H934" t="s">
        <v>17</v>
      </c>
      <c r="I934">
        <v>632.6</v>
      </c>
      <c r="J934" t="str">
        <f t="shared" si="98"/>
        <v>High</v>
      </c>
      <c r="K934" s="4" t="e">
        <f t="shared" si="99"/>
        <v>#N/A</v>
      </c>
      <c r="L934" t="e">
        <f t="shared" si="100"/>
        <v>#N/A</v>
      </c>
      <c r="M934" s="3" t="e">
        <f t="shared" si="101"/>
        <v>#N/A</v>
      </c>
      <c r="N934" t="e">
        <f t="shared" si="102"/>
        <v>#N/A</v>
      </c>
      <c r="O934" s="3">
        <f t="shared" si="103"/>
        <v>127542</v>
      </c>
      <c r="P934">
        <f t="shared" si="104"/>
        <v>79</v>
      </c>
    </row>
    <row r="935" spans="1:16" x14ac:dyDescent="0.25">
      <c r="A935">
        <v>394</v>
      </c>
      <c r="B935">
        <v>69</v>
      </c>
      <c r="C935" t="s">
        <v>18</v>
      </c>
      <c r="D935" s="3">
        <v>74331</v>
      </c>
      <c r="E935">
        <v>83</v>
      </c>
      <c r="F935">
        <v>9</v>
      </c>
      <c r="G935">
        <v>11</v>
      </c>
      <c r="H935" t="s">
        <v>17</v>
      </c>
      <c r="I935">
        <v>341.63</v>
      </c>
      <c r="J935" t="str">
        <f t="shared" si="98"/>
        <v>Medium</v>
      </c>
      <c r="K935" s="4" t="e">
        <f t="shared" si="99"/>
        <v>#N/A</v>
      </c>
      <c r="L935" t="e">
        <f t="shared" si="100"/>
        <v>#N/A</v>
      </c>
      <c r="M935" s="3">
        <f t="shared" si="101"/>
        <v>74331</v>
      </c>
      <c r="N935">
        <f t="shared" si="102"/>
        <v>83</v>
      </c>
      <c r="O935" s="3" t="e">
        <f t="shared" si="103"/>
        <v>#N/A</v>
      </c>
      <c r="P935" t="e">
        <f t="shared" si="104"/>
        <v>#N/A</v>
      </c>
    </row>
    <row r="936" spans="1:16" x14ac:dyDescent="0.25">
      <c r="A936">
        <v>400</v>
      </c>
      <c r="B936">
        <v>41</v>
      </c>
      <c r="C936" t="s">
        <v>18</v>
      </c>
      <c r="D936" s="3">
        <v>147962</v>
      </c>
      <c r="E936">
        <v>90</v>
      </c>
      <c r="F936">
        <v>2</v>
      </c>
      <c r="G936">
        <v>9</v>
      </c>
      <c r="H936" t="s">
        <v>17</v>
      </c>
      <c r="I936">
        <v>688.61</v>
      </c>
      <c r="J936" t="str">
        <f t="shared" si="98"/>
        <v>High</v>
      </c>
      <c r="K936" s="4" t="e">
        <f t="shared" si="99"/>
        <v>#N/A</v>
      </c>
      <c r="L936" t="e">
        <f t="shared" si="100"/>
        <v>#N/A</v>
      </c>
      <c r="M936" s="3" t="e">
        <f t="shared" si="101"/>
        <v>#N/A</v>
      </c>
      <c r="N936" t="e">
        <f t="shared" si="102"/>
        <v>#N/A</v>
      </c>
      <c r="O936" s="3">
        <f t="shared" si="103"/>
        <v>147962</v>
      </c>
      <c r="P936">
        <f t="shared" si="104"/>
        <v>90</v>
      </c>
    </row>
    <row r="937" spans="1:16" x14ac:dyDescent="0.25">
      <c r="A937">
        <v>411</v>
      </c>
      <c r="B937">
        <v>43</v>
      </c>
      <c r="C937" t="s">
        <v>18</v>
      </c>
      <c r="D937" s="3">
        <v>89856</v>
      </c>
      <c r="E937">
        <v>96</v>
      </c>
      <c r="F937">
        <v>3</v>
      </c>
      <c r="G937">
        <v>2</v>
      </c>
      <c r="H937" t="s">
        <v>17</v>
      </c>
      <c r="I937">
        <v>114.47</v>
      </c>
      <c r="J937" t="str">
        <f t="shared" si="98"/>
        <v>Medium</v>
      </c>
      <c r="K937" s="4" t="e">
        <f t="shared" si="99"/>
        <v>#N/A</v>
      </c>
      <c r="L937" t="e">
        <f t="shared" si="100"/>
        <v>#N/A</v>
      </c>
      <c r="M937" s="3">
        <f t="shared" si="101"/>
        <v>89856</v>
      </c>
      <c r="N937">
        <f t="shared" si="102"/>
        <v>96</v>
      </c>
      <c r="O937" s="3" t="e">
        <f t="shared" si="103"/>
        <v>#N/A</v>
      </c>
      <c r="P937" t="e">
        <f t="shared" si="104"/>
        <v>#N/A</v>
      </c>
    </row>
    <row r="938" spans="1:16" x14ac:dyDescent="0.25">
      <c r="A938">
        <v>418</v>
      </c>
      <c r="B938">
        <v>51</v>
      </c>
      <c r="C938" t="s">
        <v>18</v>
      </c>
      <c r="D938" s="3">
        <v>97565</v>
      </c>
      <c r="E938">
        <v>48</v>
      </c>
      <c r="F938">
        <v>10</v>
      </c>
      <c r="G938">
        <v>31</v>
      </c>
      <c r="H938" t="s">
        <v>17</v>
      </c>
      <c r="I938">
        <v>656.9</v>
      </c>
      <c r="J938" t="str">
        <f t="shared" si="98"/>
        <v>Medium</v>
      </c>
      <c r="K938" s="4" t="e">
        <f t="shared" si="99"/>
        <v>#N/A</v>
      </c>
      <c r="L938" t="e">
        <f t="shared" si="100"/>
        <v>#N/A</v>
      </c>
      <c r="M938" s="3">
        <f t="shared" si="101"/>
        <v>97565</v>
      </c>
      <c r="N938">
        <f t="shared" si="102"/>
        <v>48</v>
      </c>
      <c r="O938" s="3" t="e">
        <f t="shared" si="103"/>
        <v>#N/A</v>
      </c>
      <c r="P938" t="e">
        <f t="shared" si="104"/>
        <v>#N/A</v>
      </c>
    </row>
    <row r="939" spans="1:16" x14ac:dyDescent="0.25">
      <c r="A939">
        <v>421</v>
      </c>
      <c r="B939">
        <v>46</v>
      </c>
      <c r="C939" t="s">
        <v>18</v>
      </c>
      <c r="D939" s="3">
        <v>90871</v>
      </c>
      <c r="E939">
        <v>56</v>
      </c>
      <c r="F939">
        <v>4</v>
      </c>
      <c r="G939">
        <v>39</v>
      </c>
      <c r="H939" t="s">
        <v>17</v>
      </c>
      <c r="I939">
        <v>592.97</v>
      </c>
      <c r="J939" t="str">
        <f t="shared" si="98"/>
        <v>Medium</v>
      </c>
      <c r="K939" s="4" t="e">
        <f t="shared" si="99"/>
        <v>#N/A</v>
      </c>
      <c r="L939" t="e">
        <f t="shared" si="100"/>
        <v>#N/A</v>
      </c>
      <c r="M939" s="3">
        <f t="shared" si="101"/>
        <v>90871</v>
      </c>
      <c r="N939">
        <f t="shared" si="102"/>
        <v>56</v>
      </c>
      <c r="O939" s="3" t="e">
        <f t="shared" si="103"/>
        <v>#N/A</v>
      </c>
      <c r="P939" t="e">
        <f t="shared" si="104"/>
        <v>#N/A</v>
      </c>
    </row>
    <row r="940" spans="1:16" x14ac:dyDescent="0.25">
      <c r="A940">
        <v>427</v>
      </c>
      <c r="B940">
        <v>47</v>
      </c>
      <c r="C940" t="s">
        <v>18</v>
      </c>
      <c r="D940" s="3">
        <v>49336</v>
      </c>
      <c r="E940">
        <v>11</v>
      </c>
      <c r="F940">
        <v>10</v>
      </c>
      <c r="G940">
        <v>11</v>
      </c>
      <c r="H940" t="s">
        <v>15</v>
      </c>
      <c r="I940">
        <v>877.17</v>
      </c>
      <c r="J940" t="str">
        <f t="shared" si="98"/>
        <v>Low</v>
      </c>
      <c r="K940" s="4">
        <f t="shared" si="99"/>
        <v>49336</v>
      </c>
      <c r="L940">
        <f t="shared" si="100"/>
        <v>11</v>
      </c>
      <c r="M940" s="3" t="e">
        <f t="shared" si="101"/>
        <v>#N/A</v>
      </c>
      <c r="N940" t="e">
        <f t="shared" si="102"/>
        <v>#N/A</v>
      </c>
      <c r="O940" s="3" t="e">
        <f t="shared" si="103"/>
        <v>#N/A</v>
      </c>
      <c r="P940" t="e">
        <f t="shared" si="104"/>
        <v>#N/A</v>
      </c>
    </row>
    <row r="941" spans="1:16" x14ac:dyDescent="0.25">
      <c r="A941">
        <v>432</v>
      </c>
      <c r="B941">
        <v>29</v>
      </c>
      <c r="C941" t="s">
        <v>18</v>
      </c>
      <c r="D941" s="3">
        <v>133291</v>
      </c>
      <c r="E941">
        <v>52</v>
      </c>
      <c r="F941">
        <v>4</v>
      </c>
      <c r="G941">
        <v>42</v>
      </c>
      <c r="H941" t="s">
        <v>17</v>
      </c>
      <c r="I941">
        <v>916.28</v>
      </c>
      <c r="J941" t="str">
        <f t="shared" si="98"/>
        <v>High</v>
      </c>
      <c r="K941" s="4" t="e">
        <f t="shared" si="99"/>
        <v>#N/A</v>
      </c>
      <c r="L941" t="e">
        <f t="shared" si="100"/>
        <v>#N/A</v>
      </c>
      <c r="M941" s="3" t="e">
        <f t="shared" si="101"/>
        <v>#N/A</v>
      </c>
      <c r="N941" t="e">
        <f t="shared" si="102"/>
        <v>#N/A</v>
      </c>
      <c r="O941" s="3">
        <f t="shared" si="103"/>
        <v>133291</v>
      </c>
      <c r="P941">
        <f t="shared" si="104"/>
        <v>52</v>
      </c>
    </row>
    <row r="942" spans="1:16" x14ac:dyDescent="0.25">
      <c r="A942">
        <v>439</v>
      </c>
      <c r="B942">
        <v>63</v>
      </c>
      <c r="C942" t="s">
        <v>18</v>
      </c>
      <c r="D942" s="3">
        <v>118402</v>
      </c>
      <c r="E942">
        <v>74</v>
      </c>
      <c r="F942">
        <v>3</v>
      </c>
      <c r="G942">
        <v>12</v>
      </c>
      <c r="H942" t="s">
        <v>15</v>
      </c>
      <c r="I942">
        <v>828.04</v>
      </c>
      <c r="J942" t="str">
        <f t="shared" si="98"/>
        <v>High</v>
      </c>
      <c r="K942" s="4" t="e">
        <f t="shared" si="99"/>
        <v>#N/A</v>
      </c>
      <c r="L942" t="e">
        <f t="shared" si="100"/>
        <v>#N/A</v>
      </c>
      <c r="M942" s="3" t="e">
        <f t="shared" si="101"/>
        <v>#N/A</v>
      </c>
      <c r="N942" t="e">
        <f t="shared" si="102"/>
        <v>#N/A</v>
      </c>
      <c r="O942" s="3">
        <f t="shared" si="103"/>
        <v>118402</v>
      </c>
      <c r="P942">
        <f t="shared" si="104"/>
        <v>74</v>
      </c>
    </row>
    <row r="943" spans="1:16" x14ac:dyDescent="0.25">
      <c r="A943">
        <v>440</v>
      </c>
      <c r="B943">
        <v>23</v>
      </c>
      <c r="C943" t="s">
        <v>18</v>
      </c>
      <c r="D943" s="3">
        <v>130546</v>
      </c>
      <c r="E943">
        <v>71</v>
      </c>
      <c r="F943">
        <v>9</v>
      </c>
      <c r="G943">
        <v>36</v>
      </c>
      <c r="H943" t="s">
        <v>15</v>
      </c>
      <c r="I943">
        <v>799.33</v>
      </c>
      <c r="J943" t="str">
        <f t="shared" si="98"/>
        <v>High</v>
      </c>
      <c r="K943" s="4" t="e">
        <f t="shared" si="99"/>
        <v>#N/A</v>
      </c>
      <c r="L943" t="e">
        <f t="shared" si="100"/>
        <v>#N/A</v>
      </c>
      <c r="M943" s="3" t="e">
        <f t="shared" si="101"/>
        <v>#N/A</v>
      </c>
      <c r="N943" t="e">
        <f t="shared" si="102"/>
        <v>#N/A</v>
      </c>
      <c r="O943" s="3">
        <f t="shared" si="103"/>
        <v>130546</v>
      </c>
      <c r="P943">
        <f t="shared" si="104"/>
        <v>71</v>
      </c>
    </row>
    <row r="944" spans="1:16" x14ac:dyDescent="0.25">
      <c r="A944">
        <v>442</v>
      </c>
      <c r="B944">
        <v>26</v>
      </c>
      <c r="C944" t="s">
        <v>18</v>
      </c>
      <c r="D944" s="3">
        <v>84460</v>
      </c>
      <c r="E944">
        <v>45</v>
      </c>
      <c r="F944">
        <v>1</v>
      </c>
      <c r="G944">
        <v>33</v>
      </c>
      <c r="H944" t="s">
        <v>17</v>
      </c>
      <c r="I944">
        <v>219.67</v>
      </c>
      <c r="J944" t="str">
        <f t="shared" si="98"/>
        <v>Medium</v>
      </c>
      <c r="K944" s="4" t="e">
        <f t="shared" si="99"/>
        <v>#N/A</v>
      </c>
      <c r="L944" t="e">
        <f t="shared" si="100"/>
        <v>#N/A</v>
      </c>
      <c r="M944" s="3">
        <f t="shared" si="101"/>
        <v>84460</v>
      </c>
      <c r="N944">
        <f t="shared" si="102"/>
        <v>45</v>
      </c>
      <c r="O944" s="3" t="e">
        <f t="shared" si="103"/>
        <v>#N/A</v>
      </c>
      <c r="P944" t="e">
        <f t="shared" si="104"/>
        <v>#N/A</v>
      </c>
    </row>
    <row r="945" spans="1:16" x14ac:dyDescent="0.25">
      <c r="A945">
        <v>448</v>
      </c>
      <c r="B945">
        <v>31</v>
      </c>
      <c r="C945" t="s">
        <v>18</v>
      </c>
      <c r="D945" s="3">
        <v>46106</v>
      </c>
      <c r="E945">
        <v>72</v>
      </c>
      <c r="F945">
        <v>7</v>
      </c>
      <c r="G945">
        <v>2</v>
      </c>
      <c r="H945" t="s">
        <v>15</v>
      </c>
      <c r="I945">
        <v>59.82</v>
      </c>
      <c r="J945" t="str">
        <f t="shared" si="98"/>
        <v>Low</v>
      </c>
      <c r="K945" s="4">
        <f t="shared" si="99"/>
        <v>46106</v>
      </c>
      <c r="L945">
        <f t="shared" si="100"/>
        <v>72</v>
      </c>
      <c r="M945" s="3" t="e">
        <f t="shared" si="101"/>
        <v>#N/A</v>
      </c>
      <c r="N945" t="e">
        <f t="shared" si="102"/>
        <v>#N/A</v>
      </c>
      <c r="O945" s="3" t="e">
        <f t="shared" si="103"/>
        <v>#N/A</v>
      </c>
      <c r="P945" t="e">
        <f t="shared" si="104"/>
        <v>#N/A</v>
      </c>
    </row>
    <row r="946" spans="1:16" x14ac:dyDescent="0.25">
      <c r="A946">
        <v>452</v>
      </c>
      <c r="B946">
        <v>45</v>
      </c>
      <c r="C946" t="s">
        <v>18</v>
      </c>
      <c r="D946" s="3">
        <v>93800</v>
      </c>
      <c r="E946">
        <v>33</v>
      </c>
      <c r="F946">
        <v>10</v>
      </c>
      <c r="G946">
        <v>32</v>
      </c>
      <c r="H946" t="s">
        <v>15</v>
      </c>
      <c r="I946">
        <v>391.45</v>
      </c>
      <c r="J946" t="str">
        <f t="shared" si="98"/>
        <v>Medium</v>
      </c>
      <c r="K946" s="4" t="e">
        <f t="shared" si="99"/>
        <v>#N/A</v>
      </c>
      <c r="L946" t="e">
        <f t="shared" si="100"/>
        <v>#N/A</v>
      </c>
      <c r="M946" s="3">
        <f t="shared" si="101"/>
        <v>93800</v>
      </c>
      <c r="N946">
        <f t="shared" si="102"/>
        <v>33</v>
      </c>
      <c r="O946" s="3" t="e">
        <f t="shared" si="103"/>
        <v>#N/A</v>
      </c>
      <c r="P946" t="e">
        <f t="shared" si="104"/>
        <v>#N/A</v>
      </c>
    </row>
    <row r="947" spans="1:16" x14ac:dyDescent="0.25">
      <c r="A947">
        <v>460</v>
      </c>
      <c r="B947">
        <v>55</v>
      </c>
      <c r="C947" t="s">
        <v>18</v>
      </c>
      <c r="D947" s="3">
        <v>105647</v>
      </c>
      <c r="E947">
        <v>94</v>
      </c>
      <c r="F947">
        <v>1</v>
      </c>
      <c r="G947">
        <v>14</v>
      </c>
      <c r="H947" t="s">
        <v>15</v>
      </c>
      <c r="I947">
        <v>737.91</v>
      </c>
      <c r="J947" t="str">
        <f t="shared" si="98"/>
        <v>High</v>
      </c>
      <c r="K947" s="4" t="e">
        <f t="shared" si="99"/>
        <v>#N/A</v>
      </c>
      <c r="L947" t="e">
        <f t="shared" si="100"/>
        <v>#N/A</v>
      </c>
      <c r="M947" s="3" t="e">
        <f t="shared" si="101"/>
        <v>#N/A</v>
      </c>
      <c r="N947" t="e">
        <f t="shared" si="102"/>
        <v>#N/A</v>
      </c>
      <c r="O947" s="3">
        <f t="shared" si="103"/>
        <v>105647</v>
      </c>
      <c r="P947">
        <f t="shared" si="104"/>
        <v>94</v>
      </c>
    </row>
    <row r="948" spans="1:16" x14ac:dyDescent="0.25">
      <c r="A948">
        <v>464</v>
      </c>
      <c r="B948">
        <v>65</v>
      </c>
      <c r="C948" t="s">
        <v>18</v>
      </c>
      <c r="D948" s="3">
        <v>138529</v>
      </c>
      <c r="E948">
        <v>87</v>
      </c>
      <c r="F948">
        <v>10</v>
      </c>
      <c r="G948">
        <v>14</v>
      </c>
      <c r="H948" t="s">
        <v>15</v>
      </c>
      <c r="I948">
        <v>461.61</v>
      </c>
      <c r="J948" t="str">
        <f t="shared" si="98"/>
        <v>High</v>
      </c>
      <c r="K948" s="4" t="e">
        <f t="shared" si="99"/>
        <v>#N/A</v>
      </c>
      <c r="L948" t="e">
        <f t="shared" si="100"/>
        <v>#N/A</v>
      </c>
      <c r="M948" s="3" t="e">
        <f t="shared" si="101"/>
        <v>#N/A</v>
      </c>
      <c r="N948" t="e">
        <f t="shared" si="102"/>
        <v>#N/A</v>
      </c>
      <c r="O948" s="3">
        <f t="shared" si="103"/>
        <v>138529</v>
      </c>
      <c r="P948">
        <f t="shared" si="104"/>
        <v>87</v>
      </c>
    </row>
    <row r="949" spans="1:16" x14ac:dyDescent="0.25">
      <c r="A949">
        <v>465</v>
      </c>
      <c r="B949">
        <v>54</v>
      </c>
      <c r="C949" t="s">
        <v>18</v>
      </c>
      <c r="D949" s="3">
        <v>40858</v>
      </c>
      <c r="E949">
        <v>48</v>
      </c>
      <c r="F949">
        <v>6</v>
      </c>
      <c r="G949">
        <v>20</v>
      </c>
      <c r="H949" t="s">
        <v>17</v>
      </c>
      <c r="I949">
        <v>34.880000000000003</v>
      </c>
      <c r="J949" t="str">
        <f t="shared" si="98"/>
        <v>Low</v>
      </c>
      <c r="K949" s="4">
        <f t="shared" si="99"/>
        <v>40858</v>
      </c>
      <c r="L949">
        <f t="shared" si="100"/>
        <v>48</v>
      </c>
      <c r="M949" s="3" t="e">
        <f t="shared" si="101"/>
        <v>#N/A</v>
      </c>
      <c r="N949" t="e">
        <f t="shared" si="102"/>
        <v>#N/A</v>
      </c>
      <c r="O949" s="3" t="e">
        <f t="shared" si="103"/>
        <v>#N/A</v>
      </c>
      <c r="P949" t="e">
        <f t="shared" si="104"/>
        <v>#N/A</v>
      </c>
    </row>
    <row r="950" spans="1:16" x14ac:dyDescent="0.25">
      <c r="A950">
        <v>480</v>
      </c>
      <c r="B950">
        <v>19</v>
      </c>
      <c r="C950" t="s">
        <v>18</v>
      </c>
      <c r="D950" s="3">
        <v>35529</v>
      </c>
      <c r="E950">
        <v>62</v>
      </c>
      <c r="F950">
        <v>4</v>
      </c>
      <c r="G950">
        <v>24</v>
      </c>
      <c r="H950" t="s">
        <v>17</v>
      </c>
      <c r="I950">
        <v>177.69</v>
      </c>
      <c r="J950" t="str">
        <f t="shared" si="98"/>
        <v>Low</v>
      </c>
      <c r="K950" s="4">
        <f t="shared" si="99"/>
        <v>35529</v>
      </c>
      <c r="L950">
        <f t="shared" si="100"/>
        <v>62</v>
      </c>
      <c r="M950" s="3" t="e">
        <f t="shared" si="101"/>
        <v>#N/A</v>
      </c>
      <c r="N950" t="e">
        <f t="shared" si="102"/>
        <v>#N/A</v>
      </c>
      <c r="O950" s="3" t="e">
        <f t="shared" si="103"/>
        <v>#N/A</v>
      </c>
      <c r="P950" t="e">
        <f t="shared" si="104"/>
        <v>#N/A</v>
      </c>
    </row>
    <row r="951" spans="1:16" x14ac:dyDescent="0.25">
      <c r="A951">
        <v>490</v>
      </c>
      <c r="B951">
        <v>19</v>
      </c>
      <c r="C951" t="s">
        <v>18</v>
      </c>
      <c r="D951" s="3">
        <v>113254</v>
      </c>
      <c r="E951">
        <v>38</v>
      </c>
      <c r="F951">
        <v>5</v>
      </c>
      <c r="G951">
        <v>35</v>
      </c>
      <c r="H951" t="s">
        <v>17</v>
      </c>
      <c r="I951">
        <v>633.5</v>
      </c>
      <c r="J951" t="str">
        <f t="shared" si="98"/>
        <v>High</v>
      </c>
      <c r="K951" s="4" t="e">
        <f t="shared" si="99"/>
        <v>#N/A</v>
      </c>
      <c r="L951" t="e">
        <f t="shared" si="100"/>
        <v>#N/A</v>
      </c>
      <c r="M951" s="3" t="e">
        <f t="shared" si="101"/>
        <v>#N/A</v>
      </c>
      <c r="N951" t="e">
        <f t="shared" si="102"/>
        <v>#N/A</v>
      </c>
      <c r="O951" s="3">
        <f t="shared" si="103"/>
        <v>113254</v>
      </c>
      <c r="P951">
        <f t="shared" si="104"/>
        <v>38</v>
      </c>
    </row>
    <row r="952" spans="1:16" x14ac:dyDescent="0.25">
      <c r="A952">
        <v>493</v>
      </c>
      <c r="B952">
        <v>51</v>
      </c>
      <c r="C952" t="s">
        <v>18</v>
      </c>
      <c r="D952" s="3">
        <v>120616</v>
      </c>
      <c r="E952">
        <v>71</v>
      </c>
      <c r="F952">
        <v>1</v>
      </c>
      <c r="G952">
        <v>16</v>
      </c>
      <c r="H952" t="s">
        <v>17</v>
      </c>
      <c r="I952">
        <v>542.03</v>
      </c>
      <c r="J952" t="str">
        <f t="shared" si="98"/>
        <v>High</v>
      </c>
      <c r="K952" s="4" t="e">
        <f t="shared" si="99"/>
        <v>#N/A</v>
      </c>
      <c r="L952" t="e">
        <f t="shared" si="100"/>
        <v>#N/A</v>
      </c>
      <c r="M952" s="3" t="e">
        <f t="shared" si="101"/>
        <v>#N/A</v>
      </c>
      <c r="N952" t="e">
        <f t="shared" si="102"/>
        <v>#N/A</v>
      </c>
      <c r="O952" s="3">
        <f t="shared" si="103"/>
        <v>120616</v>
      </c>
      <c r="P952">
        <f t="shared" si="104"/>
        <v>71</v>
      </c>
    </row>
    <row r="953" spans="1:16" x14ac:dyDescent="0.25">
      <c r="A953">
        <v>496</v>
      </c>
      <c r="B953">
        <v>33</v>
      </c>
      <c r="C953" t="s">
        <v>18</v>
      </c>
      <c r="D953" s="3">
        <v>65486</v>
      </c>
      <c r="E953">
        <v>76</v>
      </c>
      <c r="F953">
        <v>2</v>
      </c>
      <c r="G953">
        <v>11</v>
      </c>
      <c r="H953" t="s">
        <v>15</v>
      </c>
      <c r="I953">
        <v>302.05</v>
      </c>
      <c r="J953" t="str">
        <f t="shared" si="98"/>
        <v>Medium</v>
      </c>
      <c r="K953" s="4" t="e">
        <f t="shared" si="99"/>
        <v>#N/A</v>
      </c>
      <c r="L953" t="e">
        <f t="shared" si="100"/>
        <v>#N/A</v>
      </c>
      <c r="M953" s="3">
        <f t="shared" si="101"/>
        <v>65486</v>
      </c>
      <c r="N953">
        <f t="shared" si="102"/>
        <v>76</v>
      </c>
      <c r="O953" s="3" t="e">
        <f t="shared" si="103"/>
        <v>#N/A</v>
      </c>
      <c r="P953" t="e">
        <f t="shared" si="104"/>
        <v>#N/A</v>
      </c>
    </row>
    <row r="954" spans="1:16" x14ac:dyDescent="0.25">
      <c r="A954">
        <v>519</v>
      </c>
      <c r="B954">
        <v>45</v>
      </c>
      <c r="C954" t="s">
        <v>18</v>
      </c>
      <c r="D954" s="3">
        <v>67753</v>
      </c>
      <c r="E954">
        <v>64</v>
      </c>
      <c r="F954">
        <v>4</v>
      </c>
      <c r="G954">
        <v>48</v>
      </c>
      <c r="H954" t="s">
        <v>15</v>
      </c>
      <c r="I954">
        <v>926.69</v>
      </c>
      <c r="J954" t="str">
        <f t="shared" si="98"/>
        <v>Medium</v>
      </c>
      <c r="K954" s="4" t="e">
        <f t="shared" si="99"/>
        <v>#N/A</v>
      </c>
      <c r="L954" t="e">
        <f t="shared" si="100"/>
        <v>#N/A</v>
      </c>
      <c r="M954" s="3">
        <f t="shared" si="101"/>
        <v>67753</v>
      </c>
      <c r="N954">
        <f t="shared" si="102"/>
        <v>64</v>
      </c>
      <c r="O954" s="3" t="e">
        <f t="shared" si="103"/>
        <v>#N/A</v>
      </c>
      <c r="P954" t="e">
        <f t="shared" si="104"/>
        <v>#N/A</v>
      </c>
    </row>
    <row r="955" spans="1:16" x14ac:dyDescent="0.25">
      <c r="A955">
        <v>525</v>
      </c>
      <c r="B955">
        <v>33</v>
      </c>
      <c r="C955" t="s">
        <v>18</v>
      </c>
      <c r="D955" s="3">
        <v>90232</v>
      </c>
      <c r="E955">
        <v>19</v>
      </c>
      <c r="F955">
        <v>2</v>
      </c>
      <c r="G955">
        <v>8</v>
      </c>
      <c r="H955" t="s">
        <v>17</v>
      </c>
      <c r="I955">
        <v>255.08</v>
      </c>
      <c r="J955" t="str">
        <f t="shared" si="98"/>
        <v>Medium</v>
      </c>
      <c r="K955" s="4" t="e">
        <f t="shared" si="99"/>
        <v>#N/A</v>
      </c>
      <c r="L955" t="e">
        <f t="shared" si="100"/>
        <v>#N/A</v>
      </c>
      <c r="M955" s="3">
        <f t="shared" si="101"/>
        <v>90232</v>
      </c>
      <c r="N955">
        <f t="shared" si="102"/>
        <v>19</v>
      </c>
      <c r="O955" s="3" t="e">
        <f t="shared" si="103"/>
        <v>#N/A</v>
      </c>
      <c r="P955" t="e">
        <f t="shared" si="104"/>
        <v>#N/A</v>
      </c>
    </row>
    <row r="956" spans="1:16" x14ac:dyDescent="0.25">
      <c r="A956">
        <v>527</v>
      </c>
      <c r="B956">
        <v>62</v>
      </c>
      <c r="C956" t="s">
        <v>18</v>
      </c>
      <c r="D956" s="3">
        <v>117704</v>
      </c>
      <c r="E956">
        <v>37</v>
      </c>
      <c r="F956">
        <v>3</v>
      </c>
      <c r="G956">
        <v>48</v>
      </c>
      <c r="H956" t="s">
        <v>15</v>
      </c>
      <c r="I956">
        <v>112.11</v>
      </c>
      <c r="J956" t="str">
        <f t="shared" si="98"/>
        <v>High</v>
      </c>
      <c r="K956" s="4" t="e">
        <f t="shared" si="99"/>
        <v>#N/A</v>
      </c>
      <c r="L956" t="e">
        <f t="shared" si="100"/>
        <v>#N/A</v>
      </c>
      <c r="M956" s="3" t="e">
        <f t="shared" si="101"/>
        <v>#N/A</v>
      </c>
      <c r="N956" t="e">
        <f t="shared" si="102"/>
        <v>#N/A</v>
      </c>
      <c r="O956" s="3">
        <f t="shared" si="103"/>
        <v>117704</v>
      </c>
      <c r="P956">
        <f t="shared" si="104"/>
        <v>37</v>
      </c>
    </row>
    <row r="957" spans="1:16" x14ac:dyDescent="0.25">
      <c r="A957">
        <v>528</v>
      </c>
      <c r="B957">
        <v>23</v>
      </c>
      <c r="C957" t="s">
        <v>18</v>
      </c>
      <c r="D957" s="3">
        <v>144577</v>
      </c>
      <c r="E957">
        <v>75</v>
      </c>
      <c r="F957">
        <v>1</v>
      </c>
      <c r="G957">
        <v>9</v>
      </c>
      <c r="H957" t="s">
        <v>17</v>
      </c>
      <c r="I957">
        <v>826.02</v>
      </c>
      <c r="J957" t="str">
        <f t="shared" si="98"/>
        <v>High</v>
      </c>
      <c r="K957" s="4" t="e">
        <f t="shared" si="99"/>
        <v>#N/A</v>
      </c>
      <c r="L957" t="e">
        <f t="shared" si="100"/>
        <v>#N/A</v>
      </c>
      <c r="M957" s="3" t="e">
        <f t="shared" si="101"/>
        <v>#N/A</v>
      </c>
      <c r="N957" t="e">
        <f t="shared" si="102"/>
        <v>#N/A</v>
      </c>
      <c r="O957" s="3">
        <f t="shared" si="103"/>
        <v>144577</v>
      </c>
      <c r="P957">
        <f t="shared" si="104"/>
        <v>75</v>
      </c>
    </row>
    <row r="958" spans="1:16" x14ac:dyDescent="0.25">
      <c r="A958">
        <v>536</v>
      </c>
      <c r="B958">
        <v>62</v>
      </c>
      <c r="C958" t="s">
        <v>18</v>
      </c>
      <c r="D958" s="3">
        <v>74474</v>
      </c>
      <c r="E958">
        <v>49</v>
      </c>
      <c r="F958">
        <v>2</v>
      </c>
      <c r="G958">
        <v>18</v>
      </c>
      <c r="H958" t="s">
        <v>15</v>
      </c>
      <c r="I958">
        <v>933.65</v>
      </c>
      <c r="J958" t="str">
        <f t="shared" si="98"/>
        <v>Medium</v>
      </c>
      <c r="K958" s="4" t="e">
        <f t="shared" si="99"/>
        <v>#N/A</v>
      </c>
      <c r="L958" t="e">
        <f t="shared" si="100"/>
        <v>#N/A</v>
      </c>
      <c r="M958" s="3">
        <f t="shared" si="101"/>
        <v>74474</v>
      </c>
      <c r="N958">
        <f t="shared" si="102"/>
        <v>49</v>
      </c>
      <c r="O958" s="3" t="e">
        <f t="shared" si="103"/>
        <v>#N/A</v>
      </c>
      <c r="P958" t="e">
        <f t="shared" si="104"/>
        <v>#N/A</v>
      </c>
    </row>
    <row r="959" spans="1:16" x14ac:dyDescent="0.25">
      <c r="A959">
        <v>544</v>
      </c>
      <c r="B959">
        <v>66</v>
      </c>
      <c r="C959" t="s">
        <v>18</v>
      </c>
      <c r="D959" s="3">
        <v>126893</v>
      </c>
      <c r="E959">
        <v>3</v>
      </c>
      <c r="F959">
        <v>1</v>
      </c>
      <c r="G959">
        <v>32</v>
      </c>
      <c r="H959" t="s">
        <v>17</v>
      </c>
      <c r="I959">
        <v>199.17</v>
      </c>
      <c r="J959" t="str">
        <f t="shared" si="98"/>
        <v>High</v>
      </c>
      <c r="K959" s="4" t="e">
        <f t="shared" si="99"/>
        <v>#N/A</v>
      </c>
      <c r="L959" t="e">
        <f t="shared" si="100"/>
        <v>#N/A</v>
      </c>
      <c r="M959" s="3" t="e">
        <f t="shared" si="101"/>
        <v>#N/A</v>
      </c>
      <c r="N959" t="e">
        <f t="shared" si="102"/>
        <v>#N/A</v>
      </c>
      <c r="O959" s="3">
        <f t="shared" si="103"/>
        <v>126893</v>
      </c>
      <c r="P959">
        <f t="shared" si="104"/>
        <v>3</v>
      </c>
    </row>
    <row r="960" spans="1:16" x14ac:dyDescent="0.25">
      <c r="A960">
        <v>545</v>
      </c>
      <c r="B960">
        <v>23</v>
      </c>
      <c r="C960" t="s">
        <v>18</v>
      </c>
      <c r="D960" s="3">
        <v>123168</v>
      </c>
      <c r="E960">
        <v>80</v>
      </c>
      <c r="F960">
        <v>4</v>
      </c>
      <c r="G960">
        <v>19</v>
      </c>
      <c r="H960" t="s">
        <v>17</v>
      </c>
      <c r="I960">
        <v>860.95</v>
      </c>
      <c r="J960" t="str">
        <f t="shared" si="98"/>
        <v>High</v>
      </c>
      <c r="K960" s="4" t="e">
        <f t="shared" si="99"/>
        <v>#N/A</v>
      </c>
      <c r="L960" t="e">
        <f t="shared" si="100"/>
        <v>#N/A</v>
      </c>
      <c r="M960" s="3" t="e">
        <f t="shared" si="101"/>
        <v>#N/A</v>
      </c>
      <c r="N960" t="e">
        <f t="shared" si="102"/>
        <v>#N/A</v>
      </c>
      <c r="O960" s="3">
        <f t="shared" si="103"/>
        <v>123168</v>
      </c>
      <c r="P960">
        <f t="shared" si="104"/>
        <v>80</v>
      </c>
    </row>
    <row r="961" spans="1:16" x14ac:dyDescent="0.25">
      <c r="A961">
        <v>585</v>
      </c>
      <c r="B961">
        <v>51</v>
      </c>
      <c r="C961" t="s">
        <v>18</v>
      </c>
      <c r="D961" s="3">
        <v>37310</v>
      </c>
      <c r="E961">
        <v>6</v>
      </c>
      <c r="F961">
        <v>5</v>
      </c>
      <c r="G961">
        <v>14</v>
      </c>
      <c r="H961" t="s">
        <v>15</v>
      </c>
      <c r="I961">
        <v>706.18</v>
      </c>
      <c r="J961" t="str">
        <f t="shared" si="98"/>
        <v>Low</v>
      </c>
      <c r="K961" s="4">
        <f t="shared" si="99"/>
        <v>37310</v>
      </c>
      <c r="L961">
        <f t="shared" si="100"/>
        <v>6</v>
      </c>
      <c r="M961" s="3" t="e">
        <f t="shared" si="101"/>
        <v>#N/A</v>
      </c>
      <c r="N961" t="e">
        <f t="shared" si="102"/>
        <v>#N/A</v>
      </c>
      <c r="O961" s="3" t="e">
        <f t="shared" si="103"/>
        <v>#N/A</v>
      </c>
      <c r="P961" t="e">
        <f t="shared" si="104"/>
        <v>#N/A</v>
      </c>
    </row>
    <row r="962" spans="1:16" x14ac:dyDescent="0.25">
      <c r="A962">
        <v>593</v>
      </c>
      <c r="B962">
        <v>62</v>
      </c>
      <c r="C962" t="s">
        <v>18</v>
      </c>
      <c r="D962" s="3">
        <v>148501</v>
      </c>
      <c r="E962">
        <v>41</v>
      </c>
      <c r="F962">
        <v>9</v>
      </c>
      <c r="G962">
        <v>32</v>
      </c>
      <c r="H962" t="s">
        <v>15</v>
      </c>
      <c r="I962">
        <v>980.47</v>
      </c>
      <c r="J962" t="str">
        <f t="shared" ref="J962:J1001" si="105">IF(D962&lt;50000,"Low",IF(D962&lt;100000,"Medium","High"))</f>
        <v>High</v>
      </c>
      <c r="K962" s="4" t="e">
        <f t="shared" ref="K962:K1001" si="106">IF($J962="Low",$D962,NA())</f>
        <v>#N/A</v>
      </c>
      <c r="L962" t="e">
        <f t="shared" ref="L962:L1001" si="107">IF($J962="Low",$E962,NA())</f>
        <v>#N/A</v>
      </c>
      <c r="M962" s="3" t="e">
        <f t="shared" ref="M962:M1001" si="108">IF($J962="Medium",$D962,NA())</f>
        <v>#N/A</v>
      </c>
      <c r="N962" t="e">
        <f t="shared" ref="N962:N1001" si="109">IF($J962="Medium",$E962,NA())</f>
        <v>#N/A</v>
      </c>
      <c r="O962" s="3">
        <f t="shared" ref="O962:O1001" si="110">IF($J962="High",$D962,NA())</f>
        <v>148501</v>
      </c>
      <c r="P962">
        <f t="shared" ref="P962:P1001" si="111">IF($J962="High",$E962,NA())</f>
        <v>41</v>
      </c>
    </row>
    <row r="963" spans="1:16" x14ac:dyDescent="0.25">
      <c r="A963">
        <v>603</v>
      </c>
      <c r="B963">
        <v>33</v>
      </c>
      <c r="C963" t="s">
        <v>18</v>
      </c>
      <c r="D963" s="3">
        <v>53219</v>
      </c>
      <c r="E963">
        <v>33</v>
      </c>
      <c r="F963">
        <v>4</v>
      </c>
      <c r="G963">
        <v>47</v>
      </c>
      <c r="H963" t="s">
        <v>17</v>
      </c>
      <c r="I963">
        <v>251.23</v>
      </c>
      <c r="J963" t="str">
        <f t="shared" si="105"/>
        <v>Medium</v>
      </c>
      <c r="K963" s="4" t="e">
        <f t="shared" si="106"/>
        <v>#N/A</v>
      </c>
      <c r="L963" t="e">
        <f t="shared" si="107"/>
        <v>#N/A</v>
      </c>
      <c r="M963" s="3">
        <f t="shared" si="108"/>
        <v>53219</v>
      </c>
      <c r="N963">
        <f t="shared" si="109"/>
        <v>33</v>
      </c>
      <c r="O963" s="3" t="e">
        <f t="shared" si="110"/>
        <v>#N/A</v>
      </c>
      <c r="P963" t="e">
        <f t="shared" si="111"/>
        <v>#N/A</v>
      </c>
    </row>
    <row r="964" spans="1:16" x14ac:dyDescent="0.25">
      <c r="A964">
        <v>614</v>
      </c>
      <c r="B964">
        <v>64</v>
      </c>
      <c r="C964" t="s">
        <v>18</v>
      </c>
      <c r="D964" s="3">
        <v>116106</v>
      </c>
      <c r="E964">
        <v>5</v>
      </c>
      <c r="F964">
        <v>1</v>
      </c>
      <c r="G964">
        <v>5</v>
      </c>
      <c r="H964" t="s">
        <v>17</v>
      </c>
      <c r="I964">
        <v>25.86</v>
      </c>
      <c r="J964" t="str">
        <f t="shared" si="105"/>
        <v>High</v>
      </c>
      <c r="K964" s="4" t="e">
        <f t="shared" si="106"/>
        <v>#N/A</v>
      </c>
      <c r="L964" t="e">
        <f t="shared" si="107"/>
        <v>#N/A</v>
      </c>
      <c r="M964" s="3" t="e">
        <f t="shared" si="108"/>
        <v>#N/A</v>
      </c>
      <c r="N964" t="e">
        <f t="shared" si="109"/>
        <v>#N/A</v>
      </c>
      <c r="O964" s="3">
        <f t="shared" si="110"/>
        <v>116106</v>
      </c>
      <c r="P964">
        <f t="shared" si="111"/>
        <v>5</v>
      </c>
    </row>
    <row r="965" spans="1:16" x14ac:dyDescent="0.25">
      <c r="A965">
        <v>623</v>
      </c>
      <c r="B965">
        <v>30</v>
      </c>
      <c r="C965" t="s">
        <v>18</v>
      </c>
      <c r="D965" s="3">
        <v>97829</v>
      </c>
      <c r="E965">
        <v>99</v>
      </c>
      <c r="F965">
        <v>4</v>
      </c>
      <c r="G965">
        <v>27</v>
      </c>
      <c r="H965" t="s">
        <v>17</v>
      </c>
      <c r="I965">
        <v>320.95</v>
      </c>
      <c r="J965" t="str">
        <f t="shared" si="105"/>
        <v>Medium</v>
      </c>
      <c r="K965" s="4" t="e">
        <f t="shared" si="106"/>
        <v>#N/A</v>
      </c>
      <c r="L965" t="e">
        <f t="shared" si="107"/>
        <v>#N/A</v>
      </c>
      <c r="M965" s="3">
        <f t="shared" si="108"/>
        <v>97829</v>
      </c>
      <c r="N965">
        <f t="shared" si="109"/>
        <v>99</v>
      </c>
      <c r="O965" s="3" t="e">
        <f t="shared" si="110"/>
        <v>#N/A</v>
      </c>
      <c r="P965" t="e">
        <f t="shared" si="111"/>
        <v>#N/A</v>
      </c>
    </row>
    <row r="966" spans="1:16" x14ac:dyDescent="0.25">
      <c r="A966">
        <v>632</v>
      </c>
      <c r="B966">
        <v>29</v>
      </c>
      <c r="C966" t="s">
        <v>18</v>
      </c>
      <c r="D966" s="3">
        <v>72125</v>
      </c>
      <c r="E966">
        <v>41</v>
      </c>
      <c r="F966">
        <v>5</v>
      </c>
      <c r="G966">
        <v>31</v>
      </c>
      <c r="H966" t="s">
        <v>15</v>
      </c>
      <c r="I966">
        <v>507.62</v>
      </c>
      <c r="J966" t="str">
        <f t="shared" si="105"/>
        <v>Medium</v>
      </c>
      <c r="K966" s="4" t="e">
        <f t="shared" si="106"/>
        <v>#N/A</v>
      </c>
      <c r="L966" t="e">
        <f t="shared" si="107"/>
        <v>#N/A</v>
      </c>
      <c r="M966" s="3">
        <f t="shared" si="108"/>
        <v>72125</v>
      </c>
      <c r="N966">
        <f t="shared" si="109"/>
        <v>41</v>
      </c>
      <c r="O966" s="3" t="e">
        <f t="shared" si="110"/>
        <v>#N/A</v>
      </c>
      <c r="P966" t="e">
        <f t="shared" si="111"/>
        <v>#N/A</v>
      </c>
    </row>
    <row r="967" spans="1:16" x14ac:dyDescent="0.25">
      <c r="A967">
        <v>636</v>
      </c>
      <c r="B967">
        <v>24</v>
      </c>
      <c r="C967" t="s">
        <v>18</v>
      </c>
      <c r="D967" s="3">
        <v>93266</v>
      </c>
      <c r="E967">
        <v>20</v>
      </c>
      <c r="F967">
        <v>1</v>
      </c>
      <c r="G967">
        <v>4</v>
      </c>
      <c r="H967" t="s">
        <v>17</v>
      </c>
      <c r="I967">
        <v>636.29</v>
      </c>
      <c r="J967" t="str">
        <f t="shared" si="105"/>
        <v>Medium</v>
      </c>
      <c r="K967" s="4" t="e">
        <f t="shared" si="106"/>
        <v>#N/A</v>
      </c>
      <c r="L967" t="e">
        <f t="shared" si="107"/>
        <v>#N/A</v>
      </c>
      <c r="M967" s="3">
        <f t="shared" si="108"/>
        <v>93266</v>
      </c>
      <c r="N967">
        <f t="shared" si="109"/>
        <v>20</v>
      </c>
      <c r="O967" s="3" t="e">
        <f t="shared" si="110"/>
        <v>#N/A</v>
      </c>
      <c r="P967" t="e">
        <f t="shared" si="111"/>
        <v>#N/A</v>
      </c>
    </row>
    <row r="968" spans="1:16" x14ac:dyDescent="0.25">
      <c r="A968">
        <v>643</v>
      </c>
      <c r="B968">
        <v>64</v>
      </c>
      <c r="C968" t="s">
        <v>18</v>
      </c>
      <c r="D968" s="3">
        <v>92888</v>
      </c>
      <c r="E968">
        <v>2</v>
      </c>
      <c r="F968">
        <v>7</v>
      </c>
      <c r="G968">
        <v>50</v>
      </c>
      <c r="H968" t="s">
        <v>15</v>
      </c>
      <c r="I968">
        <v>84.98</v>
      </c>
      <c r="J968" t="str">
        <f t="shared" si="105"/>
        <v>Medium</v>
      </c>
      <c r="K968" s="4" t="e">
        <f t="shared" si="106"/>
        <v>#N/A</v>
      </c>
      <c r="L968" t="e">
        <f t="shared" si="107"/>
        <v>#N/A</v>
      </c>
      <c r="M968" s="3">
        <f t="shared" si="108"/>
        <v>92888</v>
      </c>
      <c r="N968">
        <f t="shared" si="109"/>
        <v>2</v>
      </c>
      <c r="O968" s="3" t="e">
        <f t="shared" si="110"/>
        <v>#N/A</v>
      </c>
      <c r="P968" t="e">
        <f t="shared" si="111"/>
        <v>#N/A</v>
      </c>
    </row>
    <row r="969" spans="1:16" x14ac:dyDescent="0.25">
      <c r="A969">
        <v>660</v>
      </c>
      <c r="B969">
        <v>54</v>
      </c>
      <c r="C969" t="s">
        <v>18</v>
      </c>
      <c r="D969" s="3">
        <v>89035</v>
      </c>
      <c r="E969">
        <v>14</v>
      </c>
      <c r="F969">
        <v>4</v>
      </c>
      <c r="G969">
        <v>11</v>
      </c>
      <c r="H969" t="s">
        <v>15</v>
      </c>
      <c r="I969">
        <v>138.81</v>
      </c>
      <c r="J969" t="str">
        <f t="shared" si="105"/>
        <v>Medium</v>
      </c>
      <c r="K969" s="4" t="e">
        <f t="shared" si="106"/>
        <v>#N/A</v>
      </c>
      <c r="L969" t="e">
        <f t="shared" si="107"/>
        <v>#N/A</v>
      </c>
      <c r="M969" s="3">
        <f t="shared" si="108"/>
        <v>89035</v>
      </c>
      <c r="N969">
        <f t="shared" si="109"/>
        <v>14</v>
      </c>
      <c r="O969" s="3" t="e">
        <f t="shared" si="110"/>
        <v>#N/A</v>
      </c>
      <c r="P969" t="e">
        <f t="shared" si="111"/>
        <v>#N/A</v>
      </c>
    </row>
    <row r="970" spans="1:16" x14ac:dyDescent="0.25">
      <c r="A970">
        <v>661</v>
      </c>
      <c r="B970">
        <v>69</v>
      </c>
      <c r="C970" t="s">
        <v>18</v>
      </c>
      <c r="D970" s="3">
        <v>34122</v>
      </c>
      <c r="E970">
        <v>50</v>
      </c>
      <c r="F970">
        <v>4</v>
      </c>
      <c r="G970">
        <v>27</v>
      </c>
      <c r="H970" t="s">
        <v>15</v>
      </c>
      <c r="I970">
        <v>758.44</v>
      </c>
      <c r="J970" t="str">
        <f t="shared" si="105"/>
        <v>Low</v>
      </c>
      <c r="K970" s="4">
        <f t="shared" si="106"/>
        <v>34122</v>
      </c>
      <c r="L970">
        <f t="shared" si="107"/>
        <v>50</v>
      </c>
      <c r="M970" s="3" t="e">
        <f t="shared" si="108"/>
        <v>#N/A</v>
      </c>
      <c r="N970" t="e">
        <f t="shared" si="109"/>
        <v>#N/A</v>
      </c>
      <c r="O970" s="3" t="e">
        <f t="shared" si="110"/>
        <v>#N/A</v>
      </c>
      <c r="P970" t="e">
        <f t="shared" si="111"/>
        <v>#N/A</v>
      </c>
    </row>
    <row r="971" spans="1:16" x14ac:dyDescent="0.25">
      <c r="A971">
        <v>667</v>
      </c>
      <c r="B971">
        <v>29</v>
      </c>
      <c r="C971" t="s">
        <v>18</v>
      </c>
      <c r="D971" s="3">
        <v>135394</v>
      </c>
      <c r="E971">
        <v>53</v>
      </c>
      <c r="F971">
        <v>9</v>
      </c>
      <c r="G971">
        <v>36</v>
      </c>
      <c r="H971" t="s">
        <v>17</v>
      </c>
      <c r="I971">
        <v>30.13</v>
      </c>
      <c r="J971" t="str">
        <f t="shared" si="105"/>
        <v>High</v>
      </c>
      <c r="K971" s="4" t="e">
        <f t="shared" si="106"/>
        <v>#N/A</v>
      </c>
      <c r="L971" t="e">
        <f t="shared" si="107"/>
        <v>#N/A</v>
      </c>
      <c r="M971" s="3" t="e">
        <f t="shared" si="108"/>
        <v>#N/A</v>
      </c>
      <c r="N971" t="e">
        <f t="shared" si="109"/>
        <v>#N/A</v>
      </c>
      <c r="O971" s="3">
        <f t="shared" si="110"/>
        <v>135394</v>
      </c>
      <c r="P971">
        <f t="shared" si="111"/>
        <v>53</v>
      </c>
    </row>
    <row r="972" spans="1:16" x14ac:dyDescent="0.25">
      <c r="A972">
        <v>668</v>
      </c>
      <c r="B972">
        <v>27</v>
      </c>
      <c r="C972" t="s">
        <v>18</v>
      </c>
      <c r="D972" s="3">
        <v>48576</v>
      </c>
      <c r="E972">
        <v>29</v>
      </c>
      <c r="F972">
        <v>7</v>
      </c>
      <c r="G972">
        <v>29</v>
      </c>
      <c r="H972" t="s">
        <v>15</v>
      </c>
      <c r="I972">
        <v>976.83</v>
      </c>
      <c r="J972" t="str">
        <f t="shared" si="105"/>
        <v>Low</v>
      </c>
      <c r="K972" s="4">
        <f t="shared" si="106"/>
        <v>48576</v>
      </c>
      <c r="L972">
        <f t="shared" si="107"/>
        <v>29</v>
      </c>
      <c r="M972" s="3" t="e">
        <f t="shared" si="108"/>
        <v>#N/A</v>
      </c>
      <c r="N972" t="e">
        <f t="shared" si="109"/>
        <v>#N/A</v>
      </c>
      <c r="O972" s="3" t="e">
        <f t="shared" si="110"/>
        <v>#N/A</v>
      </c>
      <c r="P972" t="e">
        <f t="shared" si="111"/>
        <v>#N/A</v>
      </c>
    </row>
    <row r="973" spans="1:16" x14ac:dyDescent="0.25">
      <c r="A973">
        <v>673</v>
      </c>
      <c r="B973">
        <v>47</v>
      </c>
      <c r="C973" t="s">
        <v>18</v>
      </c>
      <c r="D973" s="3">
        <v>40790</v>
      </c>
      <c r="E973">
        <v>36</v>
      </c>
      <c r="F973">
        <v>1</v>
      </c>
      <c r="G973">
        <v>4</v>
      </c>
      <c r="H973" t="s">
        <v>17</v>
      </c>
      <c r="I973">
        <v>913.84</v>
      </c>
      <c r="J973" t="str">
        <f t="shared" si="105"/>
        <v>Low</v>
      </c>
      <c r="K973" s="4">
        <f t="shared" si="106"/>
        <v>40790</v>
      </c>
      <c r="L973">
        <f t="shared" si="107"/>
        <v>36</v>
      </c>
      <c r="M973" s="3" t="e">
        <f t="shared" si="108"/>
        <v>#N/A</v>
      </c>
      <c r="N973" t="e">
        <f t="shared" si="109"/>
        <v>#N/A</v>
      </c>
      <c r="O973" s="3" t="e">
        <f t="shared" si="110"/>
        <v>#N/A</v>
      </c>
      <c r="P973" t="e">
        <f t="shared" si="111"/>
        <v>#N/A</v>
      </c>
    </row>
    <row r="974" spans="1:16" x14ac:dyDescent="0.25">
      <c r="A974">
        <v>679</v>
      </c>
      <c r="B974">
        <v>46</v>
      </c>
      <c r="C974" t="s">
        <v>18</v>
      </c>
      <c r="D974" s="3">
        <v>112770</v>
      </c>
      <c r="E974">
        <v>6</v>
      </c>
      <c r="F974">
        <v>10</v>
      </c>
      <c r="G974">
        <v>27</v>
      </c>
      <c r="H974" t="s">
        <v>15</v>
      </c>
      <c r="I974">
        <v>559.73</v>
      </c>
      <c r="J974" t="str">
        <f t="shared" si="105"/>
        <v>High</v>
      </c>
      <c r="K974" s="4" t="e">
        <f t="shared" si="106"/>
        <v>#N/A</v>
      </c>
      <c r="L974" t="e">
        <f t="shared" si="107"/>
        <v>#N/A</v>
      </c>
      <c r="M974" s="3" t="e">
        <f t="shared" si="108"/>
        <v>#N/A</v>
      </c>
      <c r="N974" t="e">
        <f t="shared" si="109"/>
        <v>#N/A</v>
      </c>
      <c r="O974" s="3">
        <f t="shared" si="110"/>
        <v>112770</v>
      </c>
      <c r="P974">
        <f t="shared" si="111"/>
        <v>6</v>
      </c>
    </row>
    <row r="975" spans="1:16" x14ac:dyDescent="0.25">
      <c r="A975">
        <v>690</v>
      </c>
      <c r="B975">
        <v>39</v>
      </c>
      <c r="C975" t="s">
        <v>18</v>
      </c>
      <c r="D975" s="3">
        <v>141586</v>
      </c>
      <c r="E975">
        <v>50</v>
      </c>
      <c r="F975">
        <v>4</v>
      </c>
      <c r="G975">
        <v>46</v>
      </c>
      <c r="H975" t="s">
        <v>17</v>
      </c>
      <c r="I975">
        <v>659.67</v>
      </c>
      <c r="J975" t="str">
        <f t="shared" si="105"/>
        <v>High</v>
      </c>
      <c r="K975" s="4" t="e">
        <f t="shared" si="106"/>
        <v>#N/A</v>
      </c>
      <c r="L975" t="e">
        <f t="shared" si="107"/>
        <v>#N/A</v>
      </c>
      <c r="M975" s="3" t="e">
        <f t="shared" si="108"/>
        <v>#N/A</v>
      </c>
      <c r="N975" t="e">
        <f t="shared" si="109"/>
        <v>#N/A</v>
      </c>
      <c r="O975" s="3">
        <f t="shared" si="110"/>
        <v>141586</v>
      </c>
      <c r="P975">
        <f t="shared" si="111"/>
        <v>50</v>
      </c>
    </row>
    <row r="976" spans="1:16" x14ac:dyDescent="0.25">
      <c r="A976">
        <v>697</v>
      </c>
      <c r="B976">
        <v>36</v>
      </c>
      <c r="C976" t="s">
        <v>18</v>
      </c>
      <c r="D976" s="3">
        <v>114281</v>
      </c>
      <c r="E976">
        <v>99</v>
      </c>
      <c r="F976">
        <v>7</v>
      </c>
      <c r="G976">
        <v>6</v>
      </c>
      <c r="H976" t="s">
        <v>15</v>
      </c>
      <c r="I976">
        <v>217.78</v>
      </c>
      <c r="J976" t="str">
        <f t="shared" si="105"/>
        <v>High</v>
      </c>
      <c r="K976" s="4" t="e">
        <f t="shared" si="106"/>
        <v>#N/A</v>
      </c>
      <c r="L976" t="e">
        <f t="shared" si="107"/>
        <v>#N/A</v>
      </c>
      <c r="M976" s="3" t="e">
        <f t="shared" si="108"/>
        <v>#N/A</v>
      </c>
      <c r="N976" t="e">
        <f t="shared" si="109"/>
        <v>#N/A</v>
      </c>
      <c r="O976" s="3">
        <f t="shared" si="110"/>
        <v>114281</v>
      </c>
      <c r="P976">
        <f t="shared" si="111"/>
        <v>99</v>
      </c>
    </row>
    <row r="977" spans="1:16" x14ac:dyDescent="0.25">
      <c r="A977">
        <v>704</v>
      </c>
      <c r="B977">
        <v>52</v>
      </c>
      <c r="C977" t="s">
        <v>18</v>
      </c>
      <c r="D977" s="3">
        <v>58805</v>
      </c>
      <c r="E977">
        <v>14</v>
      </c>
      <c r="F977">
        <v>2</v>
      </c>
      <c r="G977">
        <v>47</v>
      </c>
      <c r="H977" t="s">
        <v>15</v>
      </c>
      <c r="I977">
        <v>104.35</v>
      </c>
      <c r="J977" t="str">
        <f t="shared" si="105"/>
        <v>Medium</v>
      </c>
      <c r="K977" s="4" t="e">
        <f t="shared" si="106"/>
        <v>#N/A</v>
      </c>
      <c r="L977" t="e">
        <f t="shared" si="107"/>
        <v>#N/A</v>
      </c>
      <c r="M977" s="3">
        <f t="shared" si="108"/>
        <v>58805</v>
      </c>
      <c r="N977">
        <f t="shared" si="109"/>
        <v>14</v>
      </c>
      <c r="O977" s="3" t="e">
        <f t="shared" si="110"/>
        <v>#N/A</v>
      </c>
      <c r="P977" t="e">
        <f t="shared" si="111"/>
        <v>#N/A</v>
      </c>
    </row>
    <row r="978" spans="1:16" x14ac:dyDescent="0.25">
      <c r="A978">
        <v>706</v>
      </c>
      <c r="B978">
        <v>29</v>
      </c>
      <c r="C978" t="s">
        <v>18</v>
      </c>
      <c r="D978" s="3">
        <v>102972</v>
      </c>
      <c r="E978">
        <v>68</v>
      </c>
      <c r="F978">
        <v>3</v>
      </c>
      <c r="G978">
        <v>39</v>
      </c>
      <c r="H978" t="s">
        <v>17</v>
      </c>
      <c r="I978">
        <v>258.08999999999997</v>
      </c>
      <c r="J978" t="str">
        <f t="shared" si="105"/>
        <v>High</v>
      </c>
      <c r="K978" s="4" t="e">
        <f t="shared" si="106"/>
        <v>#N/A</v>
      </c>
      <c r="L978" t="e">
        <f t="shared" si="107"/>
        <v>#N/A</v>
      </c>
      <c r="M978" s="3" t="e">
        <f t="shared" si="108"/>
        <v>#N/A</v>
      </c>
      <c r="N978" t="e">
        <f t="shared" si="109"/>
        <v>#N/A</v>
      </c>
      <c r="O978" s="3">
        <f t="shared" si="110"/>
        <v>102972</v>
      </c>
      <c r="P978">
        <f t="shared" si="111"/>
        <v>68</v>
      </c>
    </row>
    <row r="979" spans="1:16" x14ac:dyDescent="0.25">
      <c r="A979">
        <v>707</v>
      </c>
      <c r="B979">
        <v>47</v>
      </c>
      <c r="C979" t="s">
        <v>18</v>
      </c>
      <c r="D979" s="3">
        <v>128439</v>
      </c>
      <c r="E979">
        <v>42</v>
      </c>
      <c r="F979">
        <v>5</v>
      </c>
      <c r="G979">
        <v>22</v>
      </c>
      <c r="H979" t="s">
        <v>15</v>
      </c>
      <c r="I979">
        <v>219.02</v>
      </c>
      <c r="J979" t="str">
        <f t="shared" si="105"/>
        <v>High</v>
      </c>
      <c r="K979" s="4" t="e">
        <f t="shared" si="106"/>
        <v>#N/A</v>
      </c>
      <c r="L979" t="e">
        <f t="shared" si="107"/>
        <v>#N/A</v>
      </c>
      <c r="M979" s="3" t="e">
        <f t="shared" si="108"/>
        <v>#N/A</v>
      </c>
      <c r="N979" t="e">
        <f t="shared" si="109"/>
        <v>#N/A</v>
      </c>
      <c r="O979" s="3">
        <f t="shared" si="110"/>
        <v>128439</v>
      </c>
      <c r="P979">
        <f t="shared" si="111"/>
        <v>42</v>
      </c>
    </row>
    <row r="980" spans="1:16" x14ac:dyDescent="0.25">
      <c r="A980">
        <v>709</v>
      </c>
      <c r="B980">
        <v>44</v>
      </c>
      <c r="C980" t="s">
        <v>18</v>
      </c>
      <c r="D980" s="3">
        <v>118123</v>
      </c>
      <c r="E980">
        <v>40</v>
      </c>
      <c r="F980">
        <v>8</v>
      </c>
      <c r="G980">
        <v>31</v>
      </c>
      <c r="H980" t="s">
        <v>17</v>
      </c>
      <c r="I980">
        <v>140.52000000000001</v>
      </c>
      <c r="J980" t="str">
        <f t="shared" si="105"/>
        <v>High</v>
      </c>
      <c r="K980" s="4" t="e">
        <f t="shared" si="106"/>
        <v>#N/A</v>
      </c>
      <c r="L980" t="e">
        <f t="shared" si="107"/>
        <v>#N/A</v>
      </c>
      <c r="M980" s="3" t="e">
        <f t="shared" si="108"/>
        <v>#N/A</v>
      </c>
      <c r="N980" t="e">
        <f t="shared" si="109"/>
        <v>#N/A</v>
      </c>
      <c r="O980" s="3">
        <f t="shared" si="110"/>
        <v>118123</v>
      </c>
      <c r="P980">
        <f t="shared" si="111"/>
        <v>40</v>
      </c>
    </row>
    <row r="981" spans="1:16" x14ac:dyDescent="0.25">
      <c r="A981">
        <v>716</v>
      </c>
      <c r="B981">
        <v>48</v>
      </c>
      <c r="C981" t="s">
        <v>18</v>
      </c>
      <c r="D981" s="3">
        <v>74273</v>
      </c>
      <c r="E981">
        <v>23</v>
      </c>
      <c r="F981">
        <v>10</v>
      </c>
      <c r="G981">
        <v>46</v>
      </c>
      <c r="H981" t="s">
        <v>15</v>
      </c>
      <c r="I981">
        <v>626.27</v>
      </c>
      <c r="J981" t="str">
        <f t="shared" si="105"/>
        <v>Medium</v>
      </c>
      <c r="K981" s="4" t="e">
        <f t="shared" si="106"/>
        <v>#N/A</v>
      </c>
      <c r="L981" t="e">
        <f t="shared" si="107"/>
        <v>#N/A</v>
      </c>
      <c r="M981" s="3">
        <f t="shared" si="108"/>
        <v>74273</v>
      </c>
      <c r="N981">
        <f t="shared" si="109"/>
        <v>23</v>
      </c>
      <c r="O981" s="3" t="e">
        <f t="shared" si="110"/>
        <v>#N/A</v>
      </c>
      <c r="P981" t="e">
        <f t="shared" si="111"/>
        <v>#N/A</v>
      </c>
    </row>
    <row r="982" spans="1:16" x14ac:dyDescent="0.25">
      <c r="A982">
        <v>719</v>
      </c>
      <c r="B982">
        <v>21</v>
      </c>
      <c r="C982" t="s">
        <v>18</v>
      </c>
      <c r="D982" s="3">
        <v>119226</v>
      </c>
      <c r="E982">
        <v>21</v>
      </c>
      <c r="F982">
        <v>8</v>
      </c>
      <c r="G982">
        <v>50</v>
      </c>
      <c r="H982" t="s">
        <v>15</v>
      </c>
      <c r="I982">
        <v>772.63</v>
      </c>
      <c r="J982" t="str">
        <f t="shared" si="105"/>
        <v>High</v>
      </c>
      <c r="K982" s="4" t="e">
        <f t="shared" si="106"/>
        <v>#N/A</v>
      </c>
      <c r="L982" t="e">
        <f t="shared" si="107"/>
        <v>#N/A</v>
      </c>
      <c r="M982" s="3" t="e">
        <f t="shared" si="108"/>
        <v>#N/A</v>
      </c>
      <c r="N982" t="e">
        <f t="shared" si="109"/>
        <v>#N/A</v>
      </c>
      <c r="O982" s="3">
        <f t="shared" si="110"/>
        <v>119226</v>
      </c>
      <c r="P982">
        <f t="shared" si="111"/>
        <v>21</v>
      </c>
    </row>
    <row r="983" spans="1:16" x14ac:dyDescent="0.25">
      <c r="A983">
        <v>725</v>
      </c>
      <c r="B983">
        <v>48</v>
      </c>
      <c r="C983" t="s">
        <v>18</v>
      </c>
      <c r="D983" s="3">
        <v>108563</v>
      </c>
      <c r="E983">
        <v>3</v>
      </c>
      <c r="F983">
        <v>8</v>
      </c>
      <c r="G983">
        <v>39</v>
      </c>
      <c r="H983" t="s">
        <v>17</v>
      </c>
      <c r="I983">
        <v>15.72</v>
      </c>
      <c r="J983" t="str">
        <f t="shared" si="105"/>
        <v>High</v>
      </c>
      <c r="K983" s="4" t="e">
        <f t="shared" si="106"/>
        <v>#N/A</v>
      </c>
      <c r="L983" t="e">
        <f t="shared" si="107"/>
        <v>#N/A</v>
      </c>
      <c r="M983" s="3" t="e">
        <f t="shared" si="108"/>
        <v>#N/A</v>
      </c>
      <c r="N983" t="e">
        <f t="shared" si="109"/>
        <v>#N/A</v>
      </c>
      <c r="O983" s="3">
        <f t="shared" si="110"/>
        <v>108563</v>
      </c>
      <c r="P983">
        <f t="shared" si="111"/>
        <v>3</v>
      </c>
    </row>
    <row r="984" spans="1:16" x14ac:dyDescent="0.25">
      <c r="A984">
        <v>736</v>
      </c>
      <c r="B984">
        <v>52</v>
      </c>
      <c r="C984" t="s">
        <v>18</v>
      </c>
      <c r="D984" s="3">
        <v>130875</v>
      </c>
      <c r="E984">
        <v>76</v>
      </c>
      <c r="F984">
        <v>10</v>
      </c>
      <c r="G984">
        <v>14</v>
      </c>
      <c r="H984" t="s">
        <v>17</v>
      </c>
      <c r="I984">
        <v>979.39</v>
      </c>
      <c r="J984" t="str">
        <f t="shared" si="105"/>
        <v>High</v>
      </c>
      <c r="K984" s="4" t="e">
        <f t="shared" si="106"/>
        <v>#N/A</v>
      </c>
      <c r="L984" t="e">
        <f t="shared" si="107"/>
        <v>#N/A</v>
      </c>
      <c r="M984" s="3" t="e">
        <f t="shared" si="108"/>
        <v>#N/A</v>
      </c>
      <c r="N984" t="e">
        <f t="shared" si="109"/>
        <v>#N/A</v>
      </c>
      <c r="O984" s="3">
        <f t="shared" si="110"/>
        <v>130875</v>
      </c>
      <c r="P984">
        <f t="shared" si="111"/>
        <v>76</v>
      </c>
    </row>
    <row r="985" spans="1:16" x14ac:dyDescent="0.25">
      <c r="A985">
        <v>764</v>
      </c>
      <c r="B985">
        <v>61</v>
      </c>
      <c r="C985" t="s">
        <v>18</v>
      </c>
      <c r="D985" s="3">
        <v>116123</v>
      </c>
      <c r="E985">
        <v>96</v>
      </c>
      <c r="F985">
        <v>2</v>
      </c>
      <c r="G985">
        <v>27</v>
      </c>
      <c r="H985" t="s">
        <v>15</v>
      </c>
      <c r="I985">
        <v>844.95</v>
      </c>
      <c r="J985" t="str">
        <f t="shared" si="105"/>
        <v>High</v>
      </c>
      <c r="K985" s="4" t="e">
        <f t="shared" si="106"/>
        <v>#N/A</v>
      </c>
      <c r="L985" t="e">
        <f t="shared" si="107"/>
        <v>#N/A</v>
      </c>
      <c r="M985" s="3" t="e">
        <f t="shared" si="108"/>
        <v>#N/A</v>
      </c>
      <c r="N985" t="e">
        <f t="shared" si="109"/>
        <v>#N/A</v>
      </c>
      <c r="O985" s="3">
        <f t="shared" si="110"/>
        <v>116123</v>
      </c>
      <c r="P985">
        <f t="shared" si="111"/>
        <v>96</v>
      </c>
    </row>
    <row r="986" spans="1:16" x14ac:dyDescent="0.25">
      <c r="A986">
        <v>772</v>
      </c>
      <c r="B986">
        <v>26</v>
      </c>
      <c r="C986" t="s">
        <v>18</v>
      </c>
      <c r="D986" s="3">
        <v>79842</v>
      </c>
      <c r="E986">
        <v>78</v>
      </c>
      <c r="F986">
        <v>9</v>
      </c>
      <c r="G986">
        <v>5</v>
      </c>
      <c r="H986" t="s">
        <v>17</v>
      </c>
      <c r="I986">
        <v>557.41</v>
      </c>
      <c r="J986" t="str">
        <f t="shared" si="105"/>
        <v>Medium</v>
      </c>
      <c r="K986" s="4" t="e">
        <f t="shared" si="106"/>
        <v>#N/A</v>
      </c>
      <c r="L986" t="e">
        <f t="shared" si="107"/>
        <v>#N/A</v>
      </c>
      <c r="M986" s="3">
        <f t="shared" si="108"/>
        <v>79842</v>
      </c>
      <c r="N986">
        <f t="shared" si="109"/>
        <v>78</v>
      </c>
      <c r="O986" s="3" t="e">
        <f t="shared" si="110"/>
        <v>#N/A</v>
      </c>
      <c r="P986" t="e">
        <f t="shared" si="111"/>
        <v>#N/A</v>
      </c>
    </row>
    <row r="987" spans="1:16" x14ac:dyDescent="0.25">
      <c r="A987">
        <v>778</v>
      </c>
      <c r="B987">
        <v>46</v>
      </c>
      <c r="C987" t="s">
        <v>18</v>
      </c>
      <c r="D987" s="3">
        <v>78023</v>
      </c>
      <c r="E987">
        <v>83</v>
      </c>
      <c r="F987">
        <v>7</v>
      </c>
      <c r="G987">
        <v>28</v>
      </c>
      <c r="H987" t="s">
        <v>15</v>
      </c>
      <c r="I987">
        <v>270.14999999999998</v>
      </c>
      <c r="J987" t="str">
        <f t="shared" si="105"/>
        <v>Medium</v>
      </c>
      <c r="K987" s="4" t="e">
        <f t="shared" si="106"/>
        <v>#N/A</v>
      </c>
      <c r="L987" t="e">
        <f t="shared" si="107"/>
        <v>#N/A</v>
      </c>
      <c r="M987" s="3">
        <f t="shared" si="108"/>
        <v>78023</v>
      </c>
      <c r="N987">
        <f t="shared" si="109"/>
        <v>83</v>
      </c>
      <c r="O987" s="3" t="e">
        <f t="shared" si="110"/>
        <v>#N/A</v>
      </c>
      <c r="P987" t="e">
        <f t="shared" si="111"/>
        <v>#N/A</v>
      </c>
    </row>
    <row r="988" spans="1:16" x14ac:dyDescent="0.25">
      <c r="A988">
        <v>789</v>
      </c>
      <c r="B988">
        <v>25</v>
      </c>
      <c r="C988" t="s">
        <v>18</v>
      </c>
      <c r="D988" s="3">
        <v>52575</v>
      </c>
      <c r="E988">
        <v>77</v>
      </c>
      <c r="F988">
        <v>5</v>
      </c>
      <c r="G988">
        <v>13</v>
      </c>
      <c r="H988" t="s">
        <v>17</v>
      </c>
      <c r="I988">
        <v>112.22</v>
      </c>
      <c r="J988" t="str">
        <f t="shared" si="105"/>
        <v>Medium</v>
      </c>
      <c r="K988" s="4" t="e">
        <f t="shared" si="106"/>
        <v>#N/A</v>
      </c>
      <c r="L988" t="e">
        <f t="shared" si="107"/>
        <v>#N/A</v>
      </c>
      <c r="M988" s="3">
        <f t="shared" si="108"/>
        <v>52575</v>
      </c>
      <c r="N988">
        <f t="shared" si="109"/>
        <v>77</v>
      </c>
      <c r="O988" s="3" t="e">
        <f t="shared" si="110"/>
        <v>#N/A</v>
      </c>
      <c r="P988" t="e">
        <f t="shared" si="111"/>
        <v>#N/A</v>
      </c>
    </row>
    <row r="989" spans="1:16" x14ac:dyDescent="0.25">
      <c r="A989">
        <v>805</v>
      </c>
      <c r="B989">
        <v>51</v>
      </c>
      <c r="C989" t="s">
        <v>18</v>
      </c>
      <c r="D989" s="3">
        <v>97660</v>
      </c>
      <c r="E989">
        <v>3</v>
      </c>
      <c r="F989">
        <v>7</v>
      </c>
      <c r="G989">
        <v>30</v>
      </c>
      <c r="H989" t="s">
        <v>15</v>
      </c>
      <c r="I989">
        <v>145.66</v>
      </c>
      <c r="J989" t="str">
        <f t="shared" si="105"/>
        <v>Medium</v>
      </c>
      <c r="K989" s="4" t="e">
        <f t="shared" si="106"/>
        <v>#N/A</v>
      </c>
      <c r="L989" t="e">
        <f t="shared" si="107"/>
        <v>#N/A</v>
      </c>
      <c r="M989" s="3">
        <f t="shared" si="108"/>
        <v>97660</v>
      </c>
      <c r="N989">
        <f t="shared" si="109"/>
        <v>3</v>
      </c>
      <c r="O989" s="3" t="e">
        <f t="shared" si="110"/>
        <v>#N/A</v>
      </c>
      <c r="P989" t="e">
        <f t="shared" si="111"/>
        <v>#N/A</v>
      </c>
    </row>
    <row r="990" spans="1:16" x14ac:dyDescent="0.25">
      <c r="A990">
        <v>833</v>
      </c>
      <c r="B990">
        <v>43</v>
      </c>
      <c r="C990" t="s">
        <v>18</v>
      </c>
      <c r="D990" s="3">
        <v>85487</v>
      </c>
      <c r="E990">
        <v>71</v>
      </c>
      <c r="F990">
        <v>7</v>
      </c>
      <c r="G990">
        <v>49</v>
      </c>
      <c r="H990" t="s">
        <v>15</v>
      </c>
      <c r="I990">
        <v>625.26</v>
      </c>
      <c r="J990" t="str">
        <f t="shared" si="105"/>
        <v>Medium</v>
      </c>
      <c r="K990" s="4" t="e">
        <f t="shared" si="106"/>
        <v>#N/A</v>
      </c>
      <c r="L990" t="e">
        <f t="shared" si="107"/>
        <v>#N/A</v>
      </c>
      <c r="M990" s="3">
        <f t="shared" si="108"/>
        <v>85487</v>
      </c>
      <c r="N990">
        <f t="shared" si="109"/>
        <v>71</v>
      </c>
      <c r="O990" s="3" t="e">
        <f t="shared" si="110"/>
        <v>#N/A</v>
      </c>
      <c r="P990" t="e">
        <f t="shared" si="111"/>
        <v>#N/A</v>
      </c>
    </row>
    <row r="991" spans="1:16" x14ac:dyDescent="0.25">
      <c r="A991">
        <v>842</v>
      </c>
      <c r="B991">
        <v>33</v>
      </c>
      <c r="C991" t="s">
        <v>18</v>
      </c>
      <c r="D991" s="3">
        <v>96916</v>
      </c>
      <c r="E991">
        <v>23</v>
      </c>
      <c r="F991">
        <v>6</v>
      </c>
      <c r="G991">
        <v>12</v>
      </c>
      <c r="H991" t="s">
        <v>15</v>
      </c>
      <c r="I991">
        <v>373.49</v>
      </c>
      <c r="J991" t="str">
        <f t="shared" si="105"/>
        <v>Medium</v>
      </c>
      <c r="K991" s="4" t="e">
        <f t="shared" si="106"/>
        <v>#N/A</v>
      </c>
      <c r="L991" t="e">
        <f t="shared" si="107"/>
        <v>#N/A</v>
      </c>
      <c r="M991" s="3">
        <f t="shared" si="108"/>
        <v>96916</v>
      </c>
      <c r="N991">
        <f t="shared" si="109"/>
        <v>23</v>
      </c>
      <c r="O991" s="3" t="e">
        <f t="shared" si="110"/>
        <v>#N/A</v>
      </c>
      <c r="P991" t="e">
        <f t="shared" si="111"/>
        <v>#N/A</v>
      </c>
    </row>
    <row r="992" spans="1:16" x14ac:dyDescent="0.25">
      <c r="A992">
        <v>849</v>
      </c>
      <c r="B992">
        <v>56</v>
      </c>
      <c r="C992" t="s">
        <v>18</v>
      </c>
      <c r="D992" s="3">
        <v>86142</v>
      </c>
      <c r="E992">
        <v>87</v>
      </c>
      <c r="F992">
        <v>7</v>
      </c>
      <c r="G992">
        <v>8</v>
      </c>
      <c r="H992" t="s">
        <v>15</v>
      </c>
      <c r="I992">
        <v>291.95999999999998</v>
      </c>
      <c r="J992" t="str">
        <f t="shared" si="105"/>
        <v>Medium</v>
      </c>
      <c r="K992" s="4" t="e">
        <f t="shared" si="106"/>
        <v>#N/A</v>
      </c>
      <c r="L992" t="e">
        <f t="shared" si="107"/>
        <v>#N/A</v>
      </c>
      <c r="M992" s="3">
        <f t="shared" si="108"/>
        <v>86142</v>
      </c>
      <c r="N992">
        <f t="shared" si="109"/>
        <v>87</v>
      </c>
      <c r="O992" s="3" t="e">
        <f t="shared" si="110"/>
        <v>#N/A</v>
      </c>
      <c r="P992" t="e">
        <f t="shared" si="111"/>
        <v>#N/A</v>
      </c>
    </row>
    <row r="993" spans="1:16" x14ac:dyDescent="0.25">
      <c r="A993">
        <v>850</v>
      </c>
      <c r="B993">
        <v>48</v>
      </c>
      <c r="C993" t="s">
        <v>18</v>
      </c>
      <c r="D993" s="3">
        <v>126398</v>
      </c>
      <c r="E993">
        <v>19</v>
      </c>
      <c r="F993">
        <v>1</v>
      </c>
      <c r="G993">
        <v>18</v>
      </c>
      <c r="H993" t="s">
        <v>17</v>
      </c>
      <c r="I993">
        <v>311.08</v>
      </c>
      <c r="J993" t="str">
        <f t="shared" si="105"/>
        <v>High</v>
      </c>
      <c r="K993" s="4" t="e">
        <f t="shared" si="106"/>
        <v>#N/A</v>
      </c>
      <c r="L993" t="e">
        <f t="shared" si="107"/>
        <v>#N/A</v>
      </c>
      <c r="M993" s="3" t="e">
        <f t="shared" si="108"/>
        <v>#N/A</v>
      </c>
      <c r="N993" t="e">
        <f t="shared" si="109"/>
        <v>#N/A</v>
      </c>
      <c r="O993" s="3">
        <f t="shared" si="110"/>
        <v>126398</v>
      </c>
      <c r="P993">
        <f t="shared" si="111"/>
        <v>19</v>
      </c>
    </row>
    <row r="994" spans="1:16" x14ac:dyDescent="0.25">
      <c r="A994">
        <v>873</v>
      </c>
      <c r="B994">
        <v>42</v>
      </c>
      <c r="C994" t="s">
        <v>18</v>
      </c>
      <c r="D994" s="3">
        <v>127546</v>
      </c>
      <c r="E994">
        <v>54</v>
      </c>
      <c r="F994">
        <v>1</v>
      </c>
      <c r="G994">
        <v>31</v>
      </c>
      <c r="H994" t="s">
        <v>17</v>
      </c>
      <c r="I994">
        <v>484.72</v>
      </c>
      <c r="J994" t="str">
        <f t="shared" si="105"/>
        <v>High</v>
      </c>
      <c r="K994" s="4" t="e">
        <f t="shared" si="106"/>
        <v>#N/A</v>
      </c>
      <c r="L994" t="e">
        <f t="shared" si="107"/>
        <v>#N/A</v>
      </c>
      <c r="M994" s="3" t="e">
        <f t="shared" si="108"/>
        <v>#N/A</v>
      </c>
      <c r="N994" t="e">
        <f t="shared" si="109"/>
        <v>#N/A</v>
      </c>
      <c r="O994" s="3">
        <f t="shared" si="110"/>
        <v>127546</v>
      </c>
      <c r="P994">
        <f t="shared" si="111"/>
        <v>54</v>
      </c>
    </row>
    <row r="995" spans="1:16" x14ac:dyDescent="0.25">
      <c r="A995">
        <v>884</v>
      </c>
      <c r="B995">
        <v>50</v>
      </c>
      <c r="C995" t="s">
        <v>18</v>
      </c>
      <c r="D995" s="3">
        <v>59695</v>
      </c>
      <c r="E995">
        <v>70</v>
      </c>
      <c r="F995">
        <v>5</v>
      </c>
      <c r="G995">
        <v>6</v>
      </c>
      <c r="H995" t="s">
        <v>17</v>
      </c>
      <c r="I995">
        <v>241.99</v>
      </c>
      <c r="J995" t="str">
        <f t="shared" si="105"/>
        <v>Medium</v>
      </c>
      <c r="K995" s="4" t="e">
        <f t="shared" si="106"/>
        <v>#N/A</v>
      </c>
      <c r="L995" t="e">
        <f t="shared" si="107"/>
        <v>#N/A</v>
      </c>
      <c r="M995" s="3">
        <f t="shared" si="108"/>
        <v>59695</v>
      </c>
      <c r="N995">
        <f t="shared" si="109"/>
        <v>70</v>
      </c>
      <c r="O995" s="3" t="e">
        <f t="shared" si="110"/>
        <v>#N/A</v>
      </c>
      <c r="P995" t="e">
        <f t="shared" si="111"/>
        <v>#N/A</v>
      </c>
    </row>
    <row r="996" spans="1:16" x14ac:dyDescent="0.25">
      <c r="A996">
        <v>958</v>
      </c>
      <c r="B996">
        <v>26</v>
      </c>
      <c r="C996" t="s">
        <v>18</v>
      </c>
      <c r="D996" s="3">
        <v>41126</v>
      </c>
      <c r="E996">
        <v>37</v>
      </c>
      <c r="F996">
        <v>9</v>
      </c>
      <c r="G996">
        <v>44</v>
      </c>
      <c r="H996" t="s">
        <v>17</v>
      </c>
      <c r="I996">
        <v>100.64</v>
      </c>
      <c r="J996" t="str">
        <f t="shared" si="105"/>
        <v>Low</v>
      </c>
      <c r="K996" s="4">
        <f t="shared" si="106"/>
        <v>41126</v>
      </c>
      <c r="L996">
        <f t="shared" si="107"/>
        <v>37</v>
      </c>
      <c r="M996" s="3" t="e">
        <f t="shared" si="108"/>
        <v>#N/A</v>
      </c>
      <c r="N996" t="e">
        <f t="shared" si="109"/>
        <v>#N/A</v>
      </c>
      <c r="O996" s="3" t="e">
        <f t="shared" si="110"/>
        <v>#N/A</v>
      </c>
      <c r="P996" t="e">
        <f t="shared" si="111"/>
        <v>#N/A</v>
      </c>
    </row>
    <row r="997" spans="1:16" x14ac:dyDescent="0.25">
      <c r="A997">
        <v>960</v>
      </c>
      <c r="B997">
        <v>61</v>
      </c>
      <c r="C997" t="s">
        <v>18</v>
      </c>
      <c r="D997" s="3">
        <v>50349</v>
      </c>
      <c r="E997">
        <v>76</v>
      </c>
      <c r="F997">
        <v>9</v>
      </c>
      <c r="G997">
        <v>42</v>
      </c>
      <c r="H997" t="s">
        <v>17</v>
      </c>
      <c r="I997">
        <v>957.5</v>
      </c>
      <c r="J997" t="str">
        <f t="shared" si="105"/>
        <v>Medium</v>
      </c>
      <c r="K997" s="4" t="e">
        <f t="shared" si="106"/>
        <v>#N/A</v>
      </c>
      <c r="L997" t="e">
        <f t="shared" si="107"/>
        <v>#N/A</v>
      </c>
      <c r="M997" s="3">
        <f t="shared" si="108"/>
        <v>50349</v>
      </c>
      <c r="N997">
        <f t="shared" si="109"/>
        <v>76</v>
      </c>
      <c r="O997" s="3" t="e">
        <f t="shared" si="110"/>
        <v>#N/A</v>
      </c>
      <c r="P997" t="e">
        <f t="shared" si="111"/>
        <v>#N/A</v>
      </c>
    </row>
    <row r="998" spans="1:16" x14ac:dyDescent="0.25">
      <c r="A998">
        <v>967</v>
      </c>
      <c r="B998">
        <v>46</v>
      </c>
      <c r="C998" t="s">
        <v>18</v>
      </c>
      <c r="D998" s="3">
        <v>67361</v>
      </c>
      <c r="E998">
        <v>80</v>
      </c>
      <c r="F998">
        <v>6</v>
      </c>
      <c r="G998">
        <v>25</v>
      </c>
      <c r="H998" t="s">
        <v>15</v>
      </c>
      <c r="I998">
        <v>350.08</v>
      </c>
      <c r="J998" t="str">
        <f t="shared" si="105"/>
        <v>Medium</v>
      </c>
      <c r="K998" s="4" t="e">
        <f t="shared" si="106"/>
        <v>#N/A</v>
      </c>
      <c r="L998" t="e">
        <f t="shared" si="107"/>
        <v>#N/A</v>
      </c>
      <c r="M998" s="3">
        <f t="shared" si="108"/>
        <v>67361</v>
      </c>
      <c r="N998">
        <f t="shared" si="109"/>
        <v>80</v>
      </c>
      <c r="O998" s="3" t="e">
        <f t="shared" si="110"/>
        <v>#N/A</v>
      </c>
      <c r="P998" t="e">
        <f t="shared" si="111"/>
        <v>#N/A</v>
      </c>
    </row>
    <row r="999" spans="1:16" x14ac:dyDescent="0.25">
      <c r="A999">
        <v>978</v>
      </c>
      <c r="B999">
        <v>45</v>
      </c>
      <c r="C999" t="s">
        <v>18</v>
      </c>
      <c r="D999" s="3">
        <v>91381</v>
      </c>
      <c r="E999">
        <v>48</v>
      </c>
      <c r="F999">
        <v>8</v>
      </c>
      <c r="G999">
        <v>16</v>
      </c>
      <c r="H999" t="s">
        <v>15</v>
      </c>
      <c r="I999">
        <v>253.13</v>
      </c>
      <c r="J999" t="str">
        <f t="shared" si="105"/>
        <v>Medium</v>
      </c>
      <c r="K999" s="4" t="e">
        <f t="shared" si="106"/>
        <v>#N/A</v>
      </c>
      <c r="L999" t="e">
        <f t="shared" si="107"/>
        <v>#N/A</v>
      </c>
      <c r="M999" s="3">
        <f t="shared" si="108"/>
        <v>91381</v>
      </c>
      <c r="N999">
        <f t="shared" si="109"/>
        <v>48</v>
      </c>
      <c r="O999" s="3" t="e">
        <f t="shared" si="110"/>
        <v>#N/A</v>
      </c>
      <c r="P999" t="e">
        <f t="shared" si="111"/>
        <v>#N/A</v>
      </c>
    </row>
    <row r="1000" spans="1:16" x14ac:dyDescent="0.25">
      <c r="A1000">
        <v>979</v>
      </c>
      <c r="B1000">
        <v>66</v>
      </c>
      <c r="C1000" t="s">
        <v>18</v>
      </c>
      <c r="D1000" s="3">
        <v>74055</v>
      </c>
      <c r="E1000">
        <v>100</v>
      </c>
      <c r="F1000">
        <v>6</v>
      </c>
      <c r="G1000">
        <v>17</v>
      </c>
      <c r="H1000" t="s">
        <v>15</v>
      </c>
      <c r="I1000">
        <v>318.7</v>
      </c>
      <c r="J1000" t="str">
        <f t="shared" si="105"/>
        <v>Medium</v>
      </c>
      <c r="K1000" s="4" t="e">
        <f t="shared" si="106"/>
        <v>#N/A</v>
      </c>
      <c r="L1000" t="e">
        <f t="shared" si="107"/>
        <v>#N/A</v>
      </c>
      <c r="M1000" s="3">
        <f t="shared" si="108"/>
        <v>74055</v>
      </c>
      <c r="N1000">
        <f t="shared" si="109"/>
        <v>100</v>
      </c>
      <c r="O1000" s="3" t="e">
        <f t="shared" si="110"/>
        <v>#N/A</v>
      </c>
      <c r="P1000" t="e">
        <f t="shared" si="111"/>
        <v>#N/A</v>
      </c>
    </row>
    <row r="1001" spans="1:16" x14ac:dyDescent="0.25">
      <c r="A1001">
        <v>980</v>
      </c>
      <c r="B1001">
        <v>45</v>
      </c>
      <c r="C1001" t="s">
        <v>18</v>
      </c>
      <c r="D1001" s="3">
        <v>135047</v>
      </c>
      <c r="E1001">
        <v>11</v>
      </c>
      <c r="F1001">
        <v>9</v>
      </c>
      <c r="G1001">
        <v>42</v>
      </c>
      <c r="H1001" t="s">
        <v>17</v>
      </c>
      <c r="I1001">
        <v>422.93</v>
      </c>
      <c r="J1001" t="str">
        <f t="shared" si="105"/>
        <v>High</v>
      </c>
      <c r="K1001" s="4" t="e">
        <f t="shared" si="106"/>
        <v>#N/A</v>
      </c>
      <c r="L1001" t="e">
        <f t="shared" si="107"/>
        <v>#N/A</v>
      </c>
      <c r="M1001" s="3" t="e">
        <f t="shared" si="108"/>
        <v>#N/A</v>
      </c>
      <c r="N1001" t="e">
        <f t="shared" si="109"/>
        <v>#N/A</v>
      </c>
      <c r="O1001" s="3">
        <f t="shared" si="110"/>
        <v>135047</v>
      </c>
      <c r="P1001">
        <f t="shared" si="111"/>
        <v>11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FBB6-FB5B-45E8-A0AE-BCFF835A1018}">
  <dimension ref="A1:N1001"/>
  <sheetViews>
    <sheetView topLeftCell="D1" zoomScaleNormal="100" workbookViewId="0">
      <selection activeCell="M14" sqref="M14"/>
    </sheetView>
  </sheetViews>
  <sheetFormatPr defaultRowHeight="15" x14ac:dyDescent="0.25"/>
  <cols>
    <col min="1" max="1" width="5" bestFit="1" customWidth="1"/>
    <col min="2" max="2" width="6.42578125" bestFit="1" customWidth="1"/>
    <col min="3" max="3" width="9.5703125" bestFit="1" customWidth="1"/>
    <col min="4" max="4" width="9.85546875" style="3" bestFit="1" customWidth="1"/>
    <col min="5" max="5" width="17.28515625" bestFit="1" customWidth="1"/>
    <col min="6" max="6" width="20.5703125" bestFit="1" customWidth="1"/>
    <col min="7" max="7" width="21.5703125" bestFit="1" customWidth="1"/>
    <col min="8" max="8" width="20.7109375" bestFit="1" customWidth="1"/>
    <col min="9" max="9" width="23.7109375" bestFit="1" customWidth="1"/>
    <col min="10" max="10" width="16.28515625" bestFit="1" customWidth="1"/>
    <col min="12" max="12" width="14.28515625" bestFit="1" customWidth="1"/>
    <col min="13" max="13" width="14.28515625" customWidth="1"/>
    <col min="14" max="14" width="12.28515625" customWidth="1"/>
  </cols>
  <sheetData>
    <row r="1" spans="1:14" ht="15.75" thickBot="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26</v>
      </c>
      <c r="L1" s="12" t="s">
        <v>27</v>
      </c>
      <c r="M1" s="11" t="s">
        <v>40</v>
      </c>
      <c r="N1" s="11" t="s">
        <v>29</v>
      </c>
    </row>
    <row r="2" spans="1:14" x14ac:dyDescent="0.25">
      <c r="A2">
        <v>15</v>
      </c>
      <c r="B2">
        <v>33</v>
      </c>
      <c r="C2" t="s">
        <v>12</v>
      </c>
      <c r="D2" s="3">
        <v>112260</v>
      </c>
      <c r="E2">
        <v>17</v>
      </c>
      <c r="F2">
        <v>5</v>
      </c>
      <c r="G2">
        <v>8</v>
      </c>
      <c r="H2" t="s">
        <v>13</v>
      </c>
      <c r="I2">
        <v>915.89</v>
      </c>
      <c r="J2" t="str">
        <f t="shared" ref="J2:J65" si="0">IF(E2&lt;33,"Low",IF(E2&lt;66,"Medium","High"))</f>
        <v>Low</v>
      </c>
      <c r="L2" s="7" t="s">
        <v>41</v>
      </c>
      <c r="M2" s="5" t="s">
        <v>39</v>
      </c>
      <c r="N2" s="5">
        <f>COUNTIF(customer_segmentation_data43[Spending class],"High")</f>
        <v>374</v>
      </c>
    </row>
    <row r="3" spans="1:14" x14ac:dyDescent="0.25">
      <c r="A3">
        <v>19</v>
      </c>
      <c r="B3">
        <v>37</v>
      </c>
      <c r="C3" t="s">
        <v>12</v>
      </c>
      <c r="D3" s="3">
        <v>95491</v>
      </c>
      <c r="E3">
        <v>90</v>
      </c>
      <c r="F3">
        <v>6</v>
      </c>
      <c r="G3">
        <v>21</v>
      </c>
      <c r="H3" t="s">
        <v>13</v>
      </c>
      <c r="I3">
        <v>454.83</v>
      </c>
      <c r="J3" t="str">
        <f t="shared" si="0"/>
        <v>High</v>
      </c>
      <c r="L3" s="7" t="s">
        <v>42</v>
      </c>
      <c r="M3" s="5" t="s">
        <v>38</v>
      </c>
      <c r="N3" s="5">
        <f>COUNTIF(customer_segmentation_data43[Spending class],"Low")</f>
        <v>327</v>
      </c>
    </row>
    <row r="4" spans="1:14" ht="15.75" thickBot="1" x14ac:dyDescent="0.3">
      <c r="A4">
        <v>22</v>
      </c>
      <c r="B4">
        <v>22</v>
      </c>
      <c r="C4" t="s">
        <v>12</v>
      </c>
      <c r="D4" s="3">
        <v>49077</v>
      </c>
      <c r="E4">
        <v>74</v>
      </c>
      <c r="F4">
        <v>10</v>
      </c>
      <c r="G4">
        <v>47</v>
      </c>
      <c r="H4" t="s">
        <v>13</v>
      </c>
      <c r="I4">
        <v>799.31</v>
      </c>
      <c r="J4" t="str">
        <f t="shared" si="0"/>
        <v>High</v>
      </c>
      <c r="L4" s="8" t="s">
        <v>43</v>
      </c>
      <c r="M4" s="13" t="s">
        <v>37</v>
      </c>
      <c r="N4" s="6">
        <f>COUNTIF(customer_segmentation_data43[Spending class],"Medium")</f>
        <v>299</v>
      </c>
    </row>
    <row r="5" spans="1:14" x14ac:dyDescent="0.25">
      <c r="A5">
        <v>40</v>
      </c>
      <c r="B5">
        <v>22</v>
      </c>
      <c r="C5" t="s">
        <v>12</v>
      </c>
      <c r="D5" s="3">
        <v>107057</v>
      </c>
      <c r="E5">
        <v>14</v>
      </c>
      <c r="F5">
        <v>5</v>
      </c>
      <c r="G5">
        <v>41</v>
      </c>
      <c r="H5" t="s">
        <v>13</v>
      </c>
      <c r="I5">
        <v>98.86</v>
      </c>
      <c r="J5" t="str">
        <f t="shared" si="0"/>
        <v>Low</v>
      </c>
    </row>
    <row r="6" spans="1:14" x14ac:dyDescent="0.25">
      <c r="A6">
        <v>41</v>
      </c>
      <c r="B6">
        <v>23</v>
      </c>
      <c r="C6" t="s">
        <v>12</v>
      </c>
      <c r="D6" s="3">
        <v>70723</v>
      </c>
      <c r="E6">
        <v>31</v>
      </c>
      <c r="F6">
        <v>1</v>
      </c>
      <c r="G6">
        <v>48</v>
      </c>
      <c r="H6" t="s">
        <v>13</v>
      </c>
      <c r="I6">
        <v>713.33</v>
      </c>
      <c r="J6" t="str">
        <f t="shared" si="0"/>
        <v>Low</v>
      </c>
    </row>
    <row r="7" spans="1:14" x14ac:dyDescent="0.25">
      <c r="A7">
        <v>43</v>
      </c>
      <c r="B7">
        <v>35</v>
      </c>
      <c r="C7" t="s">
        <v>12</v>
      </c>
      <c r="D7" s="3">
        <v>72179</v>
      </c>
      <c r="E7">
        <v>6</v>
      </c>
      <c r="F7">
        <v>6</v>
      </c>
      <c r="G7">
        <v>45</v>
      </c>
      <c r="H7" t="s">
        <v>13</v>
      </c>
      <c r="I7">
        <v>165.18</v>
      </c>
      <c r="J7" t="str">
        <f t="shared" si="0"/>
        <v>Low</v>
      </c>
    </row>
    <row r="8" spans="1:14" x14ac:dyDescent="0.25">
      <c r="A8">
        <v>45</v>
      </c>
      <c r="B8">
        <v>50</v>
      </c>
      <c r="C8" t="s">
        <v>12</v>
      </c>
      <c r="D8" s="3">
        <v>42404</v>
      </c>
      <c r="E8">
        <v>45</v>
      </c>
      <c r="F8">
        <v>4</v>
      </c>
      <c r="G8">
        <v>31</v>
      </c>
      <c r="H8" t="s">
        <v>13</v>
      </c>
      <c r="I8">
        <v>753.6</v>
      </c>
      <c r="J8" t="str">
        <f t="shared" si="0"/>
        <v>Medium</v>
      </c>
    </row>
    <row r="9" spans="1:14" x14ac:dyDescent="0.25">
      <c r="A9">
        <v>66</v>
      </c>
      <c r="B9">
        <v>32</v>
      </c>
      <c r="C9" t="s">
        <v>12</v>
      </c>
      <c r="D9" s="3">
        <v>100270</v>
      </c>
      <c r="E9">
        <v>69</v>
      </c>
      <c r="F9">
        <v>3</v>
      </c>
      <c r="G9">
        <v>29</v>
      </c>
      <c r="H9" t="s">
        <v>13</v>
      </c>
      <c r="I9">
        <v>686.05</v>
      </c>
      <c r="J9" t="str">
        <f t="shared" si="0"/>
        <v>High</v>
      </c>
    </row>
    <row r="10" spans="1:14" x14ac:dyDescent="0.25">
      <c r="A10">
        <v>87</v>
      </c>
      <c r="B10">
        <v>59</v>
      </c>
      <c r="C10" t="s">
        <v>12</v>
      </c>
      <c r="D10" s="3">
        <v>47990</v>
      </c>
      <c r="E10">
        <v>3</v>
      </c>
      <c r="F10">
        <v>10</v>
      </c>
      <c r="G10">
        <v>48</v>
      </c>
      <c r="H10" t="s">
        <v>13</v>
      </c>
      <c r="I10">
        <v>755.92</v>
      </c>
      <c r="J10" t="str">
        <f t="shared" si="0"/>
        <v>Low</v>
      </c>
    </row>
    <row r="11" spans="1:14" x14ac:dyDescent="0.25">
      <c r="A11">
        <v>108</v>
      </c>
      <c r="B11">
        <v>65</v>
      </c>
      <c r="C11" t="s">
        <v>12</v>
      </c>
      <c r="D11" s="3">
        <v>81753</v>
      </c>
      <c r="E11">
        <v>72</v>
      </c>
      <c r="F11">
        <v>9</v>
      </c>
      <c r="G11">
        <v>21</v>
      </c>
      <c r="H11" t="s">
        <v>13</v>
      </c>
      <c r="I11">
        <v>633.63</v>
      </c>
      <c r="J11" t="str">
        <f t="shared" si="0"/>
        <v>High</v>
      </c>
    </row>
    <row r="12" spans="1:14" x14ac:dyDescent="0.25">
      <c r="A12">
        <v>116</v>
      </c>
      <c r="B12">
        <v>59</v>
      </c>
      <c r="C12" t="s">
        <v>12</v>
      </c>
      <c r="D12" s="3">
        <v>125014</v>
      </c>
      <c r="E12">
        <v>89</v>
      </c>
      <c r="F12">
        <v>7</v>
      </c>
      <c r="G12">
        <v>42</v>
      </c>
      <c r="H12" t="s">
        <v>13</v>
      </c>
      <c r="I12">
        <v>451.82</v>
      </c>
      <c r="J12" t="str">
        <f t="shared" si="0"/>
        <v>High</v>
      </c>
    </row>
    <row r="13" spans="1:14" x14ac:dyDescent="0.25">
      <c r="A13">
        <v>118</v>
      </c>
      <c r="B13">
        <v>62</v>
      </c>
      <c r="C13" t="s">
        <v>12</v>
      </c>
      <c r="D13" s="3">
        <v>48693</v>
      </c>
      <c r="E13">
        <v>36</v>
      </c>
      <c r="F13">
        <v>9</v>
      </c>
      <c r="G13">
        <v>44</v>
      </c>
      <c r="H13" t="s">
        <v>13</v>
      </c>
      <c r="I13">
        <v>755.67</v>
      </c>
      <c r="J13" t="str">
        <f t="shared" si="0"/>
        <v>Medium</v>
      </c>
    </row>
    <row r="14" spans="1:14" x14ac:dyDescent="0.25">
      <c r="A14">
        <v>124</v>
      </c>
      <c r="B14">
        <v>30</v>
      </c>
      <c r="C14" t="s">
        <v>12</v>
      </c>
      <c r="D14" s="3">
        <v>51454</v>
      </c>
      <c r="E14">
        <v>94</v>
      </c>
      <c r="F14">
        <v>8</v>
      </c>
      <c r="G14">
        <v>17</v>
      </c>
      <c r="H14" t="s">
        <v>13</v>
      </c>
      <c r="I14">
        <v>553.35</v>
      </c>
      <c r="J14" t="str">
        <f t="shared" si="0"/>
        <v>High</v>
      </c>
    </row>
    <row r="15" spans="1:14" x14ac:dyDescent="0.25">
      <c r="A15">
        <v>142</v>
      </c>
      <c r="B15">
        <v>37</v>
      </c>
      <c r="C15" t="s">
        <v>12</v>
      </c>
      <c r="D15" s="3">
        <v>61695</v>
      </c>
      <c r="E15">
        <v>13</v>
      </c>
      <c r="F15">
        <v>5</v>
      </c>
      <c r="G15">
        <v>45</v>
      </c>
      <c r="H15" t="s">
        <v>13</v>
      </c>
      <c r="I15">
        <v>18.489999999999998</v>
      </c>
      <c r="J15" t="str">
        <f t="shared" si="0"/>
        <v>Low</v>
      </c>
    </row>
    <row r="16" spans="1:14" x14ac:dyDescent="0.25">
      <c r="A16">
        <v>171</v>
      </c>
      <c r="B16">
        <v>21</v>
      </c>
      <c r="C16" t="s">
        <v>12</v>
      </c>
      <c r="D16" s="3">
        <v>140801</v>
      </c>
      <c r="E16">
        <v>13</v>
      </c>
      <c r="F16">
        <v>3</v>
      </c>
      <c r="G16">
        <v>43</v>
      </c>
      <c r="H16" t="s">
        <v>13</v>
      </c>
      <c r="I16">
        <v>82.88</v>
      </c>
      <c r="J16" t="str">
        <f t="shared" si="0"/>
        <v>Low</v>
      </c>
    </row>
    <row r="17" spans="1:10" x14ac:dyDescent="0.25">
      <c r="A17">
        <v>180</v>
      </c>
      <c r="B17">
        <v>48</v>
      </c>
      <c r="C17" t="s">
        <v>12</v>
      </c>
      <c r="D17" s="3">
        <v>121325</v>
      </c>
      <c r="E17">
        <v>30</v>
      </c>
      <c r="F17">
        <v>3</v>
      </c>
      <c r="G17">
        <v>35</v>
      </c>
      <c r="H17" t="s">
        <v>13</v>
      </c>
      <c r="I17">
        <v>624.36</v>
      </c>
      <c r="J17" t="str">
        <f t="shared" si="0"/>
        <v>Low</v>
      </c>
    </row>
    <row r="18" spans="1:10" x14ac:dyDescent="0.25">
      <c r="A18">
        <v>196</v>
      </c>
      <c r="B18">
        <v>48</v>
      </c>
      <c r="C18" t="s">
        <v>12</v>
      </c>
      <c r="D18" s="3">
        <v>108550</v>
      </c>
      <c r="E18">
        <v>5</v>
      </c>
      <c r="F18">
        <v>6</v>
      </c>
      <c r="G18">
        <v>35</v>
      </c>
      <c r="H18" t="s">
        <v>13</v>
      </c>
      <c r="I18">
        <v>410.05</v>
      </c>
      <c r="J18" t="str">
        <f t="shared" si="0"/>
        <v>Low</v>
      </c>
    </row>
    <row r="19" spans="1:10" x14ac:dyDescent="0.25">
      <c r="A19">
        <v>204</v>
      </c>
      <c r="B19">
        <v>49</v>
      </c>
      <c r="C19" t="s">
        <v>12</v>
      </c>
      <c r="D19" s="3">
        <v>100258</v>
      </c>
      <c r="E19">
        <v>53</v>
      </c>
      <c r="F19">
        <v>6</v>
      </c>
      <c r="G19">
        <v>27</v>
      </c>
      <c r="H19" t="s">
        <v>13</v>
      </c>
      <c r="I19">
        <v>436.43</v>
      </c>
      <c r="J19" t="str">
        <f t="shared" si="0"/>
        <v>Medium</v>
      </c>
    </row>
    <row r="20" spans="1:10" x14ac:dyDescent="0.25">
      <c r="A20">
        <v>214</v>
      </c>
      <c r="B20">
        <v>33</v>
      </c>
      <c r="C20" t="s">
        <v>12</v>
      </c>
      <c r="D20" s="3">
        <v>84883</v>
      </c>
      <c r="E20">
        <v>43</v>
      </c>
      <c r="F20">
        <v>2</v>
      </c>
      <c r="G20">
        <v>49</v>
      </c>
      <c r="H20" t="s">
        <v>13</v>
      </c>
      <c r="I20">
        <v>956.03</v>
      </c>
      <c r="J20" t="str">
        <f t="shared" si="0"/>
        <v>Medium</v>
      </c>
    </row>
    <row r="21" spans="1:10" x14ac:dyDescent="0.25">
      <c r="A21">
        <v>228</v>
      </c>
      <c r="B21">
        <v>53</v>
      </c>
      <c r="C21" t="s">
        <v>12</v>
      </c>
      <c r="D21" s="3">
        <v>57651</v>
      </c>
      <c r="E21">
        <v>27</v>
      </c>
      <c r="F21">
        <v>7</v>
      </c>
      <c r="G21">
        <v>16</v>
      </c>
      <c r="H21" t="s">
        <v>13</v>
      </c>
      <c r="I21">
        <v>345.62</v>
      </c>
      <c r="J21" t="str">
        <f t="shared" si="0"/>
        <v>Low</v>
      </c>
    </row>
    <row r="22" spans="1:10" x14ac:dyDescent="0.25">
      <c r="A22">
        <v>250</v>
      </c>
      <c r="B22">
        <v>47</v>
      </c>
      <c r="C22" t="s">
        <v>12</v>
      </c>
      <c r="D22" s="3">
        <v>91491</v>
      </c>
      <c r="E22">
        <v>52</v>
      </c>
      <c r="F22">
        <v>5</v>
      </c>
      <c r="G22">
        <v>10</v>
      </c>
      <c r="H22" t="s">
        <v>13</v>
      </c>
      <c r="I22">
        <v>21.43</v>
      </c>
      <c r="J22" t="str">
        <f t="shared" si="0"/>
        <v>Medium</v>
      </c>
    </row>
    <row r="23" spans="1:10" x14ac:dyDescent="0.25">
      <c r="A23">
        <v>288</v>
      </c>
      <c r="B23">
        <v>56</v>
      </c>
      <c r="C23" t="s">
        <v>12</v>
      </c>
      <c r="D23" s="3">
        <v>117922</v>
      </c>
      <c r="E23">
        <v>69</v>
      </c>
      <c r="F23">
        <v>2</v>
      </c>
      <c r="G23">
        <v>41</v>
      </c>
      <c r="H23" t="s">
        <v>13</v>
      </c>
      <c r="I23">
        <v>98.83</v>
      </c>
      <c r="J23" t="str">
        <f t="shared" si="0"/>
        <v>High</v>
      </c>
    </row>
    <row r="24" spans="1:10" x14ac:dyDescent="0.25">
      <c r="A24">
        <v>324</v>
      </c>
      <c r="B24">
        <v>30</v>
      </c>
      <c r="C24" t="s">
        <v>12</v>
      </c>
      <c r="D24" s="3">
        <v>119162</v>
      </c>
      <c r="E24">
        <v>15</v>
      </c>
      <c r="F24">
        <v>9</v>
      </c>
      <c r="G24">
        <v>38</v>
      </c>
      <c r="H24" t="s">
        <v>13</v>
      </c>
      <c r="I24">
        <v>937.85</v>
      </c>
      <c r="J24" t="str">
        <f t="shared" si="0"/>
        <v>Low</v>
      </c>
    </row>
    <row r="25" spans="1:10" x14ac:dyDescent="0.25">
      <c r="A25">
        <v>343</v>
      </c>
      <c r="B25">
        <v>32</v>
      </c>
      <c r="C25" t="s">
        <v>12</v>
      </c>
      <c r="D25" s="3">
        <v>48445</v>
      </c>
      <c r="E25">
        <v>91</v>
      </c>
      <c r="F25">
        <v>8</v>
      </c>
      <c r="G25">
        <v>27</v>
      </c>
      <c r="H25" t="s">
        <v>13</v>
      </c>
      <c r="I25">
        <v>265.17</v>
      </c>
      <c r="J25" t="str">
        <f t="shared" si="0"/>
        <v>High</v>
      </c>
    </row>
    <row r="26" spans="1:10" x14ac:dyDescent="0.25">
      <c r="A26">
        <v>344</v>
      </c>
      <c r="B26">
        <v>41</v>
      </c>
      <c r="C26" t="s">
        <v>12</v>
      </c>
      <c r="D26" s="3">
        <v>136928</v>
      </c>
      <c r="E26">
        <v>42</v>
      </c>
      <c r="F26">
        <v>5</v>
      </c>
      <c r="G26">
        <v>33</v>
      </c>
      <c r="H26" t="s">
        <v>13</v>
      </c>
      <c r="I26">
        <v>239.72</v>
      </c>
      <c r="J26" t="str">
        <f t="shared" si="0"/>
        <v>Medium</v>
      </c>
    </row>
    <row r="27" spans="1:10" x14ac:dyDescent="0.25">
      <c r="A27">
        <v>362</v>
      </c>
      <c r="B27">
        <v>21</v>
      </c>
      <c r="C27" t="s">
        <v>12</v>
      </c>
      <c r="D27" s="3">
        <v>107934</v>
      </c>
      <c r="E27">
        <v>32</v>
      </c>
      <c r="F27">
        <v>5</v>
      </c>
      <c r="G27">
        <v>38</v>
      </c>
      <c r="H27" t="s">
        <v>13</v>
      </c>
      <c r="I27">
        <v>533.17999999999995</v>
      </c>
      <c r="J27" t="str">
        <f t="shared" si="0"/>
        <v>Low</v>
      </c>
    </row>
    <row r="28" spans="1:10" x14ac:dyDescent="0.25">
      <c r="A28">
        <v>377</v>
      </c>
      <c r="B28">
        <v>46</v>
      </c>
      <c r="C28" t="s">
        <v>12</v>
      </c>
      <c r="D28" s="3">
        <v>123037</v>
      </c>
      <c r="E28">
        <v>100</v>
      </c>
      <c r="F28">
        <v>1</v>
      </c>
      <c r="G28">
        <v>9</v>
      </c>
      <c r="H28" t="s">
        <v>13</v>
      </c>
      <c r="I28">
        <v>617.74</v>
      </c>
      <c r="J28" t="str">
        <f t="shared" si="0"/>
        <v>High</v>
      </c>
    </row>
    <row r="29" spans="1:10" x14ac:dyDescent="0.25">
      <c r="A29">
        <v>384</v>
      </c>
      <c r="B29">
        <v>46</v>
      </c>
      <c r="C29" t="s">
        <v>12</v>
      </c>
      <c r="D29" s="3">
        <v>120914</v>
      </c>
      <c r="E29">
        <v>1</v>
      </c>
      <c r="F29">
        <v>1</v>
      </c>
      <c r="G29">
        <v>41</v>
      </c>
      <c r="H29" t="s">
        <v>13</v>
      </c>
      <c r="I29">
        <v>329.9</v>
      </c>
      <c r="J29" t="str">
        <f t="shared" si="0"/>
        <v>Low</v>
      </c>
    </row>
    <row r="30" spans="1:10" x14ac:dyDescent="0.25">
      <c r="A30">
        <v>392</v>
      </c>
      <c r="B30">
        <v>28</v>
      </c>
      <c r="C30" t="s">
        <v>12</v>
      </c>
      <c r="D30" s="3">
        <v>59278</v>
      </c>
      <c r="E30">
        <v>60</v>
      </c>
      <c r="F30">
        <v>2</v>
      </c>
      <c r="G30">
        <v>8</v>
      </c>
      <c r="H30" t="s">
        <v>13</v>
      </c>
      <c r="I30">
        <v>362.41</v>
      </c>
      <c r="J30" t="str">
        <f t="shared" si="0"/>
        <v>Medium</v>
      </c>
    </row>
    <row r="31" spans="1:10" x14ac:dyDescent="0.25">
      <c r="A31">
        <v>405</v>
      </c>
      <c r="B31">
        <v>21</v>
      </c>
      <c r="C31" t="s">
        <v>12</v>
      </c>
      <c r="D31" s="3">
        <v>42889</v>
      </c>
      <c r="E31">
        <v>12</v>
      </c>
      <c r="F31">
        <v>2</v>
      </c>
      <c r="G31">
        <v>20</v>
      </c>
      <c r="H31" t="s">
        <v>13</v>
      </c>
      <c r="I31">
        <v>789.92</v>
      </c>
      <c r="J31" t="str">
        <f t="shared" si="0"/>
        <v>Low</v>
      </c>
    </row>
    <row r="32" spans="1:10" x14ac:dyDescent="0.25">
      <c r="A32">
        <v>420</v>
      </c>
      <c r="B32">
        <v>46</v>
      </c>
      <c r="C32" t="s">
        <v>12</v>
      </c>
      <c r="D32" s="3">
        <v>60671</v>
      </c>
      <c r="E32">
        <v>57</v>
      </c>
      <c r="F32">
        <v>5</v>
      </c>
      <c r="G32">
        <v>48</v>
      </c>
      <c r="H32" t="s">
        <v>13</v>
      </c>
      <c r="I32">
        <v>817.69</v>
      </c>
      <c r="J32" t="str">
        <f t="shared" si="0"/>
        <v>Medium</v>
      </c>
    </row>
    <row r="33" spans="1:10" x14ac:dyDescent="0.25">
      <c r="A33">
        <v>449</v>
      </c>
      <c r="B33">
        <v>50</v>
      </c>
      <c r="C33" t="s">
        <v>12</v>
      </c>
      <c r="D33" s="3">
        <v>46524</v>
      </c>
      <c r="E33">
        <v>1</v>
      </c>
      <c r="F33">
        <v>4</v>
      </c>
      <c r="G33">
        <v>7</v>
      </c>
      <c r="H33" t="s">
        <v>13</v>
      </c>
      <c r="I33">
        <v>371.62</v>
      </c>
      <c r="J33" t="str">
        <f t="shared" si="0"/>
        <v>Low</v>
      </c>
    </row>
    <row r="34" spans="1:10" x14ac:dyDescent="0.25">
      <c r="A34">
        <v>454</v>
      </c>
      <c r="B34">
        <v>27</v>
      </c>
      <c r="C34" t="s">
        <v>12</v>
      </c>
      <c r="D34" s="3">
        <v>143992</v>
      </c>
      <c r="E34">
        <v>31</v>
      </c>
      <c r="F34">
        <v>2</v>
      </c>
      <c r="G34">
        <v>32</v>
      </c>
      <c r="H34" t="s">
        <v>13</v>
      </c>
      <c r="I34">
        <v>994.1</v>
      </c>
      <c r="J34" t="str">
        <f t="shared" si="0"/>
        <v>Low</v>
      </c>
    </row>
    <row r="35" spans="1:10" x14ac:dyDescent="0.25">
      <c r="A35">
        <v>461</v>
      </c>
      <c r="B35">
        <v>41</v>
      </c>
      <c r="C35" t="s">
        <v>12</v>
      </c>
      <c r="D35" s="3">
        <v>141605</v>
      </c>
      <c r="E35">
        <v>100</v>
      </c>
      <c r="F35">
        <v>4</v>
      </c>
      <c r="G35">
        <v>20</v>
      </c>
      <c r="H35" t="s">
        <v>13</v>
      </c>
      <c r="I35">
        <v>693.02</v>
      </c>
      <c r="J35" t="str">
        <f t="shared" si="0"/>
        <v>High</v>
      </c>
    </row>
    <row r="36" spans="1:10" x14ac:dyDescent="0.25">
      <c r="A36">
        <v>485</v>
      </c>
      <c r="B36">
        <v>65</v>
      </c>
      <c r="C36" t="s">
        <v>12</v>
      </c>
      <c r="D36" s="3">
        <v>39113</v>
      </c>
      <c r="E36">
        <v>85</v>
      </c>
      <c r="F36">
        <v>9</v>
      </c>
      <c r="G36">
        <v>42</v>
      </c>
      <c r="H36" t="s">
        <v>13</v>
      </c>
      <c r="I36">
        <v>964.87</v>
      </c>
      <c r="J36" t="str">
        <f t="shared" si="0"/>
        <v>High</v>
      </c>
    </row>
    <row r="37" spans="1:10" x14ac:dyDescent="0.25">
      <c r="A37">
        <v>532</v>
      </c>
      <c r="B37">
        <v>19</v>
      </c>
      <c r="C37" t="s">
        <v>12</v>
      </c>
      <c r="D37" s="3">
        <v>146165</v>
      </c>
      <c r="E37">
        <v>38</v>
      </c>
      <c r="F37">
        <v>9</v>
      </c>
      <c r="G37">
        <v>45</v>
      </c>
      <c r="H37" t="s">
        <v>13</v>
      </c>
      <c r="I37">
        <v>819.92</v>
      </c>
      <c r="J37" t="str">
        <f t="shared" si="0"/>
        <v>Medium</v>
      </c>
    </row>
    <row r="38" spans="1:10" x14ac:dyDescent="0.25">
      <c r="A38">
        <v>557</v>
      </c>
      <c r="B38">
        <v>45</v>
      </c>
      <c r="C38" t="s">
        <v>12</v>
      </c>
      <c r="D38" s="3">
        <v>95367</v>
      </c>
      <c r="E38">
        <v>83</v>
      </c>
      <c r="F38">
        <v>5</v>
      </c>
      <c r="G38">
        <v>30</v>
      </c>
      <c r="H38" t="s">
        <v>13</v>
      </c>
      <c r="I38">
        <v>845.33</v>
      </c>
      <c r="J38" t="str">
        <f t="shared" si="0"/>
        <v>High</v>
      </c>
    </row>
    <row r="39" spans="1:10" x14ac:dyDescent="0.25">
      <c r="A39">
        <v>559</v>
      </c>
      <c r="B39">
        <v>33</v>
      </c>
      <c r="C39" t="s">
        <v>12</v>
      </c>
      <c r="D39" s="3">
        <v>121639</v>
      </c>
      <c r="E39">
        <v>17</v>
      </c>
      <c r="F39">
        <v>7</v>
      </c>
      <c r="G39">
        <v>28</v>
      </c>
      <c r="H39" t="s">
        <v>13</v>
      </c>
      <c r="I39">
        <v>422.14</v>
      </c>
      <c r="J39" t="str">
        <f t="shared" si="0"/>
        <v>Low</v>
      </c>
    </row>
    <row r="40" spans="1:10" x14ac:dyDescent="0.25">
      <c r="A40">
        <v>560</v>
      </c>
      <c r="B40">
        <v>63</v>
      </c>
      <c r="C40" t="s">
        <v>12</v>
      </c>
      <c r="D40" s="3">
        <v>82296</v>
      </c>
      <c r="E40">
        <v>61</v>
      </c>
      <c r="F40">
        <v>4</v>
      </c>
      <c r="G40">
        <v>43</v>
      </c>
      <c r="H40" t="s">
        <v>13</v>
      </c>
      <c r="I40">
        <v>390.89</v>
      </c>
      <c r="J40" t="str">
        <f t="shared" si="0"/>
        <v>Medium</v>
      </c>
    </row>
    <row r="41" spans="1:10" x14ac:dyDescent="0.25">
      <c r="A41">
        <v>583</v>
      </c>
      <c r="B41">
        <v>33</v>
      </c>
      <c r="C41" t="s">
        <v>12</v>
      </c>
      <c r="D41" s="3">
        <v>38240</v>
      </c>
      <c r="E41">
        <v>92</v>
      </c>
      <c r="F41">
        <v>3</v>
      </c>
      <c r="G41">
        <v>37</v>
      </c>
      <c r="H41" t="s">
        <v>13</v>
      </c>
      <c r="I41">
        <v>626.82000000000005</v>
      </c>
      <c r="J41" t="str">
        <f t="shared" si="0"/>
        <v>High</v>
      </c>
    </row>
    <row r="42" spans="1:10" x14ac:dyDescent="0.25">
      <c r="A42">
        <v>596</v>
      </c>
      <c r="B42">
        <v>46</v>
      </c>
      <c r="C42" t="s">
        <v>12</v>
      </c>
      <c r="D42" s="3">
        <v>73370</v>
      </c>
      <c r="E42">
        <v>2</v>
      </c>
      <c r="F42">
        <v>4</v>
      </c>
      <c r="G42">
        <v>29</v>
      </c>
      <c r="H42" t="s">
        <v>13</v>
      </c>
      <c r="I42">
        <v>486.5</v>
      </c>
      <c r="J42" t="str">
        <f t="shared" si="0"/>
        <v>Low</v>
      </c>
    </row>
    <row r="43" spans="1:10" x14ac:dyDescent="0.25">
      <c r="A43">
        <v>597</v>
      </c>
      <c r="B43">
        <v>50</v>
      </c>
      <c r="C43" t="s">
        <v>12</v>
      </c>
      <c r="D43" s="3">
        <v>132598</v>
      </c>
      <c r="E43">
        <v>57</v>
      </c>
      <c r="F43">
        <v>7</v>
      </c>
      <c r="G43">
        <v>21</v>
      </c>
      <c r="H43" t="s">
        <v>13</v>
      </c>
      <c r="I43">
        <v>930.91</v>
      </c>
      <c r="J43" t="str">
        <f t="shared" si="0"/>
        <v>Medium</v>
      </c>
    </row>
    <row r="44" spans="1:10" x14ac:dyDescent="0.25">
      <c r="A44">
        <v>604</v>
      </c>
      <c r="B44">
        <v>47</v>
      </c>
      <c r="C44" t="s">
        <v>12</v>
      </c>
      <c r="D44" s="3">
        <v>64592</v>
      </c>
      <c r="E44">
        <v>25</v>
      </c>
      <c r="F44">
        <v>4</v>
      </c>
      <c r="G44">
        <v>12</v>
      </c>
      <c r="H44" t="s">
        <v>13</v>
      </c>
      <c r="I44">
        <v>237.34</v>
      </c>
      <c r="J44" t="str">
        <f t="shared" si="0"/>
        <v>Low</v>
      </c>
    </row>
    <row r="45" spans="1:10" x14ac:dyDescent="0.25">
      <c r="A45">
        <v>606</v>
      </c>
      <c r="B45">
        <v>39</v>
      </c>
      <c r="C45" t="s">
        <v>12</v>
      </c>
      <c r="D45" s="3">
        <v>48641</v>
      </c>
      <c r="E45">
        <v>45</v>
      </c>
      <c r="F45">
        <v>3</v>
      </c>
      <c r="G45">
        <v>46</v>
      </c>
      <c r="H45" t="s">
        <v>13</v>
      </c>
      <c r="I45">
        <v>415.19</v>
      </c>
      <c r="J45" t="str">
        <f t="shared" si="0"/>
        <v>Medium</v>
      </c>
    </row>
    <row r="46" spans="1:10" x14ac:dyDescent="0.25">
      <c r="A46">
        <v>607</v>
      </c>
      <c r="B46">
        <v>30</v>
      </c>
      <c r="C46" t="s">
        <v>12</v>
      </c>
      <c r="D46" s="3">
        <v>102200</v>
      </c>
      <c r="E46">
        <v>88</v>
      </c>
      <c r="F46">
        <v>5</v>
      </c>
      <c r="G46">
        <v>47</v>
      </c>
      <c r="H46" t="s">
        <v>13</v>
      </c>
      <c r="I46">
        <v>131.84</v>
      </c>
      <c r="J46" t="str">
        <f t="shared" si="0"/>
        <v>High</v>
      </c>
    </row>
    <row r="47" spans="1:10" x14ac:dyDescent="0.25">
      <c r="A47">
        <v>625</v>
      </c>
      <c r="B47">
        <v>41</v>
      </c>
      <c r="C47" t="s">
        <v>12</v>
      </c>
      <c r="D47" s="3">
        <v>36763</v>
      </c>
      <c r="E47">
        <v>50</v>
      </c>
      <c r="F47">
        <v>5</v>
      </c>
      <c r="G47">
        <v>36</v>
      </c>
      <c r="H47" t="s">
        <v>13</v>
      </c>
      <c r="I47">
        <v>490.62</v>
      </c>
      <c r="J47" t="str">
        <f t="shared" si="0"/>
        <v>Medium</v>
      </c>
    </row>
    <row r="48" spans="1:10" x14ac:dyDescent="0.25">
      <c r="A48">
        <v>640</v>
      </c>
      <c r="B48">
        <v>57</v>
      </c>
      <c r="C48" t="s">
        <v>12</v>
      </c>
      <c r="D48" s="3">
        <v>97035</v>
      </c>
      <c r="E48">
        <v>28</v>
      </c>
      <c r="F48">
        <v>6</v>
      </c>
      <c r="G48">
        <v>42</v>
      </c>
      <c r="H48" t="s">
        <v>13</v>
      </c>
      <c r="I48">
        <v>741.41</v>
      </c>
      <c r="J48" t="str">
        <f t="shared" si="0"/>
        <v>Low</v>
      </c>
    </row>
    <row r="49" spans="1:10" x14ac:dyDescent="0.25">
      <c r="A49">
        <v>653</v>
      </c>
      <c r="B49">
        <v>41</v>
      </c>
      <c r="C49" t="s">
        <v>12</v>
      </c>
      <c r="D49" s="3">
        <v>140959</v>
      </c>
      <c r="E49">
        <v>35</v>
      </c>
      <c r="F49">
        <v>7</v>
      </c>
      <c r="G49">
        <v>14</v>
      </c>
      <c r="H49" t="s">
        <v>13</v>
      </c>
      <c r="I49">
        <v>232.42</v>
      </c>
      <c r="J49" t="str">
        <f t="shared" si="0"/>
        <v>Medium</v>
      </c>
    </row>
    <row r="50" spans="1:10" x14ac:dyDescent="0.25">
      <c r="A50">
        <v>665</v>
      </c>
      <c r="B50">
        <v>37</v>
      </c>
      <c r="C50" t="s">
        <v>12</v>
      </c>
      <c r="D50" s="3">
        <v>105623</v>
      </c>
      <c r="E50">
        <v>26</v>
      </c>
      <c r="F50">
        <v>5</v>
      </c>
      <c r="G50">
        <v>47</v>
      </c>
      <c r="H50" t="s">
        <v>13</v>
      </c>
      <c r="I50">
        <v>94.79</v>
      </c>
      <c r="J50" t="str">
        <f t="shared" si="0"/>
        <v>Low</v>
      </c>
    </row>
    <row r="51" spans="1:10" x14ac:dyDescent="0.25">
      <c r="A51">
        <v>671</v>
      </c>
      <c r="B51">
        <v>34</v>
      </c>
      <c r="C51" t="s">
        <v>12</v>
      </c>
      <c r="D51" s="3">
        <v>54274</v>
      </c>
      <c r="E51">
        <v>27</v>
      </c>
      <c r="F51">
        <v>2</v>
      </c>
      <c r="G51">
        <v>17</v>
      </c>
      <c r="H51" t="s">
        <v>13</v>
      </c>
      <c r="I51">
        <v>954.46</v>
      </c>
      <c r="J51" t="str">
        <f t="shared" si="0"/>
        <v>Low</v>
      </c>
    </row>
    <row r="52" spans="1:10" x14ac:dyDescent="0.25">
      <c r="A52">
        <v>672</v>
      </c>
      <c r="B52">
        <v>30</v>
      </c>
      <c r="C52" t="s">
        <v>12</v>
      </c>
      <c r="D52" s="3">
        <v>94803</v>
      </c>
      <c r="E52">
        <v>76</v>
      </c>
      <c r="F52">
        <v>6</v>
      </c>
      <c r="G52">
        <v>33</v>
      </c>
      <c r="H52" t="s">
        <v>13</v>
      </c>
      <c r="I52">
        <v>596.98</v>
      </c>
      <c r="J52" t="str">
        <f t="shared" si="0"/>
        <v>High</v>
      </c>
    </row>
    <row r="53" spans="1:10" x14ac:dyDescent="0.25">
      <c r="A53">
        <v>685</v>
      </c>
      <c r="B53">
        <v>37</v>
      </c>
      <c r="C53" t="s">
        <v>12</v>
      </c>
      <c r="D53" s="3">
        <v>104041</v>
      </c>
      <c r="E53">
        <v>64</v>
      </c>
      <c r="F53">
        <v>9</v>
      </c>
      <c r="G53">
        <v>49</v>
      </c>
      <c r="H53" t="s">
        <v>13</v>
      </c>
      <c r="I53">
        <v>117.52</v>
      </c>
      <c r="J53" t="str">
        <f t="shared" si="0"/>
        <v>Medium</v>
      </c>
    </row>
    <row r="54" spans="1:10" x14ac:dyDescent="0.25">
      <c r="A54">
        <v>687</v>
      </c>
      <c r="B54">
        <v>59</v>
      </c>
      <c r="C54" t="s">
        <v>12</v>
      </c>
      <c r="D54" s="3">
        <v>65196</v>
      </c>
      <c r="E54">
        <v>22</v>
      </c>
      <c r="F54">
        <v>2</v>
      </c>
      <c r="G54">
        <v>36</v>
      </c>
      <c r="H54" t="s">
        <v>13</v>
      </c>
      <c r="I54">
        <v>625.33000000000004</v>
      </c>
      <c r="J54" t="str">
        <f t="shared" si="0"/>
        <v>Low</v>
      </c>
    </row>
    <row r="55" spans="1:10" x14ac:dyDescent="0.25">
      <c r="A55">
        <v>712</v>
      </c>
      <c r="B55">
        <v>18</v>
      </c>
      <c r="C55" t="s">
        <v>12</v>
      </c>
      <c r="D55" s="3">
        <v>141318</v>
      </c>
      <c r="E55">
        <v>37</v>
      </c>
      <c r="F55">
        <v>6</v>
      </c>
      <c r="G55">
        <v>28</v>
      </c>
      <c r="H55" t="s">
        <v>13</v>
      </c>
      <c r="I55">
        <v>428.33</v>
      </c>
      <c r="J55" t="str">
        <f t="shared" si="0"/>
        <v>Medium</v>
      </c>
    </row>
    <row r="56" spans="1:10" x14ac:dyDescent="0.25">
      <c r="A56">
        <v>722</v>
      </c>
      <c r="B56">
        <v>45</v>
      </c>
      <c r="C56" t="s">
        <v>12</v>
      </c>
      <c r="D56" s="3">
        <v>127989</v>
      </c>
      <c r="E56">
        <v>99</v>
      </c>
      <c r="F56">
        <v>1</v>
      </c>
      <c r="G56">
        <v>42</v>
      </c>
      <c r="H56" t="s">
        <v>13</v>
      </c>
      <c r="I56">
        <v>683.99</v>
      </c>
      <c r="J56" t="str">
        <f t="shared" si="0"/>
        <v>High</v>
      </c>
    </row>
    <row r="57" spans="1:10" x14ac:dyDescent="0.25">
      <c r="A57">
        <v>730</v>
      </c>
      <c r="B57">
        <v>19</v>
      </c>
      <c r="C57" t="s">
        <v>12</v>
      </c>
      <c r="D57" s="3">
        <v>85349</v>
      </c>
      <c r="E57">
        <v>77</v>
      </c>
      <c r="F57">
        <v>8</v>
      </c>
      <c r="G57">
        <v>29</v>
      </c>
      <c r="H57" t="s">
        <v>13</v>
      </c>
      <c r="I57">
        <v>381.04</v>
      </c>
      <c r="J57" t="str">
        <f t="shared" si="0"/>
        <v>High</v>
      </c>
    </row>
    <row r="58" spans="1:10" x14ac:dyDescent="0.25">
      <c r="A58">
        <v>749</v>
      </c>
      <c r="B58">
        <v>22</v>
      </c>
      <c r="C58" t="s">
        <v>12</v>
      </c>
      <c r="D58" s="3">
        <v>73023</v>
      </c>
      <c r="E58">
        <v>30</v>
      </c>
      <c r="F58">
        <v>1</v>
      </c>
      <c r="G58">
        <v>19</v>
      </c>
      <c r="H58" t="s">
        <v>13</v>
      </c>
      <c r="I58">
        <v>661.7</v>
      </c>
      <c r="J58" t="str">
        <f t="shared" si="0"/>
        <v>Low</v>
      </c>
    </row>
    <row r="59" spans="1:10" x14ac:dyDescent="0.25">
      <c r="A59">
        <v>752</v>
      </c>
      <c r="B59">
        <v>31</v>
      </c>
      <c r="C59" t="s">
        <v>12</v>
      </c>
      <c r="D59" s="3">
        <v>85928</v>
      </c>
      <c r="E59">
        <v>10</v>
      </c>
      <c r="F59">
        <v>2</v>
      </c>
      <c r="G59">
        <v>40</v>
      </c>
      <c r="H59" t="s">
        <v>13</v>
      </c>
      <c r="I59">
        <v>34.1</v>
      </c>
      <c r="J59" t="str">
        <f t="shared" si="0"/>
        <v>Low</v>
      </c>
    </row>
    <row r="60" spans="1:10" x14ac:dyDescent="0.25">
      <c r="A60">
        <v>758</v>
      </c>
      <c r="B60">
        <v>35</v>
      </c>
      <c r="C60" t="s">
        <v>12</v>
      </c>
      <c r="D60" s="3">
        <v>94896</v>
      </c>
      <c r="E60">
        <v>36</v>
      </c>
      <c r="F60">
        <v>6</v>
      </c>
      <c r="G60">
        <v>4</v>
      </c>
      <c r="H60" t="s">
        <v>13</v>
      </c>
      <c r="I60">
        <v>102.23</v>
      </c>
      <c r="J60" t="str">
        <f t="shared" si="0"/>
        <v>Medium</v>
      </c>
    </row>
    <row r="61" spans="1:10" x14ac:dyDescent="0.25">
      <c r="A61">
        <v>761</v>
      </c>
      <c r="B61">
        <v>47</v>
      </c>
      <c r="C61" t="s">
        <v>12</v>
      </c>
      <c r="D61" s="3">
        <v>112510</v>
      </c>
      <c r="E61">
        <v>1</v>
      </c>
      <c r="F61">
        <v>2</v>
      </c>
      <c r="G61">
        <v>10</v>
      </c>
      <c r="H61" t="s">
        <v>13</v>
      </c>
      <c r="I61">
        <v>618.20000000000005</v>
      </c>
      <c r="J61" t="str">
        <f t="shared" si="0"/>
        <v>Low</v>
      </c>
    </row>
    <row r="62" spans="1:10" x14ac:dyDescent="0.25">
      <c r="A62">
        <v>763</v>
      </c>
      <c r="B62">
        <v>63</v>
      </c>
      <c r="C62" t="s">
        <v>12</v>
      </c>
      <c r="D62" s="3">
        <v>115204</v>
      </c>
      <c r="E62">
        <v>12</v>
      </c>
      <c r="F62">
        <v>2</v>
      </c>
      <c r="G62">
        <v>19</v>
      </c>
      <c r="H62" t="s">
        <v>13</v>
      </c>
      <c r="I62">
        <v>910.59</v>
      </c>
      <c r="J62" t="str">
        <f t="shared" si="0"/>
        <v>Low</v>
      </c>
    </row>
    <row r="63" spans="1:10" x14ac:dyDescent="0.25">
      <c r="A63">
        <v>774</v>
      </c>
      <c r="B63">
        <v>52</v>
      </c>
      <c r="C63" t="s">
        <v>12</v>
      </c>
      <c r="D63" s="3">
        <v>52167</v>
      </c>
      <c r="E63">
        <v>19</v>
      </c>
      <c r="F63">
        <v>5</v>
      </c>
      <c r="G63">
        <v>50</v>
      </c>
      <c r="H63" t="s">
        <v>13</v>
      </c>
      <c r="I63">
        <v>961.55</v>
      </c>
      <c r="J63" t="str">
        <f t="shared" si="0"/>
        <v>Low</v>
      </c>
    </row>
    <row r="64" spans="1:10" x14ac:dyDescent="0.25">
      <c r="A64">
        <v>781</v>
      </c>
      <c r="B64">
        <v>53</v>
      </c>
      <c r="C64" t="s">
        <v>12</v>
      </c>
      <c r="D64" s="3">
        <v>147355</v>
      </c>
      <c r="E64">
        <v>10</v>
      </c>
      <c r="F64">
        <v>2</v>
      </c>
      <c r="G64">
        <v>38</v>
      </c>
      <c r="H64" t="s">
        <v>13</v>
      </c>
      <c r="I64">
        <v>866.3</v>
      </c>
      <c r="J64" t="str">
        <f t="shared" si="0"/>
        <v>Low</v>
      </c>
    </row>
    <row r="65" spans="1:10" x14ac:dyDescent="0.25">
      <c r="A65">
        <v>788</v>
      </c>
      <c r="B65">
        <v>33</v>
      </c>
      <c r="C65" t="s">
        <v>12</v>
      </c>
      <c r="D65" s="3">
        <v>38558</v>
      </c>
      <c r="E65">
        <v>71</v>
      </c>
      <c r="F65">
        <v>8</v>
      </c>
      <c r="G65">
        <v>22</v>
      </c>
      <c r="H65" t="s">
        <v>13</v>
      </c>
      <c r="I65">
        <v>223.73</v>
      </c>
      <c r="J65" t="str">
        <f t="shared" si="0"/>
        <v>High</v>
      </c>
    </row>
    <row r="66" spans="1:10" x14ac:dyDescent="0.25">
      <c r="A66">
        <v>796</v>
      </c>
      <c r="B66">
        <v>47</v>
      </c>
      <c r="C66" t="s">
        <v>12</v>
      </c>
      <c r="D66" s="3">
        <v>92114</v>
      </c>
      <c r="E66">
        <v>17</v>
      </c>
      <c r="F66">
        <v>7</v>
      </c>
      <c r="G66">
        <v>8</v>
      </c>
      <c r="H66" t="s">
        <v>13</v>
      </c>
      <c r="I66">
        <v>997.15</v>
      </c>
      <c r="J66" t="str">
        <f t="shared" ref="J66:J129" si="1">IF(E66&lt;33,"Low",IF(E66&lt;66,"Medium","High"))</f>
        <v>Low</v>
      </c>
    </row>
    <row r="67" spans="1:10" x14ac:dyDescent="0.25">
      <c r="A67">
        <v>797</v>
      </c>
      <c r="B67">
        <v>47</v>
      </c>
      <c r="C67" t="s">
        <v>12</v>
      </c>
      <c r="D67" s="3">
        <v>86651</v>
      </c>
      <c r="E67">
        <v>54</v>
      </c>
      <c r="F67">
        <v>3</v>
      </c>
      <c r="G67">
        <v>49</v>
      </c>
      <c r="H67" t="s">
        <v>13</v>
      </c>
      <c r="I67">
        <v>678.41</v>
      </c>
      <c r="J67" t="str">
        <f t="shared" si="1"/>
        <v>Medium</v>
      </c>
    </row>
    <row r="68" spans="1:10" x14ac:dyDescent="0.25">
      <c r="A68">
        <v>818</v>
      </c>
      <c r="B68">
        <v>69</v>
      </c>
      <c r="C68" t="s">
        <v>12</v>
      </c>
      <c r="D68" s="3">
        <v>129445</v>
      </c>
      <c r="E68">
        <v>32</v>
      </c>
      <c r="F68">
        <v>3</v>
      </c>
      <c r="G68">
        <v>6</v>
      </c>
      <c r="H68" t="s">
        <v>13</v>
      </c>
      <c r="I68">
        <v>42.19</v>
      </c>
      <c r="J68" t="str">
        <f t="shared" si="1"/>
        <v>Low</v>
      </c>
    </row>
    <row r="69" spans="1:10" x14ac:dyDescent="0.25">
      <c r="A69">
        <v>829</v>
      </c>
      <c r="B69">
        <v>37</v>
      </c>
      <c r="C69" t="s">
        <v>12</v>
      </c>
      <c r="D69" s="3">
        <v>112949</v>
      </c>
      <c r="E69">
        <v>33</v>
      </c>
      <c r="F69">
        <v>8</v>
      </c>
      <c r="G69">
        <v>40</v>
      </c>
      <c r="H69" t="s">
        <v>13</v>
      </c>
      <c r="I69">
        <v>424.07</v>
      </c>
      <c r="J69" t="str">
        <f t="shared" si="1"/>
        <v>Medium</v>
      </c>
    </row>
    <row r="70" spans="1:10" x14ac:dyDescent="0.25">
      <c r="A70">
        <v>830</v>
      </c>
      <c r="B70">
        <v>28</v>
      </c>
      <c r="C70" t="s">
        <v>12</v>
      </c>
      <c r="D70" s="3">
        <v>136418</v>
      </c>
      <c r="E70">
        <v>17</v>
      </c>
      <c r="F70">
        <v>5</v>
      </c>
      <c r="G70">
        <v>17</v>
      </c>
      <c r="H70" t="s">
        <v>13</v>
      </c>
      <c r="I70">
        <v>765.53</v>
      </c>
      <c r="J70" t="str">
        <f t="shared" si="1"/>
        <v>Low</v>
      </c>
    </row>
    <row r="71" spans="1:10" x14ac:dyDescent="0.25">
      <c r="A71">
        <v>844</v>
      </c>
      <c r="B71">
        <v>43</v>
      </c>
      <c r="C71" t="s">
        <v>12</v>
      </c>
      <c r="D71" s="3">
        <v>140638</v>
      </c>
      <c r="E71">
        <v>62</v>
      </c>
      <c r="F71">
        <v>10</v>
      </c>
      <c r="G71">
        <v>18</v>
      </c>
      <c r="H71" t="s">
        <v>13</v>
      </c>
      <c r="I71">
        <v>78.52</v>
      </c>
      <c r="J71" t="str">
        <f t="shared" si="1"/>
        <v>Medium</v>
      </c>
    </row>
    <row r="72" spans="1:10" x14ac:dyDescent="0.25">
      <c r="A72">
        <v>895</v>
      </c>
      <c r="B72">
        <v>27</v>
      </c>
      <c r="C72" t="s">
        <v>12</v>
      </c>
      <c r="D72" s="3">
        <v>128640</v>
      </c>
      <c r="E72">
        <v>3</v>
      </c>
      <c r="F72">
        <v>5</v>
      </c>
      <c r="G72">
        <v>2</v>
      </c>
      <c r="H72" t="s">
        <v>13</v>
      </c>
      <c r="I72">
        <v>140.52000000000001</v>
      </c>
      <c r="J72" t="str">
        <f t="shared" si="1"/>
        <v>Low</v>
      </c>
    </row>
    <row r="73" spans="1:10" x14ac:dyDescent="0.25">
      <c r="A73">
        <v>921</v>
      </c>
      <c r="B73">
        <v>66</v>
      </c>
      <c r="C73" t="s">
        <v>12</v>
      </c>
      <c r="D73" s="3">
        <v>122436</v>
      </c>
      <c r="E73">
        <v>73</v>
      </c>
      <c r="F73">
        <v>7</v>
      </c>
      <c r="G73">
        <v>47</v>
      </c>
      <c r="H73" t="s">
        <v>13</v>
      </c>
      <c r="I73">
        <v>666.62</v>
      </c>
      <c r="J73" t="str">
        <f t="shared" si="1"/>
        <v>High</v>
      </c>
    </row>
    <row r="74" spans="1:10" x14ac:dyDescent="0.25">
      <c r="A74">
        <v>931</v>
      </c>
      <c r="B74">
        <v>59</v>
      </c>
      <c r="C74" t="s">
        <v>12</v>
      </c>
      <c r="D74" s="3">
        <v>48329</v>
      </c>
      <c r="E74">
        <v>6</v>
      </c>
      <c r="F74">
        <v>8</v>
      </c>
      <c r="G74">
        <v>26</v>
      </c>
      <c r="H74" t="s">
        <v>13</v>
      </c>
      <c r="I74">
        <v>36.76</v>
      </c>
      <c r="J74" t="str">
        <f t="shared" si="1"/>
        <v>Low</v>
      </c>
    </row>
    <row r="75" spans="1:10" x14ac:dyDescent="0.25">
      <c r="A75">
        <v>936</v>
      </c>
      <c r="B75">
        <v>51</v>
      </c>
      <c r="C75" t="s">
        <v>12</v>
      </c>
      <c r="D75" s="3">
        <v>148784</v>
      </c>
      <c r="E75">
        <v>17</v>
      </c>
      <c r="F75">
        <v>1</v>
      </c>
      <c r="G75">
        <v>50</v>
      </c>
      <c r="H75" t="s">
        <v>13</v>
      </c>
      <c r="I75">
        <v>302.81</v>
      </c>
      <c r="J75" t="str">
        <f t="shared" si="1"/>
        <v>Low</v>
      </c>
    </row>
    <row r="76" spans="1:10" x14ac:dyDescent="0.25">
      <c r="A76">
        <v>939</v>
      </c>
      <c r="B76">
        <v>37</v>
      </c>
      <c r="C76" t="s">
        <v>12</v>
      </c>
      <c r="D76" s="3">
        <v>70213</v>
      </c>
      <c r="E76">
        <v>84</v>
      </c>
      <c r="F76">
        <v>3</v>
      </c>
      <c r="G76">
        <v>37</v>
      </c>
      <c r="H76" t="s">
        <v>13</v>
      </c>
      <c r="I76">
        <v>785.53</v>
      </c>
      <c r="J76" t="str">
        <f t="shared" si="1"/>
        <v>High</v>
      </c>
    </row>
    <row r="77" spans="1:10" x14ac:dyDescent="0.25">
      <c r="A77">
        <v>981</v>
      </c>
      <c r="B77">
        <v>30</v>
      </c>
      <c r="C77" t="s">
        <v>12</v>
      </c>
      <c r="D77" s="3">
        <v>117373</v>
      </c>
      <c r="E77">
        <v>32</v>
      </c>
      <c r="F77">
        <v>1</v>
      </c>
      <c r="G77">
        <v>49</v>
      </c>
      <c r="H77" t="s">
        <v>13</v>
      </c>
      <c r="I77">
        <v>129.35</v>
      </c>
      <c r="J77" t="str">
        <f t="shared" si="1"/>
        <v>Low</v>
      </c>
    </row>
    <row r="78" spans="1:10" x14ac:dyDescent="0.25">
      <c r="A78">
        <v>989</v>
      </c>
      <c r="B78">
        <v>26</v>
      </c>
      <c r="C78" t="s">
        <v>12</v>
      </c>
      <c r="D78" s="3">
        <v>45147</v>
      </c>
      <c r="E78">
        <v>93</v>
      </c>
      <c r="F78">
        <v>1</v>
      </c>
      <c r="G78">
        <v>32</v>
      </c>
      <c r="H78" t="s">
        <v>13</v>
      </c>
      <c r="I78">
        <v>750.58</v>
      </c>
      <c r="J78" t="str">
        <f t="shared" si="1"/>
        <v>High</v>
      </c>
    </row>
    <row r="79" spans="1:10" x14ac:dyDescent="0.25">
      <c r="A79">
        <v>30</v>
      </c>
      <c r="B79">
        <v>23</v>
      </c>
      <c r="C79" t="s">
        <v>12</v>
      </c>
      <c r="D79" s="3">
        <v>104106</v>
      </c>
      <c r="E79">
        <v>30</v>
      </c>
      <c r="F79">
        <v>4</v>
      </c>
      <c r="G79">
        <v>20</v>
      </c>
      <c r="H79" t="s">
        <v>14</v>
      </c>
      <c r="I79">
        <v>950.56</v>
      </c>
      <c r="J79" t="str">
        <f t="shared" si="1"/>
        <v>Low</v>
      </c>
    </row>
    <row r="80" spans="1:10" x14ac:dyDescent="0.25">
      <c r="A80">
        <v>33</v>
      </c>
      <c r="B80">
        <v>29</v>
      </c>
      <c r="C80" t="s">
        <v>12</v>
      </c>
      <c r="D80" s="3">
        <v>71951</v>
      </c>
      <c r="E80">
        <v>2</v>
      </c>
      <c r="F80">
        <v>6</v>
      </c>
      <c r="G80">
        <v>47</v>
      </c>
      <c r="H80" t="s">
        <v>14</v>
      </c>
      <c r="I80">
        <v>91.94</v>
      </c>
      <c r="J80" t="str">
        <f t="shared" si="1"/>
        <v>Low</v>
      </c>
    </row>
    <row r="81" spans="1:10" x14ac:dyDescent="0.25">
      <c r="A81">
        <v>37</v>
      </c>
      <c r="B81">
        <v>47</v>
      </c>
      <c r="C81" t="s">
        <v>12</v>
      </c>
      <c r="D81" s="3">
        <v>108074</v>
      </c>
      <c r="E81">
        <v>78</v>
      </c>
      <c r="F81">
        <v>4</v>
      </c>
      <c r="G81">
        <v>38</v>
      </c>
      <c r="H81" t="s">
        <v>14</v>
      </c>
      <c r="I81">
        <v>128.19999999999999</v>
      </c>
      <c r="J81" t="str">
        <f t="shared" si="1"/>
        <v>High</v>
      </c>
    </row>
    <row r="82" spans="1:10" x14ac:dyDescent="0.25">
      <c r="A82">
        <v>47</v>
      </c>
      <c r="B82">
        <v>56</v>
      </c>
      <c r="C82" t="s">
        <v>12</v>
      </c>
      <c r="D82" s="3">
        <v>129005</v>
      </c>
      <c r="E82">
        <v>40</v>
      </c>
      <c r="F82">
        <v>6</v>
      </c>
      <c r="G82">
        <v>8</v>
      </c>
      <c r="H82" t="s">
        <v>14</v>
      </c>
      <c r="I82">
        <v>355.34</v>
      </c>
      <c r="J82" t="str">
        <f t="shared" si="1"/>
        <v>Medium</v>
      </c>
    </row>
    <row r="83" spans="1:10" x14ac:dyDescent="0.25">
      <c r="A83">
        <v>48</v>
      </c>
      <c r="B83">
        <v>48</v>
      </c>
      <c r="C83" t="s">
        <v>12</v>
      </c>
      <c r="D83" s="3">
        <v>76317</v>
      </c>
      <c r="E83">
        <v>94</v>
      </c>
      <c r="F83">
        <v>9</v>
      </c>
      <c r="G83">
        <v>3</v>
      </c>
      <c r="H83" t="s">
        <v>14</v>
      </c>
      <c r="I83">
        <v>189.28</v>
      </c>
      <c r="J83" t="str">
        <f t="shared" si="1"/>
        <v>High</v>
      </c>
    </row>
    <row r="84" spans="1:10" x14ac:dyDescent="0.25">
      <c r="A84">
        <v>69</v>
      </c>
      <c r="B84">
        <v>32</v>
      </c>
      <c r="C84" t="s">
        <v>12</v>
      </c>
      <c r="D84" s="3">
        <v>135861</v>
      </c>
      <c r="E84">
        <v>88</v>
      </c>
      <c r="F84">
        <v>5</v>
      </c>
      <c r="G84">
        <v>16</v>
      </c>
      <c r="H84" t="s">
        <v>14</v>
      </c>
      <c r="I84">
        <v>103.33</v>
      </c>
      <c r="J84" t="str">
        <f t="shared" si="1"/>
        <v>High</v>
      </c>
    </row>
    <row r="85" spans="1:10" x14ac:dyDescent="0.25">
      <c r="A85">
        <v>84</v>
      </c>
      <c r="B85">
        <v>56</v>
      </c>
      <c r="C85" t="s">
        <v>12</v>
      </c>
      <c r="D85" s="3">
        <v>58971</v>
      </c>
      <c r="E85">
        <v>77</v>
      </c>
      <c r="F85">
        <v>9</v>
      </c>
      <c r="G85">
        <v>35</v>
      </c>
      <c r="H85" t="s">
        <v>14</v>
      </c>
      <c r="I85">
        <v>13.16</v>
      </c>
      <c r="J85" t="str">
        <f t="shared" si="1"/>
        <v>High</v>
      </c>
    </row>
    <row r="86" spans="1:10" x14ac:dyDescent="0.25">
      <c r="A86">
        <v>93</v>
      </c>
      <c r="B86">
        <v>65</v>
      </c>
      <c r="C86" t="s">
        <v>12</v>
      </c>
      <c r="D86" s="3">
        <v>62792</v>
      </c>
      <c r="E86">
        <v>83</v>
      </c>
      <c r="F86">
        <v>8</v>
      </c>
      <c r="G86">
        <v>11</v>
      </c>
      <c r="H86" t="s">
        <v>14</v>
      </c>
      <c r="I86">
        <v>230.58</v>
      </c>
      <c r="J86" t="str">
        <f t="shared" si="1"/>
        <v>High</v>
      </c>
    </row>
    <row r="87" spans="1:10" x14ac:dyDescent="0.25">
      <c r="A87">
        <v>115</v>
      </c>
      <c r="B87">
        <v>64</v>
      </c>
      <c r="C87" t="s">
        <v>12</v>
      </c>
      <c r="D87" s="3">
        <v>87595</v>
      </c>
      <c r="E87">
        <v>11</v>
      </c>
      <c r="F87">
        <v>5</v>
      </c>
      <c r="G87">
        <v>21</v>
      </c>
      <c r="H87" t="s">
        <v>14</v>
      </c>
      <c r="I87">
        <v>69.78</v>
      </c>
      <c r="J87" t="str">
        <f t="shared" si="1"/>
        <v>Low</v>
      </c>
    </row>
    <row r="88" spans="1:10" x14ac:dyDescent="0.25">
      <c r="A88">
        <v>117</v>
      </c>
      <c r="B88">
        <v>62</v>
      </c>
      <c r="C88" t="s">
        <v>12</v>
      </c>
      <c r="D88" s="3">
        <v>128322</v>
      </c>
      <c r="E88">
        <v>44</v>
      </c>
      <c r="F88">
        <v>4</v>
      </c>
      <c r="G88">
        <v>31</v>
      </c>
      <c r="H88" t="s">
        <v>14</v>
      </c>
      <c r="I88">
        <v>668.91</v>
      </c>
      <c r="J88" t="str">
        <f t="shared" si="1"/>
        <v>Medium</v>
      </c>
    </row>
    <row r="89" spans="1:10" x14ac:dyDescent="0.25">
      <c r="A89">
        <v>122</v>
      </c>
      <c r="B89">
        <v>43</v>
      </c>
      <c r="C89" t="s">
        <v>12</v>
      </c>
      <c r="D89" s="3">
        <v>42855</v>
      </c>
      <c r="E89">
        <v>66</v>
      </c>
      <c r="F89">
        <v>6</v>
      </c>
      <c r="G89">
        <v>23</v>
      </c>
      <c r="H89" t="s">
        <v>14</v>
      </c>
      <c r="I89">
        <v>138.51</v>
      </c>
      <c r="J89" t="str">
        <f t="shared" si="1"/>
        <v>High</v>
      </c>
    </row>
    <row r="90" spans="1:10" x14ac:dyDescent="0.25">
      <c r="A90">
        <v>147</v>
      </c>
      <c r="B90">
        <v>69</v>
      </c>
      <c r="C90" t="s">
        <v>12</v>
      </c>
      <c r="D90" s="3">
        <v>90929</v>
      </c>
      <c r="E90">
        <v>2</v>
      </c>
      <c r="F90">
        <v>10</v>
      </c>
      <c r="G90">
        <v>29</v>
      </c>
      <c r="H90" t="s">
        <v>14</v>
      </c>
      <c r="I90">
        <v>518.70000000000005</v>
      </c>
      <c r="J90" t="str">
        <f t="shared" si="1"/>
        <v>Low</v>
      </c>
    </row>
    <row r="91" spans="1:10" x14ac:dyDescent="0.25">
      <c r="A91">
        <v>182</v>
      </c>
      <c r="B91">
        <v>40</v>
      </c>
      <c r="C91" t="s">
        <v>12</v>
      </c>
      <c r="D91" s="3">
        <v>136323</v>
      </c>
      <c r="E91">
        <v>36</v>
      </c>
      <c r="F91">
        <v>6</v>
      </c>
      <c r="G91">
        <v>25</v>
      </c>
      <c r="H91" t="s">
        <v>14</v>
      </c>
      <c r="I91">
        <v>625.28</v>
      </c>
      <c r="J91" t="str">
        <f t="shared" si="1"/>
        <v>Medium</v>
      </c>
    </row>
    <row r="92" spans="1:10" x14ac:dyDescent="0.25">
      <c r="A92">
        <v>187</v>
      </c>
      <c r="B92">
        <v>35</v>
      </c>
      <c r="C92" t="s">
        <v>12</v>
      </c>
      <c r="D92" s="3">
        <v>137307</v>
      </c>
      <c r="E92">
        <v>32</v>
      </c>
      <c r="F92">
        <v>6</v>
      </c>
      <c r="G92">
        <v>24</v>
      </c>
      <c r="H92" t="s">
        <v>14</v>
      </c>
      <c r="I92">
        <v>111.27</v>
      </c>
      <c r="J92" t="str">
        <f t="shared" si="1"/>
        <v>Low</v>
      </c>
    </row>
    <row r="93" spans="1:10" x14ac:dyDescent="0.25">
      <c r="A93">
        <v>189</v>
      </c>
      <c r="B93">
        <v>45</v>
      </c>
      <c r="C93" t="s">
        <v>12</v>
      </c>
      <c r="D93" s="3">
        <v>108335</v>
      </c>
      <c r="E93">
        <v>62</v>
      </c>
      <c r="F93">
        <v>1</v>
      </c>
      <c r="G93">
        <v>35</v>
      </c>
      <c r="H93" t="s">
        <v>14</v>
      </c>
      <c r="I93">
        <v>940.93</v>
      </c>
      <c r="J93" t="str">
        <f t="shared" si="1"/>
        <v>Medium</v>
      </c>
    </row>
    <row r="94" spans="1:10" x14ac:dyDescent="0.25">
      <c r="A94">
        <v>191</v>
      </c>
      <c r="B94">
        <v>35</v>
      </c>
      <c r="C94" t="s">
        <v>12</v>
      </c>
      <c r="D94" s="3">
        <v>100208</v>
      </c>
      <c r="E94">
        <v>80</v>
      </c>
      <c r="F94">
        <v>2</v>
      </c>
      <c r="G94">
        <v>27</v>
      </c>
      <c r="H94" t="s">
        <v>14</v>
      </c>
      <c r="I94">
        <v>23.73</v>
      </c>
      <c r="J94" t="str">
        <f t="shared" si="1"/>
        <v>High</v>
      </c>
    </row>
    <row r="95" spans="1:10" x14ac:dyDescent="0.25">
      <c r="A95">
        <v>205</v>
      </c>
      <c r="B95">
        <v>27</v>
      </c>
      <c r="C95" t="s">
        <v>12</v>
      </c>
      <c r="D95" s="3">
        <v>132541</v>
      </c>
      <c r="E95">
        <v>78</v>
      </c>
      <c r="F95">
        <v>8</v>
      </c>
      <c r="G95">
        <v>42</v>
      </c>
      <c r="H95" t="s">
        <v>14</v>
      </c>
      <c r="I95">
        <v>825.01</v>
      </c>
      <c r="J95" t="str">
        <f t="shared" si="1"/>
        <v>High</v>
      </c>
    </row>
    <row r="96" spans="1:10" x14ac:dyDescent="0.25">
      <c r="A96">
        <v>206</v>
      </c>
      <c r="B96">
        <v>34</v>
      </c>
      <c r="C96" t="s">
        <v>12</v>
      </c>
      <c r="D96" s="3">
        <v>97962</v>
      </c>
      <c r="E96">
        <v>18</v>
      </c>
      <c r="F96">
        <v>3</v>
      </c>
      <c r="G96">
        <v>19</v>
      </c>
      <c r="H96" t="s">
        <v>14</v>
      </c>
      <c r="I96">
        <v>947.73</v>
      </c>
      <c r="J96" t="str">
        <f t="shared" si="1"/>
        <v>Low</v>
      </c>
    </row>
    <row r="97" spans="1:10" x14ac:dyDescent="0.25">
      <c r="A97">
        <v>220</v>
      </c>
      <c r="B97">
        <v>69</v>
      </c>
      <c r="C97" t="s">
        <v>12</v>
      </c>
      <c r="D97" s="3">
        <v>142216</v>
      </c>
      <c r="E97">
        <v>90</v>
      </c>
      <c r="F97">
        <v>7</v>
      </c>
      <c r="G97">
        <v>29</v>
      </c>
      <c r="H97" t="s">
        <v>14</v>
      </c>
      <c r="I97">
        <v>559.73</v>
      </c>
      <c r="J97" t="str">
        <f t="shared" si="1"/>
        <v>High</v>
      </c>
    </row>
    <row r="98" spans="1:10" x14ac:dyDescent="0.25">
      <c r="A98">
        <v>227</v>
      </c>
      <c r="B98">
        <v>65</v>
      </c>
      <c r="C98" t="s">
        <v>12</v>
      </c>
      <c r="D98" s="3">
        <v>89274</v>
      </c>
      <c r="E98">
        <v>71</v>
      </c>
      <c r="F98">
        <v>10</v>
      </c>
      <c r="G98">
        <v>34</v>
      </c>
      <c r="H98" t="s">
        <v>14</v>
      </c>
      <c r="I98">
        <v>840.45</v>
      </c>
      <c r="J98" t="str">
        <f t="shared" si="1"/>
        <v>High</v>
      </c>
    </row>
    <row r="99" spans="1:10" x14ac:dyDescent="0.25">
      <c r="A99">
        <v>230</v>
      </c>
      <c r="B99">
        <v>56</v>
      </c>
      <c r="C99" t="s">
        <v>12</v>
      </c>
      <c r="D99" s="3">
        <v>31154</v>
      </c>
      <c r="E99">
        <v>40</v>
      </c>
      <c r="F99">
        <v>4</v>
      </c>
      <c r="G99">
        <v>25</v>
      </c>
      <c r="H99" t="s">
        <v>14</v>
      </c>
      <c r="I99">
        <v>197.54</v>
      </c>
      <c r="J99" t="str">
        <f t="shared" si="1"/>
        <v>Medium</v>
      </c>
    </row>
    <row r="100" spans="1:10" x14ac:dyDescent="0.25">
      <c r="A100">
        <v>246</v>
      </c>
      <c r="B100">
        <v>44</v>
      </c>
      <c r="C100" t="s">
        <v>12</v>
      </c>
      <c r="D100" s="3">
        <v>83880</v>
      </c>
      <c r="E100">
        <v>31</v>
      </c>
      <c r="F100">
        <v>6</v>
      </c>
      <c r="G100">
        <v>32</v>
      </c>
      <c r="H100" t="s">
        <v>14</v>
      </c>
      <c r="I100">
        <v>464.42</v>
      </c>
      <c r="J100" t="str">
        <f t="shared" si="1"/>
        <v>Low</v>
      </c>
    </row>
    <row r="101" spans="1:10" x14ac:dyDescent="0.25">
      <c r="A101">
        <v>251</v>
      </c>
      <c r="B101">
        <v>43</v>
      </c>
      <c r="C101" t="s">
        <v>12</v>
      </c>
      <c r="D101" s="3">
        <v>89688</v>
      </c>
      <c r="E101">
        <v>27</v>
      </c>
      <c r="F101">
        <v>10</v>
      </c>
      <c r="G101">
        <v>30</v>
      </c>
      <c r="H101" t="s">
        <v>14</v>
      </c>
      <c r="I101">
        <v>223.64</v>
      </c>
      <c r="J101" t="str">
        <f t="shared" si="1"/>
        <v>Low</v>
      </c>
    </row>
    <row r="102" spans="1:10" x14ac:dyDescent="0.25">
      <c r="A102">
        <v>283</v>
      </c>
      <c r="B102">
        <v>33</v>
      </c>
      <c r="C102" t="s">
        <v>12</v>
      </c>
      <c r="D102" s="3">
        <v>113187</v>
      </c>
      <c r="E102">
        <v>27</v>
      </c>
      <c r="F102">
        <v>9</v>
      </c>
      <c r="G102">
        <v>46</v>
      </c>
      <c r="H102" t="s">
        <v>14</v>
      </c>
      <c r="I102">
        <v>886.3</v>
      </c>
      <c r="J102" t="str">
        <f t="shared" si="1"/>
        <v>Low</v>
      </c>
    </row>
    <row r="103" spans="1:10" x14ac:dyDescent="0.25">
      <c r="A103">
        <v>284</v>
      </c>
      <c r="B103">
        <v>43</v>
      </c>
      <c r="C103" t="s">
        <v>12</v>
      </c>
      <c r="D103" s="3">
        <v>77006</v>
      </c>
      <c r="E103">
        <v>27</v>
      </c>
      <c r="F103">
        <v>3</v>
      </c>
      <c r="G103">
        <v>36</v>
      </c>
      <c r="H103" t="s">
        <v>14</v>
      </c>
      <c r="I103">
        <v>223.98</v>
      </c>
      <c r="J103" t="str">
        <f t="shared" si="1"/>
        <v>Low</v>
      </c>
    </row>
    <row r="104" spans="1:10" x14ac:dyDescent="0.25">
      <c r="A104">
        <v>290</v>
      </c>
      <c r="B104">
        <v>43</v>
      </c>
      <c r="C104" t="s">
        <v>12</v>
      </c>
      <c r="D104" s="3">
        <v>64136</v>
      </c>
      <c r="E104">
        <v>61</v>
      </c>
      <c r="F104">
        <v>1</v>
      </c>
      <c r="G104">
        <v>19</v>
      </c>
      <c r="H104" t="s">
        <v>14</v>
      </c>
      <c r="I104">
        <v>680.92</v>
      </c>
      <c r="J104" t="str">
        <f t="shared" si="1"/>
        <v>Medium</v>
      </c>
    </row>
    <row r="105" spans="1:10" x14ac:dyDescent="0.25">
      <c r="A105">
        <v>311</v>
      </c>
      <c r="B105">
        <v>53</v>
      </c>
      <c r="C105" t="s">
        <v>12</v>
      </c>
      <c r="D105" s="3">
        <v>138922</v>
      </c>
      <c r="E105">
        <v>45</v>
      </c>
      <c r="F105">
        <v>5</v>
      </c>
      <c r="G105">
        <v>22</v>
      </c>
      <c r="H105" t="s">
        <v>14</v>
      </c>
      <c r="I105">
        <v>154.06</v>
      </c>
      <c r="J105" t="str">
        <f t="shared" si="1"/>
        <v>Medium</v>
      </c>
    </row>
    <row r="106" spans="1:10" x14ac:dyDescent="0.25">
      <c r="A106">
        <v>358</v>
      </c>
      <c r="B106">
        <v>57</v>
      </c>
      <c r="C106" t="s">
        <v>12</v>
      </c>
      <c r="D106" s="3">
        <v>137205</v>
      </c>
      <c r="E106">
        <v>18</v>
      </c>
      <c r="F106">
        <v>1</v>
      </c>
      <c r="G106">
        <v>21</v>
      </c>
      <c r="H106" t="s">
        <v>14</v>
      </c>
      <c r="I106">
        <v>862.12</v>
      </c>
      <c r="J106" t="str">
        <f t="shared" si="1"/>
        <v>Low</v>
      </c>
    </row>
    <row r="107" spans="1:10" x14ac:dyDescent="0.25">
      <c r="A107">
        <v>360</v>
      </c>
      <c r="B107">
        <v>38</v>
      </c>
      <c r="C107" t="s">
        <v>12</v>
      </c>
      <c r="D107" s="3">
        <v>40590</v>
      </c>
      <c r="E107">
        <v>91</v>
      </c>
      <c r="F107">
        <v>7</v>
      </c>
      <c r="G107">
        <v>27</v>
      </c>
      <c r="H107" t="s">
        <v>14</v>
      </c>
      <c r="I107">
        <v>617.64</v>
      </c>
      <c r="J107" t="str">
        <f t="shared" si="1"/>
        <v>High</v>
      </c>
    </row>
    <row r="108" spans="1:10" x14ac:dyDescent="0.25">
      <c r="A108">
        <v>390</v>
      </c>
      <c r="B108">
        <v>37</v>
      </c>
      <c r="C108" t="s">
        <v>12</v>
      </c>
      <c r="D108" s="3">
        <v>65343</v>
      </c>
      <c r="E108">
        <v>89</v>
      </c>
      <c r="F108">
        <v>3</v>
      </c>
      <c r="G108">
        <v>2</v>
      </c>
      <c r="H108" t="s">
        <v>14</v>
      </c>
      <c r="I108">
        <v>668.23</v>
      </c>
      <c r="J108" t="str">
        <f t="shared" si="1"/>
        <v>High</v>
      </c>
    </row>
    <row r="109" spans="1:10" x14ac:dyDescent="0.25">
      <c r="A109">
        <v>425</v>
      </c>
      <c r="B109">
        <v>41</v>
      </c>
      <c r="C109" t="s">
        <v>12</v>
      </c>
      <c r="D109" s="3">
        <v>67039</v>
      </c>
      <c r="E109">
        <v>100</v>
      </c>
      <c r="F109">
        <v>1</v>
      </c>
      <c r="G109">
        <v>36</v>
      </c>
      <c r="H109" t="s">
        <v>14</v>
      </c>
      <c r="I109">
        <v>178.68</v>
      </c>
      <c r="J109" t="str">
        <f t="shared" si="1"/>
        <v>High</v>
      </c>
    </row>
    <row r="110" spans="1:10" x14ac:dyDescent="0.25">
      <c r="A110">
        <v>429</v>
      </c>
      <c r="B110">
        <v>20</v>
      </c>
      <c r="C110" t="s">
        <v>12</v>
      </c>
      <c r="D110" s="3">
        <v>49308</v>
      </c>
      <c r="E110">
        <v>29</v>
      </c>
      <c r="F110">
        <v>6</v>
      </c>
      <c r="G110">
        <v>19</v>
      </c>
      <c r="H110" t="s">
        <v>14</v>
      </c>
      <c r="I110">
        <v>351.64</v>
      </c>
      <c r="J110" t="str">
        <f t="shared" si="1"/>
        <v>Low</v>
      </c>
    </row>
    <row r="111" spans="1:10" x14ac:dyDescent="0.25">
      <c r="A111">
        <v>434</v>
      </c>
      <c r="B111">
        <v>57</v>
      </c>
      <c r="C111" t="s">
        <v>12</v>
      </c>
      <c r="D111" s="3">
        <v>60668</v>
      </c>
      <c r="E111">
        <v>66</v>
      </c>
      <c r="F111">
        <v>6</v>
      </c>
      <c r="G111">
        <v>28</v>
      </c>
      <c r="H111" t="s">
        <v>14</v>
      </c>
      <c r="I111">
        <v>984.6</v>
      </c>
      <c r="J111" t="str">
        <f t="shared" si="1"/>
        <v>High</v>
      </c>
    </row>
    <row r="112" spans="1:10" x14ac:dyDescent="0.25">
      <c r="A112">
        <v>446</v>
      </c>
      <c r="B112">
        <v>53</v>
      </c>
      <c r="C112" t="s">
        <v>12</v>
      </c>
      <c r="D112" s="3">
        <v>56570</v>
      </c>
      <c r="E112">
        <v>29</v>
      </c>
      <c r="F112">
        <v>7</v>
      </c>
      <c r="G112">
        <v>37</v>
      </c>
      <c r="H112" t="s">
        <v>14</v>
      </c>
      <c r="I112">
        <v>432.65</v>
      </c>
      <c r="J112" t="str">
        <f t="shared" si="1"/>
        <v>Low</v>
      </c>
    </row>
    <row r="113" spans="1:10" x14ac:dyDescent="0.25">
      <c r="A113">
        <v>450</v>
      </c>
      <c r="B113">
        <v>48</v>
      </c>
      <c r="C113" t="s">
        <v>12</v>
      </c>
      <c r="D113" s="3">
        <v>60382</v>
      </c>
      <c r="E113">
        <v>13</v>
      </c>
      <c r="F113">
        <v>3</v>
      </c>
      <c r="G113">
        <v>27</v>
      </c>
      <c r="H113" t="s">
        <v>14</v>
      </c>
      <c r="I113">
        <v>694.59</v>
      </c>
      <c r="J113" t="str">
        <f t="shared" si="1"/>
        <v>Low</v>
      </c>
    </row>
    <row r="114" spans="1:10" x14ac:dyDescent="0.25">
      <c r="A114">
        <v>453</v>
      </c>
      <c r="B114">
        <v>30</v>
      </c>
      <c r="C114" t="s">
        <v>12</v>
      </c>
      <c r="D114" s="3">
        <v>35565</v>
      </c>
      <c r="E114">
        <v>83</v>
      </c>
      <c r="F114">
        <v>8</v>
      </c>
      <c r="G114">
        <v>17</v>
      </c>
      <c r="H114" t="s">
        <v>14</v>
      </c>
      <c r="I114">
        <v>238.79</v>
      </c>
      <c r="J114" t="str">
        <f t="shared" si="1"/>
        <v>High</v>
      </c>
    </row>
    <row r="115" spans="1:10" x14ac:dyDescent="0.25">
      <c r="A115">
        <v>503</v>
      </c>
      <c r="B115">
        <v>22</v>
      </c>
      <c r="C115" t="s">
        <v>12</v>
      </c>
      <c r="D115" s="3">
        <v>75626</v>
      </c>
      <c r="E115">
        <v>52</v>
      </c>
      <c r="F115">
        <v>7</v>
      </c>
      <c r="G115">
        <v>34</v>
      </c>
      <c r="H115" t="s">
        <v>14</v>
      </c>
      <c r="I115">
        <v>154.66999999999999</v>
      </c>
      <c r="J115" t="str">
        <f t="shared" si="1"/>
        <v>Medium</v>
      </c>
    </row>
    <row r="116" spans="1:10" x14ac:dyDescent="0.25">
      <c r="A116">
        <v>505</v>
      </c>
      <c r="B116">
        <v>22</v>
      </c>
      <c r="C116" t="s">
        <v>12</v>
      </c>
      <c r="D116" s="3">
        <v>53863</v>
      </c>
      <c r="E116">
        <v>96</v>
      </c>
      <c r="F116">
        <v>10</v>
      </c>
      <c r="G116">
        <v>41</v>
      </c>
      <c r="H116" t="s">
        <v>14</v>
      </c>
      <c r="I116">
        <v>491.64</v>
      </c>
      <c r="J116" t="str">
        <f t="shared" si="1"/>
        <v>High</v>
      </c>
    </row>
    <row r="117" spans="1:10" x14ac:dyDescent="0.25">
      <c r="A117">
        <v>520</v>
      </c>
      <c r="B117">
        <v>38</v>
      </c>
      <c r="C117" t="s">
        <v>12</v>
      </c>
      <c r="D117" s="3">
        <v>54918</v>
      </c>
      <c r="E117">
        <v>1</v>
      </c>
      <c r="F117">
        <v>6</v>
      </c>
      <c r="G117">
        <v>6</v>
      </c>
      <c r="H117" t="s">
        <v>14</v>
      </c>
      <c r="I117">
        <v>979.26</v>
      </c>
      <c r="J117" t="str">
        <f t="shared" si="1"/>
        <v>Low</v>
      </c>
    </row>
    <row r="118" spans="1:10" x14ac:dyDescent="0.25">
      <c r="A118">
        <v>539</v>
      </c>
      <c r="B118">
        <v>27</v>
      </c>
      <c r="C118" t="s">
        <v>12</v>
      </c>
      <c r="D118" s="3">
        <v>73823</v>
      </c>
      <c r="E118">
        <v>11</v>
      </c>
      <c r="F118">
        <v>8</v>
      </c>
      <c r="G118">
        <v>23</v>
      </c>
      <c r="H118" t="s">
        <v>14</v>
      </c>
      <c r="I118">
        <v>27.4</v>
      </c>
      <c r="J118" t="str">
        <f t="shared" si="1"/>
        <v>Low</v>
      </c>
    </row>
    <row r="119" spans="1:10" x14ac:dyDescent="0.25">
      <c r="A119">
        <v>551</v>
      </c>
      <c r="B119">
        <v>50</v>
      </c>
      <c r="C119" t="s">
        <v>12</v>
      </c>
      <c r="D119" s="3">
        <v>43965</v>
      </c>
      <c r="E119">
        <v>83</v>
      </c>
      <c r="F119">
        <v>3</v>
      </c>
      <c r="G119">
        <v>17</v>
      </c>
      <c r="H119" t="s">
        <v>14</v>
      </c>
      <c r="I119">
        <v>83.38</v>
      </c>
      <c r="J119" t="str">
        <f t="shared" si="1"/>
        <v>High</v>
      </c>
    </row>
    <row r="120" spans="1:10" x14ac:dyDescent="0.25">
      <c r="A120">
        <v>572</v>
      </c>
      <c r="B120">
        <v>19</v>
      </c>
      <c r="C120" t="s">
        <v>12</v>
      </c>
      <c r="D120" s="3">
        <v>134193</v>
      </c>
      <c r="E120">
        <v>95</v>
      </c>
      <c r="F120">
        <v>7</v>
      </c>
      <c r="G120">
        <v>44</v>
      </c>
      <c r="H120" t="s">
        <v>14</v>
      </c>
      <c r="I120">
        <v>97.65</v>
      </c>
      <c r="J120" t="str">
        <f t="shared" si="1"/>
        <v>High</v>
      </c>
    </row>
    <row r="121" spans="1:10" x14ac:dyDescent="0.25">
      <c r="A121">
        <v>578</v>
      </c>
      <c r="B121">
        <v>64</v>
      </c>
      <c r="C121" t="s">
        <v>12</v>
      </c>
      <c r="D121" s="3">
        <v>43175</v>
      </c>
      <c r="E121">
        <v>59</v>
      </c>
      <c r="F121">
        <v>10</v>
      </c>
      <c r="G121">
        <v>35</v>
      </c>
      <c r="H121" t="s">
        <v>14</v>
      </c>
      <c r="I121">
        <v>363.86</v>
      </c>
      <c r="J121" t="str">
        <f t="shared" si="1"/>
        <v>Medium</v>
      </c>
    </row>
    <row r="122" spans="1:10" x14ac:dyDescent="0.25">
      <c r="A122">
        <v>582</v>
      </c>
      <c r="B122">
        <v>19</v>
      </c>
      <c r="C122" t="s">
        <v>12</v>
      </c>
      <c r="D122" s="3">
        <v>135968</v>
      </c>
      <c r="E122">
        <v>50</v>
      </c>
      <c r="F122">
        <v>4</v>
      </c>
      <c r="G122">
        <v>49</v>
      </c>
      <c r="H122" t="s">
        <v>14</v>
      </c>
      <c r="I122">
        <v>174.43</v>
      </c>
      <c r="J122" t="str">
        <f t="shared" si="1"/>
        <v>Medium</v>
      </c>
    </row>
    <row r="123" spans="1:10" x14ac:dyDescent="0.25">
      <c r="A123">
        <v>591</v>
      </c>
      <c r="B123">
        <v>53</v>
      </c>
      <c r="C123" t="s">
        <v>12</v>
      </c>
      <c r="D123" s="3">
        <v>108263</v>
      </c>
      <c r="E123">
        <v>21</v>
      </c>
      <c r="F123">
        <v>1</v>
      </c>
      <c r="G123">
        <v>47</v>
      </c>
      <c r="H123" t="s">
        <v>14</v>
      </c>
      <c r="I123">
        <v>734.48</v>
      </c>
      <c r="J123" t="str">
        <f t="shared" si="1"/>
        <v>Low</v>
      </c>
    </row>
    <row r="124" spans="1:10" x14ac:dyDescent="0.25">
      <c r="A124">
        <v>602</v>
      </c>
      <c r="B124">
        <v>20</v>
      </c>
      <c r="C124" t="s">
        <v>12</v>
      </c>
      <c r="D124" s="3">
        <v>145924</v>
      </c>
      <c r="E124">
        <v>64</v>
      </c>
      <c r="F124">
        <v>5</v>
      </c>
      <c r="G124">
        <v>18</v>
      </c>
      <c r="H124" t="s">
        <v>14</v>
      </c>
      <c r="I124">
        <v>495.49</v>
      </c>
      <c r="J124" t="str">
        <f t="shared" si="1"/>
        <v>Medium</v>
      </c>
    </row>
    <row r="125" spans="1:10" x14ac:dyDescent="0.25">
      <c r="A125">
        <v>615</v>
      </c>
      <c r="B125">
        <v>69</v>
      </c>
      <c r="C125" t="s">
        <v>12</v>
      </c>
      <c r="D125" s="3">
        <v>141965</v>
      </c>
      <c r="E125">
        <v>98</v>
      </c>
      <c r="F125">
        <v>5</v>
      </c>
      <c r="G125">
        <v>35</v>
      </c>
      <c r="H125" t="s">
        <v>14</v>
      </c>
      <c r="I125">
        <v>616.66</v>
      </c>
      <c r="J125" t="str">
        <f t="shared" si="1"/>
        <v>High</v>
      </c>
    </row>
    <row r="126" spans="1:10" x14ac:dyDescent="0.25">
      <c r="A126">
        <v>621</v>
      </c>
      <c r="B126">
        <v>20</v>
      </c>
      <c r="C126" t="s">
        <v>12</v>
      </c>
      <c r="D126" s="3">
        <v>122028</v>
      </c>
      <c r="E126">
        <v>40</v>
      </c>
      <c r="F126">
        <v>3</v>
      </c>
      <c r="G126">
        <v>6</v>
      </c>
      <c r="H126" t="s">
        <v>14</v>
      </c>
      <c r="I126">
        <v>777.44</v>
      </c>
      <c r="J126" t="str">
        <f t="shared" si="1"/>
        <v>Medium</v>
      </c>
    </row>
    <row r="127" spans="1:10" x14ac:dyDescent="0.25">
      <c r="A127">
        <v>646</v>
      </c>
      <c r="B127">
        <v>62</v>
      </c>
      <c r="C127" t="s">
        <v>12</v>
      </c>
      <c r="D127" s="3">
        <v>113856</v>
      </c>
      <c r="E127">
        <v>78</v>
      </c>
      <c r="F127">
        <v>6</v>
      </c>
      <c r="G127">
        <v>50</v>
      </c>
      <c r="H127" t="s">
        <v>14</v>
      </c>
      <c r="I127">
        <v>720.47</v>
      </c>
      <c r="J127" t="str">
        <f t="shared" si="1"/>
        <v>High</v>
      </c>
    </row>
    <row r="128" spans="1:10" x14ac:dyDescent="0.25">
      <c r="A128">
        <v>657</v>
      </c>
      <c r="B128">
        <v>27</v>
      </c>
      <c r="C128" t="s">
        <v>12</v>
      </c>
      <c r="D128" s="3">
        <v>81110</v>
      </c>
      <c r="E128">
        <v>44</v>
      </c>
      <c r="F128">
        <v>6</v>
      </c>
      <c r="G128">
        <v>8</v>
      </c>
      <c r="H128" t="s">
        <v>14</v>
      </c>
      <c r="I128">
        <v>654.04999999999995</v>
      </c>
      <c r="J128" t="str">
        <f t="shared" si="1"/>
        <v>Medium</v>
      </c>
    </row>
    <row r="129" spans="1:10" x14ac:dyDescent="0.25">
      <c r="A129">
        <v>682</v>
      </c>
      <c r="B129">
        <v>61</v>
      </c>
      <c r="C129" t="s">
        <v>12</v>
      </c>
      <c r="D129" s="3">
        <v>136973</v>
      </c>
      <c r="E129">
        <v>27</v>
      </c>
      <c r="F129">
        <v>7</v>
      </c>
      <c r="G129">
        <v>2</v>
      </c>
      <c r="H129" t="s">
        <v>14</v>
      </c>
      <c r="I129">
        <v>269.2</v>
      </c>
      <c r="J129" t="str">
        <f t="shared" si="1"/>
        <v>Low</v>
      </c>
    </row>
    <row r="130" spans="1:10" x14ac:dyDescent="0.25">
      <c r="A130">
        <v>692</v>
      </c>
      <c r="B130">
        <v>23</v>
      </c>
      <c r="C130" t="s">
        <v>12</v>
      </c>
      <c r="D130" s="3">
        <v>57558</v>
      </c>
      <c r="E130">
        <v>28</v>
      </c>
      <c r="F130">
        <v>6</v>
      </c>
      <c r="G130">
        <v>23</v>
      </c>
      <c r="H130" t="s">
        <v>14</v>
      </c>
      <c r="I130">
        <v>800.78</v>
      </c>
      <c r="J130" t="str">
        <f t="shared" ref="J130:J193" si="2">IF(E130&lt;33,"Low",IF(E130&lt;66,"Medium","High"))</f>
        <v>Low</v>
      </c>
    </row>
    <row r="131" spans="1:10" x14ac:dyDescent="0.25">
      <c r="A131">
        <v>695</v>
      </c>
      <c r="B131">
        <v>45</v>
      </c>
      <c r="C131" t="s">
        <v>12</v>
      </c>
      <c r="D131" s="3">
        <v>53474</v>
      </c>
      <c r="E131">
        <v>79</v>
      </c>
      <c r="F131">
        <v>8</v>
      </c>
      <c r="G131">
        <v>21</v>
      </c>
      <c r="H131" t="s">
        <v>14</v>
      </c>
      <c r="I131">
        <v>40.32</v>
      </c>
      <c r="J131" t="str">
        <f t="shared" si="2"/>
        <v>High</v>
      </c>
    </row>
    <row r="132" spans="1:10" x14ac:dyDescent="0.25">
      <c r="A132">
        <v>700</v>
      </c>
      <c r="B132">
        <v>31</v>
      </c>
      <c r="C132" t="s">
        <v>12</v>
      </c>
      <c r="D132" s="3">
        <v>33604</v>
      </c>
      <c r="E132">
        <v>8</v>
      </c>
      <c r="F132">
        <v>5</v>
      </c>
      <c r="G132">
        <v>2</v>
      </c>
      <c r="H132" t="s">
        <v>14</v>
      </c>
      <c r="I132">
        <v>984.15</v>
      </c>
      <c r="J132" t="str">
        <f t="shared" si="2"/>
        <v>Low</v>
      </c>
    </row>
    <row r="133" spans="1:10" x14ac:dyDescent="0.25">
      <c r="A133">
        <v>733</v>
      </c>
      <c r="B133">
        <v>49</v>
      </c>
      <c r="C133" t="s">
        <v>12</v>
      </c>
      <c r="D133" s="3">
        <v>56707</v>
      </c>
      <c r="E133">
        <v>6</v>
      </c>
      <c r="F133">
        <v>8</v>
      </c>
      <c r="G133">
        <v>29</v>
      </c>
      <c r="H133" t="s">
        <v>14</v>
      </c>
      <c r="I133">
        <v>604.53</v>
      </c>
      <c r="J133" t="str">
        <f t="shared" si="2"/>
        <v>Low</v>
      </c>
    </row>
    <row r="134" spans="1:10" x14ac:dyDescent="0.25">
      <c r="A134">
        <v>739</v>
      </c>
      <c r="B134">
        <v>61</v>
      </c>
      <c r="C134" t="s">
        <v>12</v>
      </c>
      <c r="D134" s="3">
        <v>113380</v>
      </c>
      <c r="E134">
        <v>27</v>
      </c>
      <c r="F134">
        <v>2</v>
      </c>
      <c r="G134">
        <v>17</v>
      </c>
      <c r="H134" t="s">
        <v>14</v>
      </c>
      <c r="I134">
        <v>177.5</v>
      </c>
      <c r="J134" t="str">
        <f t="shared" si="2"/>
        <v>Low</v>
      </c>
    </row>
    <row r="135" spans="1:10" x14ac:dyDescent="0.25">
      <c r="A135">
        <v>744</v>
      </c>
      <c r="B135">
        <v>56</v>
      </c>
      <c r="C135" t="s">
        <v>12</v>
      </c>
      <c r="D135" s="3">
        <v>90816</v>
      </c>
      <c r="E135">
        <v>20</v>
      </c>
      <c r="F135">
        <v>10</v>
      </c>
      <c r="G135">
        <v>35</v>
      </c>
      <c r="H135" t="s">
        <v>14</v>
      </c>
      <c r="I135">
        <v>808.16</v>
      </c>
      <c r="J135" t="str">
        <f t="shared" si="2"/>
        <v>Low</v>
      </c>
    </row>
    <row r="136" spans="1:10" x14ac:dyDescent="0.25">
      <c r="A136">
        <v>746</v>
      </c>
      <c r="B136">
        <v>60</v>
      </c>
      <c r="C136" t="s">
        <v>12</v>
      </c>
      <c r="D136" s="3">
        <v>34657</v>
      </c>
      <c r="E136">
        <v>99</v>
      </c>
      <c r="F136">
        <v>10</v>
      </c>
      <c r="G136">
        <v>3</v>
      </c>
      <c r="H136" t="s">
        <v>14</v>
      </c>
      <c r="I136">
        <v>983.3</v>
      </c>
      <c r="J136" t="str">
        <f t="shared" si="2"/>
        <v>High</v>
      </c>
    </row>
    <row r="137" spans="1:10" x14ac:dyDescent="0.25">
      <c r="A137">
        <v>782</v>
      </c>
      <c r="B137">
        <v>22</v>
      </c>
      <c r="C137" t="s">
        <v>12</v>
      </c>
      <c r="D137" s="3">
        <v>118840</v>
      </c>
      <c r="E137">
        <v>32</v>
      </c>
      <c r="F137">
        <v>9</v>
      </c>
      <c r="G137">
        <v>9</v>
      </c>
      <c r="H137" t="s">
        <v>14</v>
      </c>
      <c r="I137">
        <v>819.14</v>
      </c>
      <c r="J137" t="str">
        <f t="shared" si="2"/>
        <v>Low</v>
      </c>
    </row>
    <row r="138" spans="1:10" x14ac:dyDescent="0.25">
      <c r="A138">
        <v>794</v>
      </c>
      <c r="B138">
        <v>50</v>
      </c>
      <c r="C138" t="s">
        <v>12</v>
      </c>
      <c r="D138" s="3">
        <v>103921</v>
      </c>
      <c r="E138">
        <v>58</v>
      </c>
      <c r="F138">
        <v>2</v>
      </c>
      <c r="G138">
        <v>3</v>
      </c>
      <c r="H138" t="s">
        <v>14</v>
      </c>
      <c r="I138">
        <v>687.32</v>
      </c>
      <c r="J138" t="str">
        <f t="shared" si="2"/>
        <v>Medium</v>
      </c>
    </row>
    <row r="139" spans="1:10" x14ac:dyDescent="0.25">
      <c r="A139">
        <v>810</v>
      </c>
      <c r="B139">
        <v>35</v>
      </c>
      <c r="C139" t="s">
        <v>12</v>
      </c>
      <c r="D139" s="3">
        <v>83547</v>
      </c>
      <c r="E139">
        <v>27</v>
      </c>
      <c r="F139">
        <v>7</v>
      </c>
      <c r="G139">
        <v>40</v>
      </c>
      <c r="H139" t="s">
        <v>14</v>
      </c>
      <c r="I139">
        <v>570.08000000000004</v>
      </c>
      <c r="J139" t="str">
        <f t="shared" si="2"/>
        <v>Low</v>
      </c>
    </row>
    <row r="140" spans="1:10" x14ac:dyDescent="0.25">
      <c r="A140">
        <v>828</v>
      </c>
      <c r="B140">
        <v>34</v>
      </c>
      <c r="C140" t="s">
        <v>12</v>
      </c>
      <c r="D140" s="3">
        <v>43316</v>
      </c>
      <c r="E140">
        <v>72</v>
      </c>
      <c r="F140">
        <v>7</v>
      </c>
      <c r="G140">
        <v>13</v>
      </c>
      <c r="H140" t="s">
        <v>14</v>
      </c>
      <c r="I140">
        <v>274.88</v>
      </c>
      <c r="J140" t="str">
        <f t="shared" si="2"/>
        <v>High</v>
      </c>
    </row>
    <row r="141" spans="1:10" x14ac:dyDescent="0.25">
      <c r="A141">
        <v>838</v>
      </c>
      <c r="B141">
        <v>57</v>
      </c>
      <c r="C141" t="s">
        <v>12</v>
      </c>
      <c r="D141" s="3">
        <v>98928</v>
      </c>
      <c r="E141">
        <v>80</v>
      </c>
      <c r="F141">
        <v>3</v>
      </c>
      <c r="G141">
        <v>33</v>
      </c>
      <c r="H141" t="s">
        <v>14</v>
      </c>
      <c r="I141">
        <v>934.98</v>
      </c>
      <c r="J141" t="str">
        <f t="shared" si="2"/>
        <v>High</v>
      </c>
    </row>
    <row r="142" spans="1:10" x14ac:dyDescent="0.25">
      <c r="A142">
        <v>859</v>
      </c>
      <c r="B142">
        <v>22</v>
      </c>
      <c r="C142" t="s">
        <v>12</v>
      </c>
      <c r="D142" s="3">
        <v>62752</v>
      </c>
      <c r="E142">
        <v>2</v>
      </c>
      <c r="F142">
        <v>10</v>
      </c>
      <c r="G142">
        <v>22</v>
      </c>
      <c r="H142" t="s">
        <v>14</v>
      </c>
      <c r="I142">
        <v>469.36</v>
      </c>
      <c r="J142" t="str">
        <f t="shared" si="2"/>
        <v>Low</v>
      </c>
    </row>
    <row r="143" spans="1:10" x14ac:dyDescent="0.25">
      <c r="A143">
        <v>860</v>
      </c>
      <c r="B143">
        <v>22</v>
      </c>
      <c r="C143" t="s">
        <v>12</v>
      </c>
      <c r="D143" s="3">
        <v>46866</v>
      </c>
      <c r="E143">
        <v>3</v>
      </c>
      <c r="F143">
        <v>7</v>
      </c>
      <c r="G143">
        <v>46</v>
      </c>
      <c r="H143" t="s">
        <v>14</v>
      </c>
      <c r="I143">
        <v>737.44</v>
      </c>
      <c r="J143" t="str">
        <f t="shared" si="2"/>
        <v>Low</v>
      </c>
    </row>
    <row r="144" spans="1:10" x14ac:dyDescent="0.25">
      <c r="A144">
        <v>864</v>
      </c>
      <c r="B144">
        <v>41</v>
      </c>
      <c r="C144" t="s">
        <v>12</v>
      </c>
      <c r="D144" s="3">
        <v>92371</v>
      </c>
      <c r="E144">
        <v>28</v>
      </c>
      <c r="F144">
        <v>10</v>
      </c>
      <c r="G144">
        <v>48</v>
      </c>
      <c r="H144" t="s">
        <v>14</v>
      </c>
      <c r="I144">
        <v>594.96</v>
      </c>
      <c r="J144" t="str">
        <f t="shared" si="2"/>
        <v>Low</v>
      </c>
    </row>
    <row r="145" spans="1:10" x14ac:dyDescent="0.25">
      <c r="A145">
        <v>866</v>
      </c>
      <c r="B145">
        <v>22</v>
      </c>
      <c r="C145" t="s">
        <v>12</v>
      </c>
      <c r="D145" s="3">
        <v>48068</v>
      </c>
      <c r="E145">
        <v>57</v>
      </c>
      <c r="F145">
        <v>2</v>
      </c>
      <c r="G145">
        <v>24</v>
      </c>
      <c r="H145" t="s">
        <v>14</v>
      </c>
      <c r="I145">
        <v>683.02</v>
      </c>
      <c r="J145" t="str">
        <f t="shared" si="2"/>
        <v>Medium</v>
      </c>
    </row>
    <row r="146" spans="1:10" x14ac:dyDescent="0.25">
      <c r="A146">
        <v>897</v>
      </c>
      <c r="B146">
        <v>32</v>
      </c>
      <c r="C146" t="s">
        <v>12</v>
      </c>
      <c r="D146" s="3">
        <v>81701</v>
      </c>
      <c r="E146">
        <v>96</v>
      </c>
      <c r="F146">
        <v>9</v>
      </c>
      <c r="G146">
        <v>49</v>
      </c>
      <c r="H146" t="s">
        <v>14</v>
      </c>
      <c r="I146">
        <v>77.45</v>
      </c>
      <c r="J146" t="str">
        <f t="shared" si="2"/>
        <v>High</v>
      </c>
    </row>
    <row r="147" spans="1:10" x14ac:dyDescent="0.25">
      <c r="A147">
        <v>899</v>
      </c>
      <c r="B147">
        <v>48</v>
      </c>
      <c r="C147" t="s">
        <v>12</v>
      </c>
      <c r="D147" s="3">
        <v>134463</v>
      </c>
      <c r="E147">
        <v>32</v>
      </c>
      <c r="F147">
        <v>2</v>
      </c>
      <c r="G147">
        <v>7</v>
      </c>
      <c r="H147" t="s">
        <v>14</v>
      </c>
      <c r="I147">
        <v>535.1</v>
      </c>
      <c r="J147" t="str">
        <f t="shared" si="2"/>
        <v>Low</v>
      </c>
    </row>
    <row r="148" spans="1:10" x14ac:dyDescent="0.25">
      <c r="A148">
        <v>906</v>
      </c>
      <c r="B148">
        <v>25</v>
      </c>
      <c r="C148" t="s">
        <v>12</v>
      </c>
      <c r="D148" s="3">
        <v>130604</v>
      </c>
      <c r="E148">
        <v>100</v>
      </c>
      <c r="F148">
        <v>4</v>
      </c>
      <c r="G148">
        <v>41</v>
      </c>
      <c r="H148" t="s">
        <v>14</v>
      </c>
      <c r="I148">
        <v>355.45</v>
      </c>
      <c r="J148" t="str">
        <f t="shared" si="2"/>
        <v>High</v>
      </c>
    </row>
    <row r="149" spans="1:10" x14ac:dyDescent="0.25">
      <c r="A149">
        <v>913</v>
      </c>
      <c r="B149">
        <v>38</v>
      </c>
      <c r="C149" t="s">
        <v>12</v>
      </c>
      <c r="D149" s="3">
        <v>45551</v>
      </c>
      <c r="E149">
        <v>100</v>
      </c>
      <c r="F149">
        <v>10</v>
      </c>
      <c r="G149">
        <v>22</v>
      </c>
      <c r="H149" t="s">
        <v>14</v>
      </c>
      <c r="I149">
        <v>99.63</v>
      </c>
      <c r="J149" t="str">
        <f t="shared" si="2"/>
        <v>High</v>
      </c>
    </row>
    <row r="150" spans="1:10" x14ac:dyDescent="0.25">
      <c r="A150">
        <v>914</v>
      </c>
      <c r="B150">
        <v>55</v>
      </c>
      <c r="C150" t="s">
        <v>12</v>
      </c>
      <c r="D150" s="3">
        <v>109314</v>
      </c>
      <c r="E150">
        <v>72</v>
      </c>
      <c r="F150">
        <v>10</v>
      </c>
      <c r="G150">
        <v>47</v>
      </c>
      <c r="H150" t="s">
        <v>14</v>
      </c>
      <c r="I150">
        <v>438.97</v>
      </c>
      <c r="J150" t="str">
        <f t="shared" si="2"/>
        <v>High</v>
      </c>
    </row>
    <row r="151" spans="1:10" x14ac:dyDescent="0.25">
      <c r="A151">
        <v>929</v>
      </c>
      <c r="B151">
        <v>35</v>
      </c>
      <c r="C151" t="s">
        <v>12</v>
      </c>
      <c r="D151" s="3">
        <v>48768</v>
      </c>
      <c r="E151">
        <v>43</v>
      </c>
      <c r="F151">
        <v>2</v>
      </c>
      <c r="G151">
        <v>5</v>
      </c>
      <c r="H151" t="s">
        <v>14</v>
      </c>
      <c r="I151">
        <v>746.74</v>
      </c>
      <c r="J151" t="str">
        <f t="shared" si="2"/>
        <v>Medium</v>
      </c>
    </row>
    <row r="152" spans="1:10" x14ac:dyDescent="0.25">
      <c r="A152">
        <v>933</v>
      </c>
      <c r="B152">
        <v>18</v>
      </c>
      <c r="C152" t="s">
        <v>12</v>
      </c>
      <c r="D152" s="3">
        <v>117893</v>
      </c>
      <c r="E152">
        <v>84</v>
      </c>
      <c r="F152">
        <v>3</v>
      </c>
      <c r="G152">
        <v>24</v>
      </c>
      <c r="H152" t="s">
        <v>14</v>
      </c>
      <c r="I152">
        <v>413.27</v>
      </c>
      <c r="J152" t="str">
        <f t="shared" si="2"/>
        <v>High</v>
      </c>
    </row>
    <row r="153" spans="1:10" x14ac:dyDescent="0.25">
      <c r="A153">
        <v>954</v>
      </c>
      <c r="B153">
        <v>44</v>
      </c>
      <c r="C153" t="s">
        <v>12</v>
      </c>
      <c r="D153" s="3">
        <v>123822</v>
      </c>
      <c r="E153">
        <v>20</v>
      </c>
      <c r="F153">
        <v>4</v>
      </c>
      <c r="G153">
        <v>8</v>
      </c>
      <c r="H153" t="s">
        <v>14</v>
      </c>
      <c r="I153">
        <v>209.75</v>
      </c>
      <c r="J153" t="str">
        <f t="shared" si="2"/>
        <v>Low</v>
      </c>
    </row>
    <row r="154" spans="1:10" x14ac:dyDescent="0.25">
      <c r="A154">
        <v>976</v>
      </c>
      <c r="B154">
        <v>30</v>
      </c>
      <c r="C154" t="s">
        <v>12</v>
      </c>
      <c r="D154" s="3">
        <v>54930</v>
      </c>
      <c r="E154">
        <v>12</v>
      </c>
      <c r="F154">
        <v>9</v>
      </c>
      <c r="G154">
        <v>13</v>
      </c>
      <c r="H154" t="s">
        <v>14</v>
      </c>
      <c r="I154">
        <v>724.88</v>
      </c>
      <c r="J154" t="str">
        <f t="shared" si="2"/>
        <v>Low</v>
      </c>
    </row>
    <row r="155" spans="1:10" x14ac:dyDescent="0.25">
      <c r="A155">
        <v>9</v>
      </c>
      <c r="B155">
        <v>53</v>
      </c>
      <c r="C155" t="s">
        <v>12</v>
      </c>
      <c r="D155" s="3">
        <v>34424</v>
      </c>
      <c r="E155">
        <v>29</v>
      </c>
      <c r="F155">
        <v>6</v>
      </c>
      <c r="G155">
        <v>7</v>
      </c>
      <c r="H155" t="s">
        <v>15</v>
      </c>
      <c r="I155">
        <v>951.71</v>
      </c>
      <c r="J155" t="str">
        <f t="shared" si="2"/>
        <v>Low</v>
      </c>
    </row>
    <row r="156" spans="1:10" x14ac:dyDescent="0.25">
      <c r="A156">
        <v>18</v>
      </c>
      <c r="B156">
        <v>22</v>
      </c>
      <c r="C156" t="s">
        <v>12</v>
      </c>
      <c r="D156" s="3">
        <v>41849</v>
      </c>
      <c r="E156">
        <v>22</v>
      </c>
      <c r="F156">
        <v>1</v>
      </c>
      <c r="G156">
        <v>31</v>
      </c>
      <c r="H156" t="s">
        <v>15</v>
      </c>
      <c r="I156">
        <v>844.08</v>
      </c>
      <c r="J156" t="str">
        <f t="shared" si="2"/>
        <v>Low</v>
      </c>
    </row>
    <row r="157" spans="1:10" x14ac:dyDescent="0.25">
      <c r="A157">
        <v>88</v>
      </c>
      <c r="B157">
        <v>31</v>
      </c>
      <c r="C157" t="s">
        <v>12</v>
      </c>
      <c r="D157" s="3">
        <v>55100</v>
      </c>
      <c r="E157">
        <v>20</v>
      </c>
      <c r="F157">
        <v>7</v>
      </c>
      <c r="G157">
        <v>31</v>
      </c>
      <c r="H157" t="s">
        <v>15</v>
      </c>
      <c r="I157">
        <v>59.84</v>
      </c>
      <c r="J157" t="str">
        <f t="shared" si="2"/>
        <v>Low</v>
      </c>
    </row>
    <row r="158" spans="1:10" x14ac:dyDescent="0.25">
      <c r="A158">
        <v>111</v>
      </c>
      <c r="B158">
        <v>37</v>
      </c>
      <c r="C158" t="s">
        <v>12</v>
      </c>
      <c r="D158" s="3">
        <v>111242</v>
      </c>
      <c r="E158">
        <v>33</v>
      </c>
      <c r="F158">
        <v>5</v>
      </c>
      <c r="G158">
        <v>34</v>
      </c>
      <c r="H158" t="s">
        <v>15</v>
      </c>
      <c r="I158">
        <v>756.32</v>
      </c>
      <c r="J158" t="str">
        <f t="shared" si="2"/>
        <v>Medium</v>
      </c>
    </row>
    <row r="159" spans="1:10" x14ac:dyDescent="0.25">
      <c r="A159">
        <v>114</v>
      </c>
      <c r="B159">
        <v>32</v>
      </c>
      <c r="C159" t="s">
        <v>12</v>
      </c>
      <c r="D159" s="3">
        <v>35514</v>
      </c>
      <c r="E159">
        <v>4</v>
      </c>
      <c r="F159">
        <v>5</v>
      </c>
      <c r="G159">
        <v>36</v>
      </c>
      <c r="H159" t="s">
        <v>15</v>
      </c>
      <c r="I159">
        <v>415.44</v>
      </c>
      <c r="J159" t="str">
        <f t="shared" si="2"/>
        <v>Low</v>
      </c>
    </row>
    <row r="160" spans="1:10" x14ac:dyDescent="0.25">
      <c r="A160">
        <v>127</v>
      </c>
      <c r="B160">
        <v>58</v>
      </c>
      <c r="C160" t="s">
        <v>12</v>
      </c>
      <c r="D160" s="3">
        <v>32860</v>
      </c>
      <c r="E160">
        <v>90</v>
      </c>
      <c r="F160">
        <v>5</v>
      </c>
      <c r="G160">
        <v>18</v>
      </c>
      <c r="H160" t="s">
        <v>15</v>
      </c>
      <c r="I160">
        <v>405.05</v>
      </c>
      <c r="J160" t="str">
        <f t="shared" si="2"/>
        <v>High</v>
      </c>
    </row>
    <row r="161" spans="1:10" x14ac:dyDescent="0.25">
      <c r="A161">
        <v>131</v>
      </c>
      <c r="B161">
        <v>51</v>
      </c>
      <c r="C161" t="s">
        <v>12</v>
      </c>
      <c r="D161" s="3">
        <v>42337</v>
      </c>
      <c r="E161">
        <v>70</v>
      </c>
      <c r="F161">
        <v>9</v>
      </c>
      <c r="G161">
        <v>28</v>
      </c>
      <c r="H161" t="s">
        <v>15</v>
      </c>
      <c r="I161">
        <v>914.97</v>
      </c>
      <c r="J161" t="str">
        <f t="shared" si="2"/>
        <v>High</v>
      </c>
    </row>
    <row r="162" spans="1:10" x14ac:dyDescent="0.25">
      <c r="A162">
        <v>134</v>
      </c>
      <c r="B162">
        <v>26</v>
      </c>
      <c r="C162" t="s">
        <v>12</v>
      </c>
      <c r="D162" s="3">
        <v>62131</v>
      </c>
      <c r="E162">
        <v>91</v>
      </c>
      <c r="F162">
        <v>6</v>
      </c>
      <c r="G162">
        <v>18</v>
      </c>
      <c r="H162" t="s">
        <v>15</v>
      </c>
      <c r="I162">
        <v>70.56</v>
      </c>
      <c r="J162" t="str">
        <f t="shared" si="2"/>
        <v>High</v>
      </c>
    </row>
    <row r="163" spans="1:10" x14ac:dyDescent="0.25">
      <c r="A163">
        <v>136</v>
      </c>
      <c r="B163">
        <v>31</v>
      </c>
      <c r="C163" t="s">
        <v>12</v>
      </c>
      <c r="D163" s="3">
        <v>145261</v>
      </c>
      <c r="E163">
        <v>25</v>
      </c>
      <c r="F163">
        <v>10</v>
      </c>
      <c r="G163">
        <v>37</v>
      </c>
      <c r="H163" t="s">
        <v>15</v>
      </c>
      <c r="I163">
        <v>378.4</v>
      </c>
      <c r="J163" t="str">
        <f t="shared" si="2"/>
        <v>Low</v>
      </c>
    </row>
    <row r="164" spans="1:10" x14ac:dyDescent="0.25">
      <c r="A164">
        <v>137</v>
      </c>
      <c r="B164">
        <v>48</v>
      </c>
      <c r="C164" t="s">
        <v>12</v>
      </c>
      <c r="D164" s="3">
        <v>81763</v>
      </c>
      <c r="E164">
        <v>49</v>
      </c>
      <c r="F164">
        <v>6</v>
      </c>
      <c r="G164">
        <v>46</v>
      </c>
      <c r="H164" t="s">
        <v>15</v>
      </c>
      <c r="I164">
        <v>179.25</v>
      </c>
      <c r="J164" t="str">
        <f t="shared" si="2"/>
        <v>Medium</v>
      </c>
    </row>
    <row r="165" spans="1:10" x14ac:dyDescent="0.25">
      <c r="A165">
        <v>163</v>
      </c>
      <c r="B165">
        <v>45</v>
      </c>
      <c r="C165" t="s">
        <v>12</v>
      </c>
      <c r="D165" s="3">
        <v>76259</v>
      </c>
      <c r="E165">
        <v>72</v>
      </c>
      <c r="F165">
        <v>5</v>
      </c>
      <c r="G165">
        <v>41</v>
      </c>
      <c r="H165" t="s">
        <v>15</v>
      </c>
      <c r="I165">
        <v>228.88</v>
      </c>
      <c r="J165" t="str">
        <f t="shared" si="2"/>
        <v>High</v>
      </c>
    </row>
    <row r="166" spans="1:10" x14ac:dyDescent="0.25">
      <c r="A166">
        <v>176</v>
      </c>
      <c r="B166">
        <v>34</v>
      </c>
      <c r="C166" t="s">
        <v>12</v>
      </c>
      <c r="D166" s="3">
        <v>79572</v>
      </c>
      <c r="E166">
        <v>62</v>
      </c>
      <c r="F166">
        <v>2</v>
      </c>
      <c r="G166">
        <v>24</v>
      </c>
      <c r="H166" t="s">
        <v>15</v>
      </c>
      <c r="I166">
        <v>843.15</v>
      </c>
      <c r="J166" t="str">
        <f t="shared" si="2"/>
        <v>Medium</v>
      </c>
    </row>
    <row r="167" spans="1:10" x14ac:dyDescent="0.25">
      <c r="A167">
        <v>188</v>
      </c>
      <c r="B167">
        <v>55</v>
      </c>
      <c r="C167" t="s">
        <v>12</v>
      </c>
      <c r="D167" s="3">
        <v>77060</v>
      </c>
      <c r="E167">
        <v>14</v>
      </c>
      <c r="F167">
        <v>2</v>
      </c>
      <c r="G167">
        <v>16</v>
      </c>
      <c r="H167" t="s">
        <v>15</v>
      </c>
      <c r="I167">
        <v>286.79000000000002</v>
      </c>
      <c r="J167" t="str">
        <f t="shared" si="2"/>
        <v>Low</v>
      </c>
    </row>
    <row r="168" spans="1:10" x14ac:dyDescent="0.25">
      <c r="A168">
        <v>202</v>
      </c>
      <c r="B168">
        <v>25</v>
      </c>
      <c r="C168" t="s">
        <v>12</v>
      </c>
      <c r="D168" s="3">
        <v>30570</v>
      </c>
      <c r="E168">
        <v>16</v>
      </c>
      <c r="F168">
        <v>8</v>
      </c>
      <c r="G168">
        <v>44</v>
      </c>
      <c r="H168" t="s">
        <v>15</v>
      </c>
      <c r="I168">
        <v>971.09</v>
      </c>
      <c r="J168" t="str">
        <f t="shared" si="2"/>
        <v>Low</v>
      </c>
    </row>
    <row r="169" spans="1:10" x14ac:dyDescent="0.25">
      <c r="A169">
        <v>207</v>
      </c>
      <c r="B169">
        <v>58</v>
      </c>
      <c r="C169" t="s">
        <v>12</v>
      </c>
      <c r="D169" s="3">
        <v>48714</v>
      </c>
      <c r="E169">
        <v>75</v>
      </c>
      <c r="F169">
        <v>10</v>
      </c>
      <c r="G169">
        <v>40</v>
      </c>
      <c r="H169" t="s">
        <v>15</v>
      </c>
      <c r="I169">
        <v>324.91000000000003</v>
      </c>
      <c r="J169" t="str">
        <f t="shared" si="2"/>
        <v>High</v>
      </c>
    </row>
    <row r="170" spans="1:10" x14ac:dyDescent="0.25">
      <c r="A170">
        <v>257</v>
      </c>
      <c r="B170">
        <v>26</v>
      </c>
      <c r="C170" t="s">
        <v>12</v>
      </c>
      <c r="D170" s="3">
        <v>134203</v>
      </c>
      <c r="E170">
        <v>19</v>
      </c>
      <c r="F170">
        <v>3</v>
      </c>
      <c r="G170">
        <v>28</v>
      </c>
      <c r="H170" t="s">
        <v>15</v>
      </c>
      <c r="I170">
        <v>935.64</v>
      </c>
      <c r="J170" t="str">
        <f t="shared" si="2"/>
        <v>Low</v>
      </c>
    </row>
    <row r="171" spans="1:10" x14ac:dyDescent="0.25">
      <c r="A171">
        <v>289</v>
      </c>
      <c r="B171">
        <v>38</v>
      </c>
      <c r="C171" t="s">
        <v>12</v>
      </c>
      <c r="D171" s="3">
        <v>84577</v>
      </c>
      <c r="E171">
        <v>70</v>
      </c>
      <c r="F171">
        <v>7</v>
      </c>
      <c r="G171">
        <v>27</v>
      </c>
      <c r="H171" t="s">
        <v>15</v>
      </c>
      <c r="I171">
        <v>631.28</v>
      </c>
      <c r="J171" t="str">
        <f t="shared" si="2"/>
        <v>High</v>
      </c>
    </row>
    <row r="172" spans="1:10" x14ac:dyDescent="0.25">
      <c r="A172">
        <v>297</v>
      </c>
      <c r="B172">
        <v>40</v>
      </c>
      <c r="C172" t="s">
        <v>12</v>
      </c>
      <c r="D172" s="3">
        <v>97995</v>
      </c>
      <c r="E172">
        <v>47</v>
      </c>
      <c r="F172">
        <v>4</v>
      </c>
      <c r="G172">
        <v>9</v>
      </c>
      <c r="H172" t="s">
        <v>15</v>
      </c>
      <c r="I172">
        <v>101.35</v>
      </c>
      <c r="J172" t="str">
        <f t="shared" si="2"/>
        <v>Medium</v>
      </c>
    </row>
    <row r="173" spans="1:10" x14ac:dyDescent="0.25">
      <c r="A173">
        <v>298</v>
      </c>
      <c r="B173">
        <v>39</v>
      </c>
      <c r="C173" t="s">
        <v>12</v>
      </c>
      <c r="D173" s="3">
        <v>132488</v>
      </c>
      <c r="E173">
        <v>40</v>
      </c>
      <c r="F173">
        <v>5</v>
      </c>
      <c r="G173">
        <v>37</v>
      </c>
      <c r="H173" t="s">
        <v>15</v>
      </c>
      <c r="I173">
        <v>82.16</v>
      </c>
      <c r="J173" t="str">
        <f t="shared" si="2"/>
        <v>Medium</v>
      </c>
    </row>
    <row r="174" spans="1:10" x14ac:dyDescent="0.25">
      <c r="A174">
        <v>305</v>
      </c>
      <c r="B174">
        <v>32</v>
      </c>
      <c r="C174" t="s">
        <v>12</v>
      </c>
      <c r="D174" s="3">
        <v>39407</v>
      </c>
      <c r="E174">
        <v>50</v>
      </c>
      <c r="F174">
        <v>6</v>
      </c>
      <c r="G174">
        <v>13</v>
      </c>
      <c r="H174" t="s">
        <v>15</v>
      </c>
      <c r="I174">
        <v>844.22</v>
      </c>
      <c r="J174" t="str">
        <f t="shared" si="2"/>
        <v>Medium</v>
      </c>
    </row>
    <row r="175" spans="1:10" x14ac:dyDescent="0.25">
      <c r="A175">
        <v>306</v>
      </c>
      <c r="B175">
        <v>48</v>
      </c>
      <c r="C175" t="s">
        <v>12</v>
      </c>
      <c r="D175" s="3">
        <v>39407</v>
      </c>
      <c r="E175">
        <v>82</v>
      </c>
      <c r="F175">
        <v>5</v>
      </c>
      <c r="G175">
        <v>27</v>
      </c>
      <c r="H175" t="s">
        <v>15</v>
      </c>
      <c r="I175">
        <v>463.07</v>
      </c>
      <c r="J175" t="str">
        <f t="shared" si="2"/>
        <v>High</v>
      </c>
    </row>
    <row r="176" spans="1:10" x14ac:dyDescent="0.25">
      <c r="A176">
        <v>310</v>
      </c>
      <c r="B176">
        <v>50</v>
      </c>
      <c r="C176" t="s">
        <v>12</v>
      </c>
      <c r="D176" s="3">
        <v>100320</v>
      </c>
      <c r="E176">
        <v>45</v>
      </c>
      <c r="F176">
        <v>7</v>
      </c>
      <c r="G176">
        <v>29</v>
      </c>
      <c r="H176" t="s">
        <v>15</v>
      </c>
      <c r="I176">
        <v>139.38999999999999</v>
      </c>
      <c r="J176" t="str">
        <f t="shared" si="2"/>
        <v>Medium</v>
      </c>
    </row>
    <row r="177" spans="1:10" x14ac:dyDescent="0.25">
      <c r="A177">
        <v>312</v>
      </c>
      <c r="B177">
        <v>30</v>
      </c>
      <c r="C177" t="s">
        <v>12</v>
      </c>
      <c r="D177" s="3">
        <v>143200</v>
      </c>
      <c r="E177">
        <v>38</v>
      </c>
      <c r="F177">
        <v>8</v>
      </c>
      <c r="G177">
        <v>30</v>
      </c>
      <c r="H177" t="s">
        <v>15</v>
      </c>
      <c r="I177">
        <v>684.43</v>
      </c>
      <c r="J177" t="str">
        <f t="shared" si="2"/>
        <v>Medium</v>
      </c>
    </row>
    <row r="178" spans="1:10" x14ac:dyDescent="0.25">
      <c r="A178">
        <v>349</v>
      </c>
      <c r="B178">
        <v>44</v>
      </c>
      <c r="C178" t="s">
        <v>12</v>
      </c>
      <c r="D178" s="3">
        <v>32030</v>
      </c>
      <c r="E178">
        <v>38</v>
      </c>
      <c r="F178">
        <v>2</v>
      </c>
      <c r="G178">
        <v>19</v>
      </c>
      <c r="H178" t="s">
        <v>15</v>
      </c>
      <c r="I178">
        <v>912.15</v>
      </c>
      <c r="J178" t="str">
        <f t="shared" si="2"/>
        <v>Medium</v>
      </c>
    </row>
    <row r="179" spans="1:10" x14ac:dyDescent="0.25">
      <c r="A179">
        <v>383</v>
      </c>
      <c r="B179">
        <v>65</v>
      </c>
      <c r="C179" t="s">
        <v>12</v>
      </c>
      <c r="D179" s="3">
        <v>124796</v>
      </c>
      <c r="E179">
        <v>4</v>
      </c>
      <c r="F179">
        <v>5</v>
      </c>
      <c r="G179">
        <v>38</v>
      </c>
      <c r="H179" t="s">
        <v>15</v>
      </c>
      <c r="I179">
        <v>247.96</v>
      </c>
      <c r="J179" t="str">
        <f t="shared" si="2"/>
        <v>Low</v>
      </c>
    </row>
    <row r="180" spans="1:10" x14ac:dyDescent="0.25">
      <c r="A180">
        <v>385</v>
      </c>
      <c r="B180">
        <v>38</v>
      </c>
      <c r="C180" t="s">
        <v>12</v>
      </c>
      <c r="D180" s="3">
        <v>78829</v>
      </c>
      <c r="E180">
        <v>73</v>
      </c>
      <c r="F180">
        <v>7</v>
      </c>
      <c r="G180">
        <v>20</v>
      </c>
      <c r="H180" t="s">
        <v>15</v>
      </c>
      <c r="I180">
        <v>665.25</v>
      </c>
      <c r="J180" t="str">
        <f t="shared" si="2"/>
        <v>High</v>
      </c>
    </row>
    <row r="181" spans="1:10" x14ac:dyDescent="0.25">
      <c r="A181">
        <v>398</v>
      </c>
      <c r="B181">
        <v>48</v>
      </c>
      <c r="C181" t="s">
        <v>12</v>
      </c>
      <c r="D181" s="3">
        <v>36282</v>
      </c>
      <c r="E181">
        <v>14</v>
      </c>
      <c r="F181">
        <v>10</v>
      </c>
      <c r="G181">
        <v>3</v>
      </c>
      <c r="H181" t="s">
        <v>15</v>
      </c>
      <c r="I181">
        <v>210.43</v>
      </c>
      <c r="J181" t="str">
        <f t="shared" si="2"/>
        <v>Low</v>
      </c>
    </row>
    <row r="182" spans="1:10" x14ac:dyDescent="0.25">
      <c r="A182">
        <v>477</v>
      </c>
      <c r="B182">
        <v>42</v>
      </c>
      <c r="C182" t="s">
        <v>12</v>
      </c>
      <c r="D182" s="3">
        <v>115342</v>
      </c>
      <c r="E182">
        <v>19</v>
      </c>
      <c r="F182">
        <v>4</v>
      </c>
      <c r="G182">
        <v>47</v>
      </c>
      <c r="H182" t="s">
        <v>15</v>
      </c>
      <c r="I182">
        <v>13.69</v>
      </c>
      <c r="J182" t="str">
        <f t="shared" si="2"/>
        <v>Low</v>
      </c>
    </row>
    <row r="183" spans="1:10" x14ac:dyDescent="0.25">
      <c r="A183">
        <v>481</v>
      </c>
      <c r="B183">
        <v>54</v>
      </c>
      <c r="C183" t="s">
        <v>12</v>
      </c>
      <c r="D183" s="3">
        <v>105641</v>
      </c>
      <c r="E183">
        <v>17</v>
      </c>
      <c r="F183">
        <v>9</v>
      </c>
      <c r="G183">
        <v>37</v>
      </c>
      <c r="H183" t="s">
        <v>15</v>
      </c>
      <c r="I183">
        <v>173.81</v>
      </c>
      <c r="J183" t="str">
        <f t="shared" si="2"/>
        <v>Low</v>
      </c>
    </row>
    <row r="184" spans="1:10" x14ac:dyDescent="0.25">
      <c r="A184">
        <v>492</v>
      </c>
      <c r="B184">
        <v>39</v>
      </c>
      <c r="C184" t="s">
        <v>12</v>
      </c>
      <c r="D184" s="3">
        <v>84725</v>
      </c>
      <c r="E184">
        <v>100</v>
      </c>
      <c r="F184">
        <v>8</v>
      </c>
      <c r="G184">
        <v>49</v>
      </c>
      <c r="H184" t="s">
        <v>15</v>
      </c>
      <c r="I184">
        <v>906.07</v>
      </c>
      <c r="J184" t="str">
        <f t="shared" si="2"/>
        <v>High</v>
      </c>
    </row>
    <row r="185" spans="1:10" x14ac:dyDescent="0.25">
      <c r="A185">
        <v>494</v>
      </c>
      <c r="B185">
        <v>35</v>
      </c>
      <c r="C185" t="s">
        <v>12</v>
      </c>
      <c r="D185" s="3">
        <v>141134</v>
      </c>
      <c r="E185">
        <v>24</v>
      </c>
      <c r="F185">
        <v>4</v>
      </c>
      <c r="G185">
        <v>48</v>
      </c>
      <c r="H185" t="s">
        <v>15</v>
      </c>
      <c r="I185">
        <v>649.61</v>
      </c>
      <c r="J185" t="str">
        <f t="shared" si="2"/>
        <v>Low</v>
      </c>
    </row>
    <row r="186" spans="1:10" x14ac:dyDescent="0.25">
      <c r="A186">
        <v>495</v>
      </c>
      <c r="B186">
        <v>59</v>
      </c>
      <c r="C186" t="s">
        <v>12</v>
      </c>
      <c r="D186" s="3">
        <v>140809</v>
      </c>
      <c r="E186">
        <v>45</v>
      </c>
      <c r="F186">
        <v>5</v>
      </c>
      <c r="G186">
        <v>45</v>
      </c>
      <c r="H186" t="s">
        <v>15</v>
      </c>
      <c r="I186">
        <v>917.5</v>
      </c>
      <c r="J186" t="str">
        <f t="shared" si="2"/>
        <v>Medium</v>
      </c>
    </row>
    <row r="187" spans="1:10" x14ac:dyDescent="0.25">
      <c r="A187">
        <v>497</v>
      </c>
      <c r="B187">
        <v>56</v>
      </c>
      <c r="C187" t="s">
        <v>12</v>
      </c>
      <c r="D187" s="3">
        <v>145254</v>
      </c>
      <c r="E187">
        <v>48</v>
      </c>
      <c r="F187">
        <v>6</v>
      </c>
      <c r="G187">
        <v>43</v>
      </c>
      <c r="H187" t="s">
        <v>15</v>
      </c>
      <c r="I187">
        <v>422.32</v>
      </c>
      <c r="J187" t="str">
        <f t="shared" si="2"/>
        <v>Medium</v>
      </c>
    </row>
    <row r="188" spans="1:10" x14ac:dyDescent="0.25">
      <c r="A188">
        <v>506</v>
      </c>
      <c r="B188">
        <v>66</v>
      </c>
      <c r="C188" t="s">
        <v>12</v>
      </c>
      <c r="D188" s="3">
        <v>149505</v>
      </c>
      <c r="E188">
        <v>79</v>
      </c>
      <c r="F188">
        <v>4</v>
      </c>
      <c r="G188">
        <v>8</v>
      </c>
      <c r="H188" t="s">
        <v>15</v>
      </c>
      <c r="I188">
        <v>334.95</v>
      </c>
      <c r="J188" t="str">
        <f t="shared" si="2"/>
        <v>High</v>
      </c>
    </row>
    <row r="189" spans="1:10" x14ac:dyDescent="0.25">
      <c r="A189">
        <v>507</v>
      </c>
      <c r="B189">
        <v>58</v>
      </c>
      <c r="C189" t="s">
        <v>12</v>
      </c>
      <c r="D189" s="3">
        <v>132215</v>
      </c>
      <c r="E189">
        <v>91</v>
      </c>
      <c r="F189">
        <v>8</v>
      </c>
      <c r="G189">
        <v>6</v>
      </c>
      <c r="H189" t="s">
        <v>15</v>
      </c>
      <c r="I189">
        <v>275.70999999999998</v>
      </c>
      <c r="J189" t="str">
        <f t="shared" si="2"/>
        <v>High</v>
      </c>
    </row>
    <row r="190" spans="1:10" x14ac:dyDescent="0.25">
      <c r="A190">
        <v>510</v>
      </c>
      <c r="B190">
        <v>19</v>
      </c>
      <c r="C190" t="s">
        <v>12</v>
      </c>
      <c r="D190" s="3">
        <v>111238</v>
      </c>
      <c r="E190">
        <v>7</v>
      </c>
      <c r="F190">
        <v>2</v>
      </c>
      <c r="G190">
        <v>30</v>
      </c>
      <c r="H190" t="s">
        <v>15</v>
      </c>
      <c r="I190">
        <v>813.37</v>
      </c>
      <c r="J190" t="str">
        <f t="shared" si="2"/>
        <v>Low</v>
      </c>
    </row>
    <row r="191" spans="1:10" x14ac:dyDescent="0.25">
      <c r="A191">
        <v>512</v>
      </c>
      <c r="B191">
        <v>33</v>
      </c>
      <c r="C191" t="s">
        <v>12</v>
      </c>
      <c r="D191" s="3">
        <v>132968</v>
      </c>
      <c r="E191">
        <v>49</v>
      </c>
      <c r="F191">
        <v>10</v>
      </c>
      <c r="G191">
        <v>45</v>
      </c>
      <c r="H191" t="s">
        <v>15</v>
      </c>
      <c r="I191">
        <v>641.53</v>
      </c>
      <c r="J191" t="str">
        <f t="shared" si="2"/>
        <v>Medium</v>
      </c>
    </row>
    <row r="192" spans="1:10" x14ac:dyDescent="0.25">
      <c r="A192">
        <v>513</v>
      </c>
      <c r="B192">
        <v>19</v>
      </c>
      <c r="C192" t="s">
        <v>12</v>
      </c>
      <c r="D192" s="3">
        <v>82506</v>
      </c>
      <c r="E192">
        <v>10</v>
      </c>
      <c r="F192">
        <v>5</v>
      </c>
      <c r="G192">
        <v>41</v>
      </c>
      <c r="H192" t="s">
        <v>15</v>
      </c>
      <c r="I192">
        <v>406.32</v>
      </c>
      <c r="J192" t="str">
        <f t="shared" si="2"/>
        <v>Low</v>
      </c>
    </row>
    <row r="193" spans="1:10" x14ac:dyDescent="0.25">
      <c r="A193">
        <v>529</v>
      </c>
      <c r="B193">
        <v>57</v>
      </c>
      <c r="C193" t="s">
        <v>12</v>
      </c>
      <c r="D193" s="3">
        <v>139366</v>
      </c>
      <c r="E193">
        <v>39</v>
      </c>
      <c r="F193">
        <v>5</v>
      </c>
      <c r="G193">
        <v>50</v>
      </c>
      <c r="H193" t="s">
        <v>15</v>
      </c>
      <c r="I193">
        <v>34.5</v>
      </c>
      <c r="J193" t="str">
        <f t="shared" si="2"/>
        <v>Medium</v>
      </c>
    </row>
    <row r="194" spans="1:10" x14ac:dyDescent="0.25">
      <c r="A194">
        <v>530</v>
      </c>
      <c r="B194">
        <v>27</v>
      </c>
      <c r="C194" t="s">
        <v>12</v>
      </c>
      <c r="D194" s="3">
        <v>106944</v>
      </c>
      <c r="E194">
        <v>63</v>
      </c>
      <c r="F194">
        <v>1</v>
      </c>
      <c r="G194">
        <v>28</v>
      </c>
      <c r="H194" t="s">
        <v>15</v>
      </c>
      <c r="I194">
        <v>36.39</v>
      </c>
      <c r="J194" t="str">
        <f t="shared" ref="J194:J257" si="3">IF(E194&lt;33,"Low",IF(E194&lt;66,"Medium","High"))</f>
        <v>Medium</v>
      </c>
    </row>
    <row r="195" spans="1:10" x14ac:dyDescent="0.25">
      <c r="A195">
        <v>531</v>
      </c>
      <c r="B195">
        <v>61</v>
      </c>
      <c r="C195" t="s">
        <v>12</v>
      </c>
      <c r="D195" s="3">
        <v>92031</v>
      </c>
      <c r="E195">
        <v>44</v>
      </c>
      <c r="F195">
        <v>7</v>
      </c>
      <c r="G195">
        <v>11</v>
      </c>
      <c r="H195" t="s">
        <v>15</v>
      </c>
      <c r="I195">
        <v>573.30999999999995</v>
      </c>
      <c r="J195" t="str">
        <f t="shared" si="3"/>
        <v>Medium</v>
      </c>
    </row>
    <row r="196" spans="1:10" x14ac:dyDescent="0.25">
      <c r="A196">
        <v>534</v>
      </c>
      <c r="B196">
        <v>28</v>
      </c>
      <c r="C196" t="s">
        <v>12</v>
      </c>
      <c r="D196" s="3">
        <v>121073</v>
      </c>
      <c r="E196">
        <v>44</v>
      </c>
      <c r="F196">
        <v>3</v>
      </c>
      <c r="G196">
        <v>16</v>
      </c>
      <c r="H196" t="s">
        <v>15</v>
      </c>
      <c r="I196">
        <v>482.35</v>
      </c>
      <c r="J196" t="str">
        <f t="shared" si="3"/>
        <v>Medium</v>
      </c>
    </row>
    <row r="197" spans="1:10" x14ac:dyDescent="0.25">
      <c r="A197">
        <v>549</v>
      </c>
      <c r="B197">
        <v>39</v>
      </c>
      <c r="C197" t="s">
        <v>12</v>
      </c>
      <c r="D197" s="3">
        <v>30004</v>
      </c>
      <c r="E197">
        <v>32</v>
      </c>
      <c r="F197">
        <v>6</v>
      </c>
      <c r="G197">
        <v>48</v>
      </c>
      <c r="H197" t="s">
        <v>15</v>
      </c>
      <c r="I197">
        <v>863.47</v>
      </c>
      <c r="J197" t="str">
        <f t="shared" si="3"/>
        <v>Low</v>
      </c>
    </row>
    <row r="198" spans="1:10" x14ac:dyDescent="0.25">
      <c r="A198">
        <v>550</v>
      </c>
      <c r="B198">
        <v>53</v>
      </c>
      <c r="C198" t="s">
        <v>12</v>
      </c>
      <c r="D198" s="3">
        <v>47499</v>
      </c>
      <c r="E198">
        <v>85</v>
      </c>
      <c r="F198">
        <v>2</v>
      </c>
      <c r="G198">
        <v>45</v>
      </c>
      <c r="H198" t="s">
        <v>15</v>
      </c>
      <c r="I198">
        <v>338.69</v>
      </c>
      <c r="J198" t="str">
        <f t="shared" si="3"/>
        <v>High</v>
      </c>
    </row>
    <row r="199" spans="1:10" x14ac:dyDescent="0.25">
      <c r="A199">
        <v>553</v>
      </c>
      <c r="B199">
        <v>69</v>
      </c>
      <c r="C199" t="s">
        <v>12</v>
      </c>
      <c r="D199" s="3">
        <v>51759</v>
      </c>
      <c r="E199">
        <v>18</v>
      </c>
      <c r="F199">
        <v>9</v>
      </c>
      <c r="G199">
        <v>14</v>
      </c>
      <c r="H199" t="s">
        <v>15</v>
      </c>
      <c r="I199">
        <v>563.48</v>
      </c>
      <c r="J199" t="str">
        <f t="shared" si="3"/>
        <v>Low</v>
      </c>
    </row>
    <row r="200" spans="1:10" x14ac:dyDescent="0.25">
      <c r="A200">
        <v>558</v>
      </c>
      <c r="B200">
        <v>40</v>
      </c>
      <c r="C200" t="s">
        <v>12</v>
      </c>
      <c r="D200" s="3">
        <v>62536</v>
      </c>
      <c r="E200">
        <v>84</v>
      </c>
      <c r="F200">
        <v>4</v>
      </c>
      <c r="G200">
        <v>28</v>
      </c>
      <c r="H200" t="s">
        <v>15</v>
      </c>
      <c r="I200">
        <v>149.07</v>
      </c>
      <c r="J200" t="str">
        <f t="shared" si="3"/>
        <v>High</v>
      </c>
    </row>
    <row r="201" spans="1:10" x14ac:dyDescent="0.25">
      <c r="A201">
        <v>590</v>
      </c>
      <c r="B201">
        <v>33</v>
      </c>
      <c r="C201" t="s">
        <v>12</v>
      </c>
      <c r="D201" s="3">
        <v>93599</v>
      </c>
      <c r="E201">
        <v>22</v>
      </c>
      <c r="F201">
        <v>4</v>
      </c>
      <c r="G201">
        <v>37</v>
      </c>
      <c r="H201" t="s">
        <v>15</v>
      </c>
      <c r="I201">
        <v>274.95999999999998</v>
      </c>
      <c r="J201" t="str">
        <f t="shared" si="3"/>
        <v>Low</v>
      </c>
    </row>
    <row r="202" spans="1:10" x14ac:dyDescent="0.25">
      <c r="A202">
        <v>592</v>
      </c>
      <c r="B202">
        <v>22</v>
      </c>
      <c r="C202" t="s">
        <v>12</v>
      </c>
      <c r="D202" s="3">
        <v>100730</v>
      </c>
      <c r="E202">
        <v>4</v>
      </c>
      <c r="F202">
        <v>5</v>
      </c>
      <c r="G202">
        <v>10</v>
      </c>
      <c r="H202" t="s">
        <v>15</v>
      </c>
      <c r="I202">
        <v>459.58</v>
      </c>
      <c r="J202" t="str">
        <f t="shared" si="3"/>
        <v>Low</v>
      </c>
    </row>
    <row r="203" spans="1:10" x14ac:dyDescent="0.25">
      <c r="A203">
        <v>600</v>
      </c>
      <c r="B203">
        <v>52</v>
      </c>
      <c r="C203" t="s">
        <v>12</v>
      </c>
      <c r="D203" s="3">
        <v>127010</v>
      </c>
      <c r="E203">
        <v>76</v>
      </c>
      <c r="F203">
        <v>8</v>
      </c>
      <c r="G203">
        <v>26</v>
      </c>
      <c r="H203" t="s">
        <v>15</v>
      </c>
      <c r="I203">
        <v>13.46</v>
      </c>
      <c r="J203" t="str">
        <f t="shared" si="3"/>
        <v>High</v>
      </c>
    </row>
    <row r="204" spans="1:10" x14ac:dyDescent="0.25">
      <c r="A204">
        <v>644</v>
      </c>
      <c r="B204">
        <v>54</v>
      </c>
      <c r="C204" t="s">
        <v>12</v>
      </c>
      <c r="D204" s="3">
        <v>132403</v>
      </c>
      <c r="E204">
        <v>83</v>
      </c>
      <c r="F204">
        <v>3</v>
      </c>
      <c r="G204">
        <v>2</v>
      </c>
      <c r="H204" t="s">
        <v>15</v>
      </c>
      <c r="I204">
        <v>45.2</v>
      </c>
      <c r="J204" t="str">
        <f t="shared" si="3"/>
        <v>High</v>
      </c>
    </row>
    <row r="205" spans="1:10" x14ac:dyDescent="0.25">
      <c r="A205">
        <v>649</v>
      </c>
      <c r="B205">
        <v>27</v>
      </c>
      <c r="C205" t="s">
        <v>12</v>
      </c>
      <c r="D205" s="3">
        <v>147360</v>
      </c>
      <c r="E205">
        <v>96</v>
      </c>
      <c r="F205">
        <v>3</v>
      </c>
      <c r="G205">
        <v>26</v>
      </c>
      <c r="H205" t="s">
        <v>15</v>
      </c>
      <c r="I205">
        <v>26.1</v>
      </c>
      <c r="J205" t="str">
        <f t="shared" si="3"/>
        <v>High</v>
      </c>
    </row>
    <row r="206" spans="1:10" x14ac:dyDescent="0.25">
      <c r="A206">
        <v>654</v>
      </c>
      <c r="B206">
        <v>48</v>
      </c>
      <c r="C206" t="s">
        <v>12</v>
      </c>
      <c r="D206" s="3">
        <v>82356</v>
      </c>
      <c r="E206">
        <v>97</v>
      </c>
      <c r="F206">
        <v>1</v>
      </c>
      <c r="G206">
        <v>35</v>
      </c>
      <c r="H206" t="s">
        <v>15</v>
      </c>
      <c r="I206">
        <v>204.55</v>
      </c>
      <c r="J206" t="str">
        <f t="shared" si="3"/>
        <v>High</v>
      </c>
    </row>
    <row r="207" spans="1:10" x14ac:dyDescent="0.25">
      <c r="A207">
        <v>688</v>
      </c>
      <c r="B207">
        <v>30</v>
      </c>
      <c r="C207" t="s">
        <v>12</v>
      </c>
      <c r="D207" s="3">
        <v>94970</v>
      </c>
      <c r="E207">
        <v>15</v>
      </c>
      <c r="F207">
        <v>4</v>
      </c>
      <c r="G207">
        <v>11</v>
      </c>
      <c r="H207" t="s">
        <v>15</v>
      </c>
      <c r="I207">
        <v>250.07</v>
      </c>
      <c r="J207" t="str">
        <f t="shared" si="3"/>
        <v>Low</v>
      </c>
    </row>
    <row r="208" spans="1:10" x14ac:dyDescent="0.25">
      <c r="A208">
        <v>694</v>
      </c>
      <c r="B208">
        <v>64</v>
      </c>
      <c r="C208" t="s">
        <v>12</v>
      </c>
      <c r="D208" s="3">
        <v>32144</v>
      </c>
      <c r="E208">
        <v>76</v>
      </c>
      <c r="F208">
        <v>2</v>
      </c>
      <c r="G208">
        <v>28</v>
      </c>
      <c r="H208" t="s">
        <v>15</v>
      </c>
      <c r="I208">
        <v>902.66</v>
      </c>
      <c r="J208" t="str">
        <f t="shared" si="3"/>
        <v>High</v>
      </c>
    </row>
    <row r="209" spans="1:10" x14ac:dyDescent="0.25">
      <c r="A209">
        <v>714</v>
      </c>
      <c r="B209">
        <v>30</v>
      </c>
      <c r="C209" t="s">
        <v>12</v>
      </c>
      <c r="D209" s="3">
        <v>100115</v>
      </c>
      <c r="E209">
        <v>54</v>
      </c>
      <c r="F209">
        <v>2</v>
      </c>
      <c r="G209">
        <v>36</v>
      </c>
      <c r="H209" t="s">
        <v>15</v>
      </c>
      <c r="I209">
        <v>789.67</v>
      </c>
      <c r="J209" t="str">
        <f t="shared" si="3"/>
        <v>Medium</v>
      </c>
    </row>
    <row r="210" spans="1:10" x14ac:dyDescent="0.25">
      <c r="A210">
        <v>729</v>
      </c>
      <c r="B210">
        <v>50</v>
      </c>
      <c r="C210" t="s">
        <v>12</v>
      </c>
      <c r="D210" s="3">
        <v>86985</v>
      </c>
      <c r="E210">
        <v>77</v>
      </c>
      <c r="F210">
        <v>8</v>
      </c>
      <c r="G210">
        <v>11</v>
      </c>
      <c r="H210" t="s">
        <v>15</v>
      </c>
      <c r="I210">
        <v>964.1</v>
      </c>
      <c r="J210" t="str">
        <f t="shared" si="3"/>
        <v>High</v>
      </c>
    </row>
    <row r="211" spans="1:10" x14ac:dyDescent="0.25">
      <c r="A211">
        <v>743</v>
      </c>
      <c r="B211">
        <v>64</v>
      </c>
      <c r="C211" t="s">
        <v>12</v>
      </c>
      <c r="D211" s="3">
        <v>132277</v>
      </c>
      <c r="E211">
        <v>81</v>
      </c>
      <c r="F211">
        <v>5</v>
      </c>
      <c r="G211">
        <v>30</v>
      </c>
      <c r="H211" t="s">
        <v>15</v>
      </c>
      <c r="I211">
        <v>505.24</v>
      </c>
      <c r="J211" t="str">
        <f t="shared" si="3"/>
        <v>High</v>
      </c>
    </row>
    <row r="212" spans="1:10" x14ac:dyDescent="0.25">
      <c r="A212">
        <v>760</v>
      </c>
      <c r="B212">
        <v>27</v>
      </c>
      <c r="C212" t="s">
        <v>12</v>
      </c>
      <c r="D212" s="3">
        <v>80545</v>
      </c>
      <c r="E212">
        <v>63</v>
      </c>
      <c r="F212">
        <v>6</v>
      </c>
      <c r="G212">
        <v>46</v>
      </c>
      <c r="H212" t="s">
        <v>15</v>
      </c>
      <c r="I212">
        <v>575.98</v>
      </c>
      <c r="J212" t="str">
        <f t="shared" si="3"/>
        <v>Medium</v>
      </c>
    </row>
    <row r="213" spans="1:10" x14ac:dyDescent="0.25">
      <c r="A213">
        <v>762</v>
      </c>
      <c r="B213">
        <v>57</v>
      </c>
      <c r="C213" t="s">
        <v>12</v>
      </c>
      <c r="D213" s="3">
        <v>145190</v>
      </c>
      <c r="E213">
        <v>42</v>
      </c>
      <c r="F213">
        <v>9</v>
      </c>
      <c r="G213">
        <v>8</v>
      </c>
      <c r="H213" t="s">
        <v>15</v>
      </c>
      <c r="I213">
        <v>971.83</v>
      </c>
      <c r="J213" t="str">
        <f t="shared" si="3"/>
        <v>Medium</v>
      </c>
    </row>
    <row r="214" spans="1:10" x14ac:dyDescent="0.25">
      <c r="A214">
        <v>769</v>
      </c>
      <c r="B214">
        <v>19</v>
      </c>
      <c r="C214" t="s">
        <v>12</v>
      </c>
      <c r="D214" s="3">
        <v>85583</v>
      </c>
      <c r="E214">
        <v>61</v>
      </c>
      <c r="F214">
        <v>5</v>
      </c>
      <c r="G214">
        <v>43</v>
      </c>
      <c r="H214" t="s">
        <v>15</v>
      </c>
      <c r="I214">
        <v>316.35000000000002</v>
      </c>
      <c r="J214" t="str">
        <f t="shared" si="3"/>
        <v>Medium</v>
      </c>
    </row>
    <row r="215" spans="1:10" x14ac:dyDescent="0.25">
      <c r="A215">
        <v>775</v>
      </c>
      <c r="B215">
        <v>24</v>
      </c>
      <c r="C215" t="s">
        <v>12</v>
      </c>
      <c r="D215" s="3">
        <v>51225</v>
      </c>
      <c r="E215">
        <v>21</v>
      </c>
      <c r="F215">
        <v>6</v>
      </c>
      <c r="G215">
        <v>31</v>
      </c>
      <c r="H215" t="s">
        <v>15</v>
      </c>
      <c r="I215">
        <v>235.64</v>
      </c>
      <c r="J215" t="str">
        <f t="shared" si="3"/>
        <v>Low</v>
      </c>
    </row>
    <row r="216" spans="1:10" x14ac:dyDescent="0.25">
      <c r="A216">
        <v>786</v>
      </c>
      <c r="B216">
        <v>30</v>
      </c>
      <c r="C216" t="s">
        <v>12</v>
      </c>
      <c r="D216" s="3">
        <v>43192</v>
      </c>
      <c r="E216">
        <v>61</v>
      </c>
      <c r="F216">
        <v>1</v>
      </c>
      <c r="G216">
        <v>27</v>
      </c>
      <c r="H216" t="s">
        <v>15</v>
      </c>
      <c r="I216">
        <v>614.39</v>
      </c>
      <c r="J216" t="str">
        <f t="shared" si="3"/>
        <v>Medium</v>
      </c>
    </row>
    <row r="217" spans="1:10" x14ac:dyDescent="0.25">
      <c r="A217">
        <v>790</v>
      </c>
      <c r="B217">
        <v>61</v>
      </c>
      <c r="C217" t="s">
        <v>12</v>
      </c>
      <c r="D217" s="3">
        <v>96409</v>
      </c>
      <c r="E217">
        <v>66</v>
      </c>
      <c r="F217">
        <v>1</v>
      </c>
      <c r="G217">
        <v>32</v>
      </c>
      <c r="H217" t="s">
        <v>15</v>
      </c>
      <c r="I217">
        <v>674.93</v>
      </c>
      <c r="J217" t="str">
        <f t="shared" si="3"/>
        <v>High</v>
      </c>
    </row>
    <row r="218" spans="1:10" x14ac:dyDescent="0.25">
      <c r="A218">
        <v>813</v>
      </c>
      <c r="B218">
        <v>19</v>
      </c>
      <c r="C218" t="s">
        <v>12</v>
      </c>
      <c r="D218" s="3">
        <v>68304</v>
      </c>
      <c r="E218">
        <v>9</v>
      </c>
      <c r="F218">
        <v>10</v>
      </c>
      <c r="G218">
        <v>28</v>
      </c>
      <c r="H218" t="s">
        <v>15</v>
      </c>
      <c r="I218">
        <v>864.57</v>
      </c>
      <c r="J218" t="str">
        <f t="shared" si="3"/>
        <v>Low</v>
      </c>
    </row>
    <row r="219" spans="1:10" x14ac:dyDescent="0.25">
      <c r="A219">
        <v>823</v>
      </c>
      <c r="B219">
        <v>69</v>
      </c>
      <c r="C219" t="s">
        <v>12</v>
      </c>
      <c r="D219" s="3">
        <v>85068</v>
      </c>
      <c r="E219">
        <v>54</v>
      </c>
      <c r="F219">
        <v>6</v>
      </c>
      <c r="G219">
        <v>24</v>
      </c>
      <c r="H219" t="s">
        <v>15</v>
      </c>
      <c r="I219">
        <v>846.68</v>
      </c>
      <c r="J219" t="str">
        <f t="shared" si="3"/>
        <v>Medium</v>
      </c>
    </row>
    <row r="220" spans="1:10" x14ac:dyDescent="0.25">
      <c r="A220">
        <v>839</v>
      </c>
      <c r="B220">
        <v>43</v>
      </c>
      <c r="C220" t="s">
        <v>12</v>
      </c>
      <c r="D220" s="3">
        <v>90687</v>
      </c>
      <c r="E220">
        <v>9</v>
      </c>
      <c r="F220">
        <v>5</v>
      </c>
      <c r="G220">
        <v>24</v>
      </c>
      <c r="H220" t="s">
        <v>15</v>
      </c>
      <c r="I220">
        <v>531.25</v>
      </c>
      <c r="J220" t="str">
        <f t="shared" si="3"/>
        <v>Low</v>
      </c>
    </row>
    <row r="221" spans="1:10" x14ac:dyDescent="0.25">
      <c r="A221">
        <v>855</v>
      </c>
      <c r="B221">
        <v>18</v>
      </c>
      <c r="C221" t="s">
        <v>12</v>
      </c>
      <c r="D221" s="3">
        <v>30102</v>
      </c>
      <c r="E221">
        <v>35</v>
      </c>
      <c r="F221">
        <v>2</v>
      </c>
      <c r="G221">
        <v>6</v>
      </c>
      <c r="H221" t="s">
        <v>15</v>
      </c>
      <c r="I221">
        <v>739.27</v>
      </c>
      <c r="J221" t="str">
        <f t="shared" si="3"/>
        <v>Medium</v>
      </c>
    </row>
    <row r="222" spans="1:10" x14ac:dyDescent="0.25">
      <c r="A222">
        <v>872</v>
      </c>
      <c r="B222">
        <v>63</v>
      </c>
      <c r="C222" t="s">
        <v>12</v>
      </c>
      <c r="D222" s="3">
        <v>33546</v>
      </c>
      <c r="E222">
        <v>18</v>
      </c>
      <c r="F222">
        <v>9</v>
      </c>
      <c r="G222">
        <v>31</v>
      </c>
      <c r="H222" t="s">
        <v>15</v>
      </c>
      <c r="I222">
        <v>191.8</v>
      </c>
      <c r="J222" t="str">
        <f t="shared" si="3"/>
        <v>Low</v>
      </c>
    </row>
    <row r="223" spans="1:10" x14ac:dyDescent="0.25">
      <c r="A223">
        <v>879</v>
      </c>
      <c r="B223">
        <v>51</v>
      </c>
      <c r="C223" t="s">
        <v>12</v>
      </c>
      <c r="D223" s="3">
        <v>80995</v>
      </c>
      <c r="E223">
        <v>68</v>
      </c>
      <c r="F223">
        <v>1</v>
      </c>
      <c r="G223">
        <v>18</v>
      </c>
      <c r="H223" t="s">
        <v>15</v>
      </c>
      <c r="I223">
        <v>863.54</v>
      </c>
      <c r="J223" t="str">
        <f t="shared" si="3"/>
        <v>High</v>
      </c>
    </row>
    <row r="224" spans="1:10" x14ac:dyDescent="0.25">
      <c r="A224">
        <v>896</v>
      </c>
      <c r="B224">
        <v>53</v>
      </c>
      <c r="C224" t="s">
        <v>12</v>
      </c>
      <c r="D224" s="3">
        <v>137307</v>
      </c>
      <c r="E224">
        <v>34</v>
      </c>
      <c r="F224">
        <v>1</v>
      </c>
      <c r="G224">
        <v>26</v>
      </c>
      <c r="H224" t="s">
        <v>15</v>
      </c>
      <c r="I224">
        <v>952.12</v>
      </c>
      <c r="J224" t="str">
        <f t="shared" si="3"/>
        <v>Medium</v>
      </c>
    </row>
    <row r="225" spans="1:10" x14ac:dyDescent="0.25">
      <c r="A225">
        <v>905</v>
      </c>
      <c r="B225">
        <v>64</v>
      </c>
      <c r="C225" t="s">
        <v>12</v>
      </c>
      <c r="D225" s="3">
        <v>139658</v>
      </c>
      <c r="E225">
        <v>77</v>
      </c>
      <c r="F225">
        <v>6</v>
      </c>
      <c r="G225">
        <v>26</v>
      </c>
      <c r="H225" t="s">
        <v>15</v>
      </c>
      <c r="I225">
        <v>71.97</v>
      </c>
      <c r="J225" t="str">
        <f t="shared" si="3"/>
        <v>High</v>
      </c>
    </row>
    <row r="226" spans="1:10" x14ac:dyDescent="0.25">
      <c r="A226">
        <v>923</v>
      </c>
      <c r="B226">
        <v>68</v>
      </c>
      <c r="C226" t="s">
        <v>12</v>
      </c>
      <c r="D226" s="3">
        <v>107702</v>
      </c>
      <c r="E226">
        <v>73</v>
      </c>
      <c r="F226">
        <v>4</v>
      </c>
      <c r="G226">
        <v>2</v>
      </c>
      <c r="H226" t="s">
        <v>15</v>
      </c>
      <c r="I226">
        <v>136.03</v>
      </c>
      <c r="J226" t="str">
        <f t="shared" si="3"/>
        <v>High</v>
      </c>
    </row>
    <row r="227" spans="1:10" x14ac:dyDescent="0.25">
      <c r="A227">
        <v>942</v>
      </c>
      <c r="B227">
        <v>36</v>
      </c>
      <c r="C227" t="s">
        <v>12</v>
      </c>
      <c r="D227" s="3">
        <v>33087</v>
      </c>
      <c r="E227">
        <v>69</v>
      </c>
      <c r="F227">
        <v>7</v>
      </c>
      <c r="G227">
        <v>21</v>
      </c>
      <c r="H227" t="s">
        <v>15</v>
      </c>
      <c r="I227">
        <v>651.79999999999995</v>
      </c>
      <c r="J227" t="str">
        <f t="shared" si="3"/>
        <v>High</v>
      </c>
    </row>
    <row r="228" spans="1:10" x14ac:dyDescent="0.25">
      <c r="A228">
        <v>953</v>
      </c>
      <c r="B228">
        <v>51</v>
      </c>
      <c r="C228" t="s">
        <v>12</v>
      </c>
      <c r="D228" s="3">
        <v>104830</v>
      </c>
      <c r="E228">
        <v>43</v>
      </c>
      <c r="F228">
        <v>9</v>
      </c>
      <c r="G228">
        <v>36</v>
      </c>
      <c r="H228" t="s">
        <v>15</v>
      </c>
      <c r="I228">
        <v>593.91999999999996</v>
      </c>
      <c r="J228" t="str">
        <f t="shared" si="3"/>
        <v>Medium</v>
      </c>
    </row>
    <row r="229" spans="1:10" x14ac:dyDescent="0.25">
      <c r="A229">
        <v>955</v>
      </c>
      <c r="B229">
        <v>30</v>
      </c>
      <c r="C229" t="s">
        <v>12</v>
      </c>
      <c r="D229" s="3">
        <v>50661</v>
      </c>
      <c r="E229">
        <v>89</v>
      </c>
      <c r="F229">
        <v>9</v>
      </c>
      <c r="G229">
        <v>22</v>
      </c>
      <c r="H229" t="s">
        <v>15</v>
      </c>
      <c r="I229">
        <v>630.37</v>
      </c>
      <c r="J229" t="str">
        <f t="shared" si="3"/>
        <v>High</v>
      </c>
    </row>
    <row r="230" spans="1:10" x14ac:dyDescent="0.25">
      <c r="A230">
        <v>987</v>
      </c>
      <c r="B230">
        <v>22</v>
      </c>
      <c r="C230" t="s">
        <v>12</v>
      </c>
      <c r="D230" s="3">
        <v>80049</v>
      </c>
      <c r="E230">
        <v>1</v>
      </c>
      <c r="F230">
        <v>10</v>
      </c>
      <c r="G230">
        <v>47</v>
      </c>
      <c r="H230" t="s">
        <v>15</v>
      </c>
      <c r="I230">
        <v>16.97</v>
      </c>
      <c r="J230" t="str">
        <f t="shared" si="3"/>
        <v>Low</v>
      </c>
    </row>
    <row r="231" spans="1:10" x14ac:dyDescent="0.25">
      <c r="A231">
        <v>998</v>
      </c>
      <c r="B231">
        <v>23</v>
      </c>
      <c r="C231" t="s">
        <v>12</v>
      </c>
      <c r="D231" s="3">
        <v>113097</v>
      </c>
      <c r="E231">
        <v>40</v>
      </c>
      <c r="F231">
        <v>5</v>
      </c>
      <c r="G231">
        <v>42</v>
      </c>
      <c r="H231" t="s">
        <v>15</v>
      </c>
      <c r="I231">
        <v>75.09</v>
      </c>
      <c r="J231" t="str">
        <f t="shared" si="3"/>
        <v>Medium</v>
      </c>
    </row>
    <row r="232" spans="1:10" x14ac:dyDescent="0.25">
      <c r="A232">
        <v>8</v>
      </c>
      <c r="B232">
        <v>43</v>
      </c>
      <c r="C232" t="s">
        <v>12</v>
      </c>
      <c r="D232" s="3">
        <v>108115</v>
      </c>
      <c r="E232">
        <v>94</v>
      </c>
      <c r="F232">
        <v>9</v>
      </c>
      <c r="G232">
        <v>27</v>
      </c>
      <c r="H232" t="s">
        <v>16</v>
      </c>
      <c r="I232">
        <v>734.56</v>
      </c>
      <c r="J232" t="str">
        <f t="shared" si="3"/>
        <v>High</v>
      </c>
    </row>
    <row r="233" spans="1:10" x14ac:dyDescent="0.25">
      <c r="A233">
        <v>20</v>
      </c>
      <c r="B233">
        <v>31</v>
      </c>
      <c r="C233" t="s">
        <v>12</v>
      </c>
      <c r="D233" s="3">
        <v>97103</v>
      </c>
      <c r="E233">
        <v>70</v>
      </c>
      <c r="F233">
        <v>3</v>
      </c>
      <c r="G233">
        <v>17</v>
      </c>
      <c r="H233" t="s">
        <v>16</v>
      </c>
      <c r="I233">
        <v>61.3</v>
      </c>
      <c r="J233" t="str">
        <f t="shared" si="3"/>
        <v>High</v>
      </c>
    </row>
    <row r="234" spans="1:10" x14ac:dyDescent="0.25">
      <c r="A234">
        <v>27</v>
      </c>
      <c r="B234">
        <v>54</v>
      </c>
      <c r="C234" t="s">
        <v>12</v>
      </c>
      <c r="D234" s="3">
        <v>35394</v>
      </c>
      <c r="E234">
        <v>10</v>
      </c>
      <c r="F234">
        <v>9</v>
      </c>
      <c r="G234">
        <v>4</v>
      </c>
      <c r="H234" t="s">
        <v>16</v>
      </c>
      <c r="I234">
        <v>124.29</v>
      </c>
      <c r="J234" t="str">
        <f t="shared" si="3"/>
        <v>Low</v>
      </c>
    </row>
    <row r="235" spans="1:10" x14ac:dyDescent="0.25">
      <c r="A235">
        <v>61</v>
      </c>
      <c r="B235">
        <v>23</v>
      </c>
      <c r="C235" t="s">
        <v>12</v>
      </c>
      <c r="D235" s="3">
        <v>69133</v>
      </c>
      <c r="E235">
        <v>14</v>
      </c>
      <c r="F235">
        <v>6</v>
      </c>
      <c r="G235">
        <v>7</v>
      </c>
      <c r="H235" t="s">
        <v>16</v>
      </c>
      <c r="I235">
        <v>224.86</v>
      </c>
      <c r="J235" t="str">
        <f t="shared" si="3"/>
        <v>Low</v>
      </c>
    </row>
    <row r="236" spans="1:10" x14ac:dyDescent="0.25">
      <c r="A236">
        <v>77</v>
      </c>
      <c r="B236">
        <v>49</v>
      </c>
      <c r="C236" t="s">
        <v>12</v>
      </c>
      <c r="D236" s="3">
        <v>30708</v>
      </c>
      <c r="E236">
        <v>4</v>
      </c>
      <c r="F236">
        <v>1</v>
      </c>
      <c r="G236">
        <v>36</v>
      </c>
      <c r="H236" t="s">
        <v>16</v>
      </c>
      <c r="I236">
        <v>990</v>
      </c>
      <c r="J236" t="str">
        <f t="shared" si="3"/>
        <v>Low</v>
      </c>
    </row>
    <row r="237" spans="1:10" x14ac:dyDescent="0.25">
      <c r="A237">
        <v>102</v>
      </c>
      <c r="B237">
        <v>18</v>
      </c>
      <c r="C237" t="s">
        <v>12</v>
      </c>
      <c r="D237" s="3">
        <v>49346</v>
      </c>
      <c r="E237">
        <v>70</v>
      </c>
      <c r="F237">
        <v>7</v>
      </c>
      <c r="G237">
        <v>38</v>
      </c>
      <c r="H237" t="s">
        <v>16</v>
      </c>
      <c r="I237">
        <v>127.14</v>
      </c>
      <c r="J237" t="str">
        <f t="shared" si="3"/>
        <v>High</v>
      </c>
    </row>
    <row r="238" spans="1:10" x14ac:dyDescent="0.25">
      <c r="A238">
        <v>113</v>
      </c>
      <c r="B238">
        <v>58</v>
      </c>
      <c r="C238" t="s">
        <v>12</v>
      </c>
      <c r="D238" s="3">
        <v>82856</v>
      </c>
      <c r="E238">
        <v>33</v>
      </c>
      <c r="F238">
        <v>7</v>
      </c>
      <c r="G238">
        <v>20</v>
      </c>
      <c r="H238" t="s">
        <v>16</v>
      </c>
      <c r="I238">
        <v>450.72</v>
      </c>
      <c r="J238" t="str">
        <f t="shared" si="3"/>
        <v>Medium</v>
      </c>
    </row>
    <row r="239" spans="1:10" x14ac:dyDescent="0.25">
      <c r="A239">
        <v>119</v>
      </c>
      <c r="B239">
        <v>33</v>
      </c>
      <c r="C239" t="s">
        <v>12</v>
      </c>
      <c r="D239" s="3">
        <v>113154</v>
      </c>
      <c r="E239">
        <v>75</v>
      </c>
      <c r="F239">
        <v>8</v>
      </c>
      <c r="G239">
        <v>46</v>
      </c>
      <c r="H239" t="s">
        <v>16</v>
      </c>
      <c r="I239">
        <v>895.58</v>
      </c>
      <c r="J239" t="str">
        <f t="shared" si="3"/>
        <v>High</v>
      </c>
    </row>
    <row r="240" spans="1:10" x14ac:dyDescent="0.25">
      <c r="A240">
        <v>153</v>
      </c>
      <c r="B240">
        <v>43</v>
      </c>
      <c r="C240" t="s">
        <v>12</v>
      </c>
      <c r="D240" s="3">
        <v>33030</v>
      </c>
      <c r="E240">
        <v>61</v>
      </c>
      <c r="F240">
        <v>8</v>
      </c>
      <c r="G240">
        <v>40</v>
      </c>
      <c r="H240" t="s">
        <v>16</v>
      </c>
      <c r="I240">
        <v>711.04</v>
      </c>
      <c r="J240" t="str">
        <f t="shared" si="3"/>
        <v>Medium</v>
      </c>
    </row>
    <row r="241" spans="1:10" x14ac:dyDescent="0.25">
      <c r="A241">
        <v>170</v>
      </c>
      <c r="B241">
        <v>37</v>
      </c>
      <c r="C241" t="s">
        <v>12</v>
      </c>
      <c r="D241" s="3">
        <v>33987</v>
      </c>
      <c r="E241">
        <v>60</v>
      </c>
      <c r="F241">
        <v>8</v>
      </c>
      <c r="G241">
        <v>39</v>
      </c>
      <c r="H241" t="s">
        <v>16</v>
      </c>
      <c r="I241">
        <v>975.1</v>
      </c>
      <c r="J241" t="str">
        <f t="shared" si="3"/>
        <v>Medium</v>
      </c>
    </row>
    <row r="242" spans="1:10" x14ac:dyDescent="0.25">
      <c r="A242">
        <v>172</v>
      </c>
      <c r="B242">
        <v>19</v>
      </c>
      <c r="C242" t="s">
        <v>12</v>
      </c>
      <c r="D242" s="3">
        <v>98446</v>
      </c>
      <c r="E242">
        <v>25</v>
      </c>
      <c r="F242">
        <v>4</v>
      </c>
      <c r="G242">
        <v>34</v>
      </c>
      <c r="H242" t="s">
        <v>16</v>
      </c>
      <c r="I242">
        <v>696.59</v>
      </c>
      <c r="J242" t="str">
        <f t="shared" si="3"/>
        <v>Low</v>
      </c>
    </row>
    <row r="243" spans="1:10" x14ac:dyDescent="0.25">
      <c r="A243">
        <v>181</v>
      </c>
      <c r="B243">
        <v>49</v>
      </c>
      <c r="C243" t="s">
        <v>12</v>
      </c>
      <c r="D243" s="3">
        <v>76202</v>
      </c>
      <c r="E243">
        <v>83</v>
      </c>
      <c r="F243">
        <v>3</v>
      </c>
      <c r="G243">
        <v>6</v>
      </c>
      <c r="H243" t="s">
        <v>16</v>
      </c>
      <c r="I243">
        <v>208.79</v>
      </c>
      <c r="J243" t="str">
        <f t="shared" si="3"/>
        <v>High</v>
      </c>
    </row>
    <row r="244" spans="1:10" x14ac:dyDescent="0.25">
      <c r="A244">
        <v>184</v>
      </c>
      <c r="B244">
        <v>27</v>
      </c>
      <c r="C244" t="s">
        <v>12</v>
      </c>
      <c r="D244" s="3">
        <v>63313</v>
      </c>
      <c r="E244">
        <v>8</v>
      </c>
      <c r="F244">
        <v>10</v>
      </c>
      <c r="G244">
        <v>42</v>
      </c>
      <c r="H244" t="s">
        <v>16</v>
      </c>
      <c r="I244">
        <v>35.01</v>
      </c>
      <c r="J244" t="str">
        <f t="shared" si="3"/>
        <v>Low</v>
      </c>
    </row>
    <row r="245" spans="1:10" x14ac:dyDescent="0.25">
      <c r="A245">
        <v>198</v>
      </c>
      <c r="B245">
        <v>39</v>
      </c>
      <c r="C245" t="s">
        <v>12</v>
      </c>
      <c r="D245" s="3">
        <v>116566</v>
      </c>
      <c r="E245">
        <v>76</v>
      </c>
      <c r="F245">
        <v>9</v>
      </c>
      <c r="G245">
        <v>21</v>
      </c>
      <c r="H245" t="s">
        <v>16</v>
      </c>
      <c r="I245">
        <v>32.380000000000003</v>
      </c>
      <c r="J245" t="str">
        <f t="shared" si="3"/>
        <v>High</v>
      </c>
    </row>
    <row r="246" spans="1:10" x14ac:dyDescent="0.25">
      <c r="A246">
        <v>201</v>
      </c>
      <c r="B246">
        <v>45</v>
      </c>
      <c r="C246" t="s">
        <v>12</v>
      </c>
      <c r="D246" s="3">
        <v>111788</v>
      </c>
      <c r="E246">
        <v>28</v>
      </c>
      <c r="F246">
        <v>9</v>
      </c>
      <c r="G246">
        <v>49</v>
      </c>
      <c r="H246" t="s">
        <v>16</v>
      </c>
      <c r="I246">
        <v>628.42999999999995</v>
      </c>
      <c r="J246" t="str">
        <f t="shared" si="3"/>
        <v>Low</v>
      </c>
    </row>
    <row r="247" spans="1:10" x14ac:dyDescent="0.25">
      <c r="A247">
        <v>232</v>
      </c>
      <c r="B247">
        <v>66</v>
      </c>
      <c r="C247" t="s">
        <v>12</v>
      </c>
      <c r="D247" s="3">
        <v>144573</v>
      </c>
      <c r="E247">
        <v>41</v>
      </c>
      <c r="F247">
        <v>7</v>
      </c>
      <c r="G247">
        <v>24</v>
      </c>
      <c r="H247" t="s">
        <v>16</v>
      </c>
      <c r="I247">
        <v>66.599999999999994</v>
      </c>
      <c r="J247" t="str">
        <f t="shared" si="3"/>
        <v>Medium</v>
      </c>
    </row>
    <row r="248" spans="1:10" x14ac:dyDescent="0.25">
      <c r="A248">
        <v>259</v>
      </c>
      <c r="B248">
        <v>68</v>
      </c>
      <c r="C248" t="s">
        <v>12</v>
      </c>
      <c r="D248" s="3">
        <v>49725</v>
      </c>
      <c r="E248">
        <v>59</v>
      </c>
      <c r="F248">
        <v>2</v>
      </c>
      <c r="G248">
        <v>35</v>
      </c>
      <c r="H248" t="s">
        <v>16</v>
      </c>
      <c r="I248">
        <v>12.36</v>
      </c>
      <c r="J248" t="str">
        <f t="shared" si="3"/>
        <v>Medium</v>
      </c>
    </row>
    <row r="249" spans="1:10" x14ac:dyDescent="0.25">
      <c r="A249">
        <v>271</v>
      </c>
      <c r="B249">
        <v>69</v>
      </c>
      <c r="C249" t="s">
        <v>12</v>
      </c>
      <c r="D249" s="3">
        <v>47458</v>
      </c>
      <c r="E249">
        <v>14</v>
      </c>
      <c r="F249">
        <v>2</v>
      </c>
      <c r="G249">
        <v>10</v>
      </c>
      <c r="H249" t="s">
        <v>16</v>
      </c>
      <c r="I249">
        <v>874.32</v>
      </c>
      <c r="J249" t="str">
        <f t="shared" si="3"/>
        <v>Low</v>
      </c>
    </row>
    <row r="250" spans="1:10" x14ac:dyDescent="0.25">
      <c r="A250">
        <v>299</v>
      </c>
      <c r="B250">
        <v>59</v>
      </c>
      <c r="C250" t="s">
        <v>12</v>
      </c>
      <c r="D250" s="3">
        <v>36383</v>
      </c>
      <c r="E250">
        <v>5</v>
      </c>
      <c r="F250">
        <v>6</v>
      </c>
      <c r="G250">
        <v>31</v>
      </c>
      <c r="H250" t="s">
        <v>16</v>
      </c>
      <c r="I250">
        <v>82.77</v>
      </c>
      <c r="J250" t="str">
        <f t="shared" si="3"/>
        <v>Low</v>
      </c>
    </row>
    <row r="251" spans="1:10" x14ac:dyDescent="0.25">
      <c r="A251">
        <v>314</v>
      </c>
      <c r="B251">
        <v>44</v>
      </c>
      <c r="C251" t="s">
        <v>12</v>
      </c>
      <c r="D251" s="3">
        <v>141748</v>
      </c>
      <c r="E251">
        <v>55</v>
      </c>
      <c r="F251">
        <v>2</v>
      </c>
      <c r="G251">
        <v>50</v>
      </c>
      <c r="H251" t="s">
        <v>16</v>
      </c>
      <c r="I251">
        <v>897.57</v>
      </c>
      <c r="J251" t="str">
        <f t="shared" si="3"/>
        <v>Medium</v>
      </c>
    </row>
    <row r="252" spans="1:10" x14ac:dyDescent="0.25">
      <c r="A252">
        <v>330</v>
      </c>
      <c r="B252">
        <v>28</v>
      </c>
      <c r="C252" t="s">
        <v>12</v>
      </c>
      <c r="D252" s="3">
        <v>51087</v>
      </c>
      <c r="E252">
        <v>60</v>
      </c>
      <c r="F252">
        <v>4</v>
      </c>
      <c r="G252">
        <v>42</v>
      </c>
      <c r="H252" t="s">
        <v>16</v>
      </c>
      <c r="I252">
        <v>68.31</v>
      </c>
      <c r="J252" t="str">
        <f t="shared" si="3"/>
        <v>Medium</v>
      </c>
    </row>
    <row r="253" spans="1:10" x14ac:dyDescent="0.25">
      <c r="A253">
        <v>331</v>
      </c>
      <c r="B253">
        <v>30</v>
      </c>
      <c r="C253" t="s">
        <v>12</v>
      </c>
      <c r="D253" s="3">
        <v>90651</v>
      </c>
      <c r="E253">
        <v>88</v>
      </c>
      <c r="F253">
        <v>9</v>
      </c>
      <c r="G253">
        <v>37</v>
      </c>
      <c r="H253" t="s">
        <v>16</v>
      </c>
      <c r="I253">
        <v>555.41</v>
      </c>
      <c r="J253" t="str">
        <f t="shared" si="3"/>
        <v>High</v>
      </c>
    </row>
    <row r="254" spans="1:10" x14ac:dyDescent="0.25">
      <c r="A254">
        <v>335</v>
      </c>
      <c r="B254">
        <v>60</v>
      </c>
      <c r="C254" t="s">
        <v>12</v>
      </c>
      <c r="D254" s="3">
        <v>145308</v>
      </c>
      <c r="E254">
        <v>83</v>
      </c>
      <c r="F254">
        <v>3</v>
      </c>
      <c r="G254">
        <v>31</v>
      </c>
      <c r="H254" t="s">
        <v>16</v>
      </c>
      <c r="I254">
        <v>53.26</v>
      </c>
      <c r="J254" t="str">
        <f t="shared" si="3"/>
        <v>High</v>
      </c>
    </row>
    <row r="255" spans="1:10" x14ac:dyDescent="0.25">
      <c r="A255">
        <v>337</v>
      </c>
      <c r="B255">
        <v>58</v>
      </c>
      <c r="C255" t="s">
        <v>12</v>
      </c>
      <c r="D255" s="3">
        <v>60768</v>
      </c>
      <c r="E255">
        <v>88</v>
      </c>
      <c r="F255">
        <v>2</v>
      </c>
      <c r="G255">
        <v>38</v>
      </c>
      <c r="H255" t="s">
        <v>16</v>
      </c>
      <c r="I255">
        <v>67.52</v>
      </c>
      <c r="J255" t="str">
        <f t="shared" si="3"/>
        <v>High</v>
      </c>
    </row>
    <row r="256" spans="1:10" x14ac:dyDescent="0.25">
      <c r="A256">
        <v>359</v>
      </c>
      <c r="B256">
        <v>50</v>
      </c>
      <c r="C256" t="s">
        <v>12</v>
      </c>
      <c r="D256" s="3">
        <v>85888</v>
      </c>
      <c r="E256">
        <v>19</v>
      </c>
      <c r="F256">
        <v>2</v>
      </c>
      <c r="G256">
        <v>25</v>
      </c>
      <c r="H256" t="s">
        <v>16</v>
      </c>
      <c r="I256">
        <v>910.52</v>
      </c>
      <c r="J256" t="str">
        <f t="shared" si="3"/>
        <v>Low</v>
      </c>
    </row>
    <row r="257" spans="1:10" x14ac:dyDescent="0.25">
      <c r="A257">
        <v>371</v>
      </c>
      <c r="B257">
        <v>20</v>
      </c>
      <c r="C257" t="s">
        <v>12</v>
      </c>
      <c r="D257" s="3">
        <v>87520</v>
      </c>
      <c r="E257">
        <v>93</v>
      </c>
      <c r="F257">
        <v>4</v>
      </c>
      <c r="G257">
        <v>3</v>
      </c>
      <c r="H257" t="s">
        <v>16</v>
      </c>
      <c r="I257">
        <v>459.87</v>
      </c>
      <c r="J257" t="str">
        <f t="shared" si="3"/>
        <v>High</v>
      </c>
    </row>
    <row r="258" spans="1:10" x14ac:dyDescent="0.25">
      <c r="A258">
        <v>386</v>
      </c>
      <c r="B258">
        <v>69</v>
      </c>
      <c r="C258" t="s">
        <v>12</v>
      </c>
      <c r="D258" s="3">
        <v>105810</v>
      </c>
      <c r="E258">
        <v>57</v>
      </c>
      <c r="F258">
        <v>6</v>
      </c>
      <c r="G258">
        <v>28</v>
      </c>
      <c r="H258" t="s">
        <v>16</v>
      </c>
      <c r="I258">
        <v>985.94</v>
      </c>
      <c r="J258" t="str">
        <f t="shared" ref="J258:J321" si="4">IF(E258&lt;33,"Low",IF(E258&lt;66,"Medium","High"))</f>
        <v>Medium</v>
      </c>
    </row>
    <row r="259" spans="1:10" x14ac:dyDescent="0.25">
      <c r="A259">
        <v>404</v>
      </c>
      <c r="B259">
        <v>36</v>
      </c>
      <c r="C259" t="s">
        <v>12</v>
      </c>
      <c r="D259" s="3">
        <v>30121</v>
      </c>
      <c r="E259">
        <v>39</v>
      </c>
      <c r="F259">
        <v>10</v>
      </c>
      <c r="G259">
        <v>16</v>
      </c>
      <c r="H259" t="s">
        <v>16</v>
      </c>
      <c r="I259">
        <v>233.08</v>
      </c>
      <c r="J259" t="str">
        <f t="shared" si="4"/>
        <v>Medium</v>
      </c>
    </row>
    <row r="260" spans="1:10" x14ac:dyDescent="0.25">
      <c r="A260">
        <v>415</v>
      </c>
      <c r="B260">
        <v>57</v>
      </c>
      <c r="C260" t="s">
        <v>12</v>
      </c>
      <c r="D260" s="3">
        <v>52164</v>
      </c>
      <c r="E260">
        <v>53</v>
      </c>
      <c r="F260">
        <v>3</v>
      </c>
      <c r="G260">
        <v>36</v>
      </c>
      <c r="H260" t="s">
        <v>16</v>
      </c>
      <c r="I260">
        <v>710.84</v>
      </c>
      <c r="J260" t="str">
        <f t="shared" si="4"/>
        <v>Medium</v>
      </c>
    </row>
    <row r="261" spans="1:10" x14ac:dyDescent="0.25">
      <c r="A261">
        <v>424</v>
      </c>
      <c r="B261">
        <v>56</v>
      </c>
      <c r="C261" t="s">
        <v>12</v>
      </c>
      <c r="D261" s="3">
        <v>134502</v>
      </c>
      <c r="E261">
        <v>46</v>
      </c>
      <c r="F261">
        <v>5</v>
      </c>
      <c r="G261">
        <v>5</v>
      </c>
      <c r="H261" t="s">
        <v>16</v>
      </c>
      <c r="I261">
        <v>394.49</v>
      </c>
      <c r="J261" t="str">
        <f t="shared" si="4"/>
        <v>Medium</v>
      </c>
    </row>
    <row r="262" spans="1:10" x14ac:dyDescent="0.25">
      <c r="A262">
        <v>431</v>
      </c>
      <c r="B262">
        <v>40</v>
      </c>
      <c r="C262" t="s">
        <v>12</v>
      </c>
      <c r="D262" s="3">
        <v>99618</v>
      </c>
      <c r="E262">
        <v>80</v>
      </c>
      <c r="F262">
        <v>4</v>
      </c>
      <c r="G262">
        <v>22</v>
      </c>
      <c r="H262" t="s">
        <v>16</v>
      </c>
      <c r="I262">
        <v>15.04</v>
      </c>
      <c r="J262" t="str">
        <f t="shared" si="4"/>
        <v>High</v>
      </c>
    </row>
    <row r="263" spans="1:10" x14ac:dyDescent="0.25">
      <c r="A263">
        <v>458</v>
      </c>
      <c r="B263">
        <v>62</v>
      </c>
      <c r="C263" t="s">
        <v>12</v>
      </c>
      <c r="D263" s="3">
        <v>32827</v>
      </c>
      <c r="E263">
        <v>69</v>
      </c>
      <c r="F263">
        <v>8</v>
      </c>
      <c r="G263">
        <v>2</v>
      </c>
      <c r="H263" t="s">
        <v>16</v>
      </c>
      <c r="I263">
        <v>468.37</v>
      </c>
      <c r="J263" t="str">
        <f t="shared" si="4"/>
        <v>High</v>
      </c>
    </row>
    <row r="264" spans="1:10" x14ac:dyDescent="0.25">
      <c r="A264">
        <v>467</v>
      </c>
      <c r="B264">
        <v>25</v>
      </c>
      <c r="C264" t="s">
        <v>12</v>
      </c>
      <c r="D264" s="3">
        <v>99668</v>
      </c>
      <c r="E264">
        <v>1</v>
      </c>
      <c r="F264">
        <v>1</v>
      </c>
      <c r="G264">
        <v>50</v>
      </c>
      <c r="H264" t="s">
        <v>16</v>
      </c>
      <c r="I264">
        <v>937.86</v>
      </c>
      <c r="J264" t="str">
        <f t="shared" si="4"/>
        <v>Low</v>
      </c>
    </row>
    <row r="265" spans="1:10" x14ac:dyDescent="0.25">
      <c r="A265">
        <v>471</v>
      </c>
      <c r="B265">
        <v>32</v>
      </c>
      <c r="C265" t="s">
        <v>12</v>
      </c>
      <c r="D265" s="3">
        <v>38683</v>
      </c>
      <c r="E265">
        <v>59</v>
      </c>
      <c r="F265">
        <v>10</v>
      </c>
      <c r="G265">
        <v>47</v>
      </c>
      <c r="H265" t="s">
        <v>16</v>
      </c>
      <c r="I265">
        <v>846.85</v>
      </c>
      <c r="J265" t="str">
        <f t="shared" si="4"/>
        <v>Medium</v>
      </c>
    </row>
    <row r="266" spans="1:10" x14ac:dyDescent="0.25">
      <c r="A266">
        <v>476</v>
      </c>
      <c r="B266">
        <v>38</v>
      </c>
      <c r="C266" t="s">
        <v>12</v>
      </c>
      <c r="D266" s="3">
        <v>144083</v>
      </c>
      <c r="E266">
        <v>23</v>
      </c>
      <c r="F266">
        <v>1</v>
      </c>
      <c r="G266">
        <v>28</v>
      </c>
      <c r="H266" t="s">
        <v>16</v>
      </c>
      <c r="I266">
        <v>158.15</v>
      </c>
      <c r="J266" t="str">
        <f t="shared" si="4"/>
        <v>Low</v>
      </c>
    </row>
    <row r="267" spans="1:10" x14ac:dyDescent="0.25">
      <c r="A267">
        <v>484</v>
      </c>
      <c r="B267">
        <v>40</v>
      </c>
      <c r="C267" t="s">
        <v>12</v>
      </c>
      <c r="D267" s="3">
        <v>61052</v>
      </c>
      <c r="E267">
        <v>44</v>
      </c>
      <c r="F267">
        <v>4</v>
      </c>
      <c r="G267">
        <v>17</v>
      </c>
      <c r="H267" t="s">
        <v>16</v>
      </c>
      <c r="I267">
        <v>135.19</v>
      </c>
      <c r="J267" t="str">
        <f t="shared" si="4"/>
        <v>Medium</v>
      </c>
    </row>
    <row r="268" spans="1:10" x14ac:dyDescent="0.25">
      <c r="A268">
        <v>499</v>
      </c>
      <c r="B268">
        <v>25</v>
      </c>
      <c r="C268" t="s">
        <v>12</v>
      </c>
      <c r="D268" s="3">
        <v>33065</v>
      </c>
      <c r="E268">
        <v>61</v>
      </c>
      <c r="F268">
        <v>7</v>
      </c>
      <c r="G268">
        <v>40</v>
      </c>
      <c r="H268" t="s">
        <v>16</v>
      </c>
      <c r="I268">
        <v>317.98</v>
      </c>
      <c r="J268" t="str">
        <f t="shared" si="4"/>
        <v>Medium</v>
      </c>
    </row>
    <row r="269" spans="1:10" x14ac:dyDescent="0.25">
      <c r="A269">
        <v>515</v>
      </c>
      <c r="B269">
        <v>28</v>
      </c>
      <c r="C269" t="s">
        <v>12</v>
      </c>
      <c r="D269" s="3">
        <v>66961</v>
      </c>
      <c r="E269">
        <v>8</v>
      </c>
      <c r="F269">
        <v>10</v>
      </c>
      <c r="G269">
        <v>22</v>
      </c>
      <c r="H269" t="s">
        <v>16</v>
      </c>
      <c r="I269">
        <v>179.82</v>
      </c>
      <c r="J269" t="str">
        <f t="shared" si="4"/>
        <v>Low</v>
      </c>
    </row>
    <row r="270" spans="1:10" x14ac:dyDescent="0.25">
      <c r="A270">
        <v>538</v>
      </c>
      <c r="B270">
        <v>39</v>
      </c>
      <c r="C270" t="s">
        <v>12</v>
      </c>
      <c r="D270" s="3">
        <v>49970</v>
      </c>
      <c r="E270">
        <v>53</v>
      </c>
      <c r="F270">
        <v>5</v>
      </c>
      <c r="G270">
        <v>24</v>
      </c>
      <c r="H270" t="s">
        <v>16</v>
      </c>
      <c r="I270">
        <v>728.58</v>
      </c>
      <c r="J270" t="str">
        <f t="shared" si="4"/>
        <v>Medium</v>
      </c>
    </row>
    <row r="271" spans="1:10" x14ac:dyDescent="0.25">
      <c r="A271">
        <v>540</v>
      </c>
      <c r="B271">
        <v>36</v>
      </c>
      <c r="C271" t="s">
        <v>12</v>
      </c>
      <c r="D271" s="3">
        <v>37595</v>
      </c>
      <c r="E271">
        <v>88</v>
      </c>
      <c r="F271">
        <v>8</v>
      </c>
      <c r="G271">
        <v>49</v>
      </c>
      <c r="H271" t="s">
        <v>16</v>
      </c>
      <c r="I271">
        <v>600.48</v>
      </c>
      <c r="J271" t="str">
        <f t="shared" si="4"/>
        <v>High</v>
      </c>
    </row>
    <row r="272" spans="1:10" x14ac:dyDescent="0.25">
      <c r="A272">
        <v>562</v>
      </c>
      <c r="B272">
        <v>18</v>
      </c>
      <c r="C272" t="s">
        <v>12</v>
      </c>
      <c r="D272" s="3">
        <v>143235</v>
      </c>
      <c r="E272">
        <v>46</v>
      </c>
      <c r="F272">
        <v>10</v>
      </c>
      <c r="G272">
        <v>31</v>
      </c>
      <c r="H272" t="s">
        <v>16</v>
      </c>
      <c r="I272">
        <v>143.75</v>
      </c>
      <c r="J272" t="str">
        <f t="shared" si="4"/>
        <v>Medium</v>
      </c>
    </row>
    <row r="273" spans="1:10" x14ac:dyDescent="0.25">
      <c r="A273">
        <v>563</v>
      </c>
      <c r="B273">
        <v>23</v>
      </c>
      <c r="C273" t="s">
        <v>12</v>
      </c>
      <c r="D273" s="3">
        <v>143899</v>
      </c>
      <c r="E273">
        <v>10</v>
      </c>
      <c r="F273">
        <v>3</v>
      </c>
      <c r="G273">
        <v>47</v>
      </c>
      <c r="H273" t="s">
        <v>16</v>
      </c>
      <c r="I273">
        <v>361.81</v>
      </c>
      <c r="J273" t="str">
        <f t="shared" si="4"/>
        <v>Low</v>
      </c>
    </row>
    <row r="274" spans="1:10" x14ac:dyDescent="0.25">
      <c r="A274">
        <v>616</v>
      </c>
      <c r="B274">
        <v>43</v>
      </c>
      <c r="C274" t="s">
        <v>12</v>
      </c>
      <c r="D274" s="3">
        <v>38012</v>
      </c>
      <c r="E274">
        <v>55</v>
      </c>
      <c r="F274">
        <v>3</v>
      </c>
      <c r="G274">
        <v>24</v>
      </c>
      <c r="H274" t="s">
        <v>16</v>
      </c>
      <c r="I274">
        <v>943.37</v>
      </c>
      <c r="J274" t="str">
        <f t="shared" si="4"/>
        <v>Medium</v>
      </c>
    </row>
    <row r="275" spans="1:10" x14ac:dyDescent="0.25">
      <c r="A275">
        <v>626</v>
      </c>
      <c r="B275">
        <v>19</v>
      </c>
      <c r="C275" t="s">
        <v>12</v>
      </c>
      <c r="D275" s="3">
        <v>138008</v>
      </c>
      <c r="E275">
        <v>8</v>
      </c>
      <c r="F275">
        <v>9</v>
      </c>
      <c r="G275">
        <v>15</v>
      </c>
      <c r="H275" t="s">
        <v>16</v>
      </c>
      <c r="I275">
        <v>116.8</v>
      </c>
      <c r="J275" t="str">
        <f t="shared" si="4"/>
        <v>Low</v>
      </c>
    </row>
    <row r="276" spans="1:10" x14ac:dyDescent="0.25">
      <c r="A276">
        <v>629</v>
      </c>
      <c r="B276">
        <v>65</v>
      </c>
      <c r="C276" t="s">
        <v>12</v>
      </c>
      <c r="D276" s="3">
        <v>84223</v>
      </c>
      <c r="E276">
        <v>83</v>
      </c>
      <c r="F276">
        <v>7</v>
      </c>
      <c r="G276">
        <v>46</v>
      </c>
      <c r="H276" t="s">
        <v>16</v>
      </c>
      <c r="I276">
        <v>971.93</v>
      </c>
      <c r="J276" t="str">
        <f t="shared" si="4"/>
        <v>High</v>
      </c>
    </row>
    <row r="277" spans="1:10" x14ac:dyDescent="0.25">
      <c r="A277">
        <v>639</v>
      </c>
      <c r="B277">
        <v>68</v>
      </c>
      <c r="C277" t="s">
        <v>12</v>
      </c>
      <c r="D277" s="3">
        <v>57700</v>
      </c>
      <c r="E277">
        <v>70</v>
      </c>
      <c r="F277">
        <v>8</v>
      </c>
      <c r="G277">
        <v>46</v>
      </c>
      <c r="H277" t="s">
        <v>16</v>
      </c>
      <c r="I277">
        <v>178.21</v>
      </c>
      <c r="J277" t="str">
        <f t="shared" si="4"/>
        <v>High</v>
      </c>
    </row>
    <row r="278" spans="1:10" x14ac:dyDescent="0.25">
      <c r="A278">
        <v>696</v>
      </c>
      <c r="B278">
        <v>61</v>
      </c>
      <c r="C278" t="s">
        <v>12</v>
      </c>
      <c r="D278" s="3">
        <v>89720</v>
      </c>
      <c r="E278">
        <v>4</v>
      </c>
      <c r="F278">
        <v>9</v>
      </c>
      <c r="G278">
        <v>8</v>
      </c>
      <c r="H278" t="s">
        <v>16</v>
      </c>
      <c r="I278">
        <v>795.49</v>
      </c>
      <c r="J278" t="str">
        <f t="shared" si="4"/>
        <v>Low</v>
      </c>
    </row>
    <row r="279" spans="1:10" x14ac:dyDescent="0.25">
      <c r="A279">
        <v>701</v>
      </c>
      <c r="B279">
        <v>31</v>
      </c>
      <c r="C279" t="s">
        <v>12</v>
      </c>
      <c r="D279" s="3">
        <v>148121</v>
      </c>
      <c r="E279">
        <v>34</v>
      </c>
      <c r="F279">
        <v>9</v>
      </c>
      <c r="G279">
        <v>32</v>
      </c>
      <c r="H279" t="s">
        <v>16</v>
      </c>
      <c r="I279">
        <v>753.49</v>
      </c>
      <c r="J279" t="str">
        <f t="shared" si="4"/>
        <v>Medium</v>
      </c>
    </row>
    <row r="280" spans="1:10" x14ac:dyDescent="0.25">
      <c r="A280">
        <v>721</v>
      </c>
      <c r="B280">
        <v>27</v>
      </c>
      <c r="C280" t="s">
        <v>12</v>
      </c>
      <c r="D280" s="3">
        <v>114848</v>
      </c>
      <c r="E280">
        <v>66</v>
      </c>
      <c r="F280">
        <v>10</v>
      </c>
      <c r="G280">
        <v>38</v>
      </c>
      <c r="H280" t="s">
        <v>16</v>
      </c>
      <c r="I280">
        <v>912.58</v>
      </c>
      <c r="J280" t="str">
        <f t="shared" si="4"/>
        <v>High</v>
      </c>
    </row>
    <row r="281" spans="1:10" x14ac:dyDescent="0.25">
      <c r="A281">
        <v>723</v>
      </c>
      <c r="B281">
        <v>20</v>
      </c>
      <c r="C281" t="s">
        <v>12</v>
      </c>
      <c r="D281" s="3">
        <v>48504</v>
      </c>
      <c r="E281">
        <v>27</v>
      </c>
      <c r="F281">
        <v>3</v>
      </c>
      <c r="G281">
        <v>28</v>
      </c>
      <c r="H281" t="s">
        <v>16</v>
      </c>
      <c r="I281">
        <v>658.54</v>
      </c>
      <c r="J281" t="str">
        <f t="shared" si="4"/>
        <v>Low</v>
      </c>
    </row>
    <row r="282" spans="1:10" x14ac:dyDescent="0.25">
      <c r="A282">
        <v>747</v>
      </c>
      <c r="B282">
        <v>26</v>
      </c>
      <c r="C282" t="s">
        <v>12</v>
      </c>
      <c r="D282" s="3">
        <v>44725</v>
      </c>
      <c r="E282">
        <v>40</v>
      </c>
      <c r="F282">
        <v>10</v>
      </c>
      <c r="G282">
        <v>17</v>
      </c>
      <c r="H282" t="s">
        <v>16</v>
      </c>
      <c r="I282">
        <v>307.42</v>
      </c>
      <c r="J282" t="str">
        <f t="shared" si="4"/>
        <v>Medium</v>
      </c>
    </row>
    <row r="283" spans="1:10" x14ac:dyDescent="0.25">
      <c r="A283">
        <v>751</v>
      </c>
      <c r="B283">
        <v>63</v>
      </c>
      <c r="C283" t="s">
        <v>12</v>
      </c>
      <c r="D283" s="3">
        <v>37201</v>
      </c>
      <c r="E283">
        <v>60</v>
      </c>
      <c r="F283">
        <v>6</v>
      </c>
      <c r="G283">
        <v>46</v>
      </c>
      <c r="H283" t="s">
        <v>16</v>
      </c>
      <c r="I283">
        <v>90.96</v>
      </c>
      <c r="J283" t="str">
        <f t="shared" si="4"/>
        <v>Medium</v>
      </c>
    </row>
    <row r="284" spans="1:10" x14ac:dyDescent="0.25">
      <c r="A284">
        <v>754</v>
      </c>
      <c r="B284">
        <v>52</v>
      </c>
      <c r="C284" t="s">
        <v>12</v>
      </c>
      <c r="D284" s="3">
        <v>49342</v>
      </c>
      <c r="E284">
        <v>77</v>
      </c>
      <c r="F284">
        <v>7</v>
      </c>
      <c r="G284">
        <v>29</v>
      </c>
      <c r="H284" t="s">
        <v>16</v>
      </c>
      <c r="I284">
        <v>622.86</v>
      </c>
      <c r="J284" t="str">
        <f t="shared" si="4"/>
        <v>High</v>
      </c>
    </row>
    <row r="285" spans="1:10" x14ac:dyDescent="0.25">
      <c r="A285">
        <v>770</v>
      </c>
      <c r="B285">
        <v>61</v>
      </c>
      <c r="C285" t="s">
        <v>12</v>
      </c>
      <c r="D285" s="3">
        <v>32692</v>
      </c>
      <c r="E285">
        <v>18</v>
      </c>
      <c r="F285">
        <v>8</v>
      </c>
      <c r="G285">
        <v>28</v>
      </c>
      <c r="H285" t="s">
        <v>16</v>
      </c>
      <c r="I285">
        <v>709.33</v>
      </c>
      <c r="J285" t="str">
        <f t="shared" si="4"/>
        <v>Low</v>
      </c>
    </row>
    <row r="286" spans="1:10" x14ac:dyDescent="0.25">
      <c r="A286">
        <v>802</v>
      </c>
      <c r="B286">
        <v>51</v>
      </c>
      <c r="C286" t="s">
        <v>12</v>
      </c>
      <c r="D286" s="3">
        <v>107033</v>
      </c>
      <c r="E286">
        <v>96</v>
      </c>
      <c r="F286">
        <v>3</v>
      </c>
      <c r="G286">
        <v>42</v>
      </c>
      <c r="H286" t="s">
        <v>16</v>
      </c>
      <c r="I286">
        <v>992.17</v>
      </c>
      <c r="J286" t="str">
        <f t="shared" si="4"/>
        <v>High</v>
      </c>
    </row>
    <row r="287" spans="1:10" x14ac:dyDescent="0.25">
      <c r="A287">
        <v>803</v>
      </c>
      <c r="B287">
        <v>64</v>
      </c>
      <c r="C287" t="s">
        <v>12</v>
      </c>
      <c r="D287" s="3">
        <v>127745</v>
      </c>
      <c r="E287">
        <v>72</v>
      </c>
      <c r="F287">
        <v>2</v>
      </c>
      <c r="G287">
        <v>11</v>
      </c>
      <c r="H287" t="s">
        <v>16</v>
      </c>
      <c r="I287">
        <v>192.17</v>
      </c>
      <c r="J287" t="str">
        <f t="shared" si="4"/>
        <v>High</v>
      </c>
    </row>
    <row r="288" spans="1:10" x14ac:dyDescent="0.25">
      <c r="A288">
        <v>806</v>
      </c>
      <c r="B288">
        <v>49</v>
      </c>
      <c r="C288" t="s">
        <v>12</v>
      </c>
      <c r="D288" s="3">
        <v>69864</v>
      </c>
      <c r="E288">
        <v>92</v>
      </c>
      <c r="F288">
        <v>10</v>
      </c>
      <c r="G288">
        <v>25</v>
      </c>
      <c r="H288" t="s">
        <v>16</v>
      </c>
      <c r="I288">
        <v>522.78</v>
      </c>
      <c r="J288" t="str">
        <f t="shared" si="4"/>
        <v>High</v>
      </c>
    </row>
    <row r="289" spans="1:10" x14ac:dyDescent="0.25">
      <c r="A289">
        <v>808</v>
      </c>
      <c r="B289">
        <v>33</v>
      </c>
      <c r="C289" t="s">
        <v>12</v>
      </c>
      <c r="D289" s="3">
        <v>127302</v>
      </c>
      <c r="E289">
        <v>43</v>
      </c>
      <c r="F289">
        <v>1</v>
      </c>
      <c r="G289">
        <v>40</v>
      </c>
      <c r="H289" t="s">
        <v>16</v>
      </c>
      <c r="I289">
        <v>785.52</v>
      </c>
      <c r="J289" t="str">
        <f t="shared" si="4"/>
        <v>Medium</v>
      </c>
    </row>
    <row r="290" spans="1:10" x14ac:dyDescent="0.25">
      <c r="A290">
        <v>826</v>
      </c>
      <c r="B290">
        <v>48</v>
      </c>
      <c r="C290" t="s">
        <v>12</v>
      </c>
      <c r="D290" s="3">
        <v>111795</v>
      </c>
      <c r="E290">
        <v>41</v>
      </c>
      <c r="F290">
        <v>9</v>
      </c>
      <c r="G290">
        <v>17</v>
      </c>
      <c r="H290" t="s">
        <v>16</v>
      </c>
      <c r="I290">
        <v>116.19</v>
      </c>
      <c r="J290" t="str">
        <f t="shared" si="4"/>
        <v>Medium</v>
      </c>
    </row>
    <row r="291" spans="1:10" x14ac:dyDescent="0.25">
      <c r="A291">
        <v>847</v>
      </c>
      <c r="B291">
        <v>22</v>
      </c>
      <c r="C291" t="s">
        <v>12</v>
      </c>
      <c r="D291" s="3">
        <v>134801</v>
      </c>
      <c r="E291">
        <v>47</v>
      </c>
      <c r="F291">
        <v>1</v>
      </c>
      <c r="G291">
        <v>49</v>
      </c>
      <c r="H291" t="s">
        <v>16</v>
      </c>
      <c r="I291">
        <v>292.92</v>
      </c>
      <c r="J291" t="str">
        <f t="shared" si="4"/>
        <v>Medium</v>
      </c>
    </row>
    <row r="292" spans="1:10" x14ac:dyDescent="0.25">
      <c r="A292">
        <v>874</v>
      </c>
      <c r="B292">
        <v>35</v>
      </c>
      <c r="C292" t="s">
        <v>12</v>
      </c>
      <c r="D292" s="3">
        <v>121037</v>
      </c>
      <c r="E292">
        <v>70</v>
      </c>
      <c r="F292">
        <v>1</v>
      </c>
      <c r="G292">
        <v>28</v>
      </c>
      <c r="H292" t="s">
        <v>16</v>
      </c>
      <c r="I292">
        <v>304.08</v>
      </c>
      <c r="J292" t="str">
        <f t="shared" si="4"/>
        <v>High</v>
      </c>
    </row>
    <row r="293" spans="1:10" x14ac:dyDescent="0.25">
      <c r="A293">
        <v>887</v>
      </c>
      <c r="B293">
        <v>60</v>
      </c>
      <c r="C293" t="s">
        <v>12</v>
      </c>
      <c r="D293" s="3">
        <v>98882</v>
      </c>
      <c r="E293">
        <v>38</v>
      </c>
      <c r="F293">
        <v>2</v>
      </c>
      <c r="G293">
        <v>28</v>
      </c>
      <c r="H293" t="s">
        <v>16</v>
      </c>
      <c r="I293">
        <v>940.14</v>
      </c>
      <c r="J293" t="str">
        <f t="shared" si="4"/>
        <v>Medium</v>
      </c>
    </row>
    <row r="294" spans="1:10" x14ac:dyDescent="0.25">
      <c r="A294">
        <v>888</v>
      </c>
      <c r="B294">
        <v>29</v>
      </c>
      <c r="C294" t="s">
        <v>12</v>
      </c>
      <c r="D294" s="3">
        <v>149973</v>
      </c>
      <c r="E294">
        <v>2</v>
      </c>
      <c r="F294">
        <v>2</v>
      </c>
      <c r="G294">
        <v>19</v>
      </c>
      <c r="H294" t="s">
        <v>16</v>
      </c>
      <c r="I294">
        <v>437.1</v>
      </c>
      <c r="J294" t="str">
        <f t="shared" si="4"/>
        <v>Low</v>
      </c>
    </row>
    <row r="295" spans="1:10" x14ac:dyDescent="0.25">
      <c r="A295">
        <v>916</v>
      </c>
      <c r="B295">
        <v>26</v>
      </c>
      <c r="C295" t="s">
        <v>12</v>
      </c>
      <c r="D295" s="3">
        <v>131020</v>
      </c>
      <c r="E295">
        <v>23</v>
      </c>
      <c r="F295">
        <v>7</v>
      </c>
      <c r="G295">
        <v>22</v>
      </c>
      <c r="H295" t="s">
        <v>16</v>
      </c>
      <c r="I295">
        <v>844.88</v>
      </c>
      <c r="J295" t="str">
        <f t="shared" si="4"/>
        <v>Low</v>
      </c>
    </row>
    <row r="296" spans="1:10" x14ac:dyDescent="0.25">
      <c r="A296">
        <v>924</v>
      </c>
      <c r="B296">
        <v>20</v>
      </c>
      <c r="C296" t="s">
        <v>12</v>
      </c>
      <c r="D296" s="3">
        <v>88778</v>
      </c>
      <c r="E296">
        <v>56</v>
      </c>
      <c r="F296">
        <v>2</v>
      </c>
      <c r="G296">
        <v>28</v>
      </c>
      <c r="H296" t="s">
        <v>16</v>
      </c>
      <c r="I296">
        <v>240.93</v>
      </c>
      <c r="J296" t="str">
        <f t="shared" si="4"/>
        <v>Medium</v>
      </c>
    </row>
    <row r="297" spans="1:10" x14ac:dyDescent="0.25">
      <c r="A297">
        <v>934</v>
      </c>
      <c r="B297">
        <v>47</v>
      </c>
      <c r="C297" t="s">
        <v>12</v>
      </c>
      <c r="D297" s="3">
        <v>138152</v>
      </c>
      <c r="E297">
        <v>53</v>
      </c>
      <c r="F297">
        <v>2</v>
      </c>
      <c r="G297">
        <v>38</v>
      </c>
      <c r="H297" t="s">
        <v>16</v>
      </c>
      <c r="I297">
        <v>129.08000000000001</v>
      </c>
      <c r="J297" t="str">
        <f t="shared" si="4"/>
        <v>Medium</v>
      </c>
    </row>
    <row r="298" spans="1:10" x14ac:dyDescent="0.25">
      <c r="A298">
        <v>946</v>
      </c>
      <c r="B298">
        <v>59</v>
      </c>
      <c r="C298" t="s">
        <v>12</v>
      </c>
      <c r="D298" s="3">
        <v>149936</v>
      </c>
      <c r="E298">
        <v>80</v>
      </c>
      <c r="F298">
        <v>7</v>
      </c>
      <c r="G298">
        <v>37</v>
      </c>
      <c r="H298" t="s">
        <v>16</v>
      </c>
      <c r="I298">
        <v>406.6</v>
      </c>
      <c r="J298" t="str">
        <f t="shared" si="4"/>
        <v>High</v>
      </c>
    </row>
    <row r="299" spans="1:10" x14ac:dyDescent="0.25">
      <c r="A299">
        <v>962</v>
      </c>
      <c r="B299">
        <v>60</v>
      </c>
      <c r="C299" t="s">
        <v>12</v>
      </c>
      <c r="D299" s="3">
        <v>98537</v>
      </c>
      <c r="E299">
        <v>71</v>
      </c>
      <c r="F299">
        <v>9</v>
      </c>
      <c r="G299">
        <v>45</v>
      </c>
      <c r="H299" t="s">
        <v>16</v>
      </c>
      <c r="I299">
        <v>725.67</v>
      </c>
      <c r="J299" t="str">
        <f t="shared" si="4"/>
        <v>High</v>
      </c>
    </row>
    <row r="300" spans="1:10" x14ac:dyDescent="0.25">
      <c r="A300">
        <v>973</v>
      </c>
      <c r="B300">
        <v>43</v>
      </c>
      <c r="C300" t="s">
        <v>12</v>
      </c>
      <c r="D300" s="3">
        <v>130645</v>
      </c>
      <c r="E300">
        <v>34</v>
      </c>
      <c r="F300">
        <v>10</v>
      </c>
      <c r="G300">
        <v>5</v>
      </c>
      <c r="H300" t="s">
        <v>16</v>
      </c>
      <c r="I300">
        <v>833.69</v>
      </c>
      <c r="J300" t="str">
        <f t="shared" si="4"/>
        <v>Medium</v>
      </c>
    </row>
    <row r="301" spans="1:10" x14ac:dyDescent="0.25">
      <c r="A301">
        <v>977</v>
      </c>
      <c r="B301">
        <v>37</v>
      </c>
      <c r="C301" t="s">
        <v>12</v>
      </c>
      <c r="D301" s="3">
        <v>100314</v>
      </c>
      <c r="E301">
        <v>71</v>
      </c>
      <c r="F301">
        <v>5</v>
      </c>
      <c r="G301">
        <v>19</v>
      </c>
      <c r="H301" t="s">
        <v>16</v>
      </c>
      <c r="I301">
        <v>692.74</v>
      </c>
      <c r="J301" t="str">
        <f t="shared" si="4"/>
        <v>High</v>
      </c>
    </row>
    <row r="302" spans="1:10" x14ac:dyDescent="0.25">
      <c r="A302">
        <v>988</v>
      </c>
      <c r="B302">
        <v>26</v>
      </c>
      <c r="C302" t="s">
        <v>12</v>
      </c>
      <c r="D302" s="3">
        <v>148451</v>
      </c>
      <c r="E302">
        <v>78</v>
      </c>
      <c r="F302">
        <v>5</v>
      </c>
      <c r="G302">
        <v>14</v>
      </c>
      <c r="H302" t="s">
        <v>16</v>
      </c>
      <c r="I302">
        <v>99.19</v>
      </c>
      <c r="J302" t="str">
        <f t="shared" si="4"/>
        <v>High</v>
      </c>
    </row>
    <row r="303" spans="1:10" x14ac:dyDescent="0.25">
      <c r="A303">
        <v>16</v>
      </c>
      <c r="B303">
        <v>53</v>
      </c>
      <c r="C303" t="s">
        <v>12</v>
      </c>
      <c r="D303" s="3">
        <v>129284</v>
      </c>
      <c r="E303">
        <v>17</v>
      </c>
      <c r="F303">
        <v>6</v>
      </c>
      <c r="G303">
        <v>26</v>
      </c>
      <c r="H303" t="s">
        <v>17</v>
      </c>
      <c r="I303">
        <v>225.4</v>
      </c>
      <c r="J303" t="str">
        <f t="shared" si="4"/>
        <v>Low</v>
      </c>
    </row>
    <row r="304" spans="1:10" x14ac:dyDescent="0.25">
      <c r="A304">
        <v>17</v>
      </c>
      <c r="B304">
        <v>57</v>
      </c>
      <c r="C304" t="s">
        <v>12</v>
      </c>
      <c r="D304" s="3">
        <v>102535</v>
      </c>
      <c r="E304">
        <v>29</v>
      </c>
      <c r="F304">
        <v>5</v>
      </c>
      <c r="G304">
        <v>13</v>
      </c>
      <c r="H304" t="s">
        <v>17</v>
      </c>
      <c r="I304">
        <v>378.47</v>
      </c>
      <c r="J304" t="str">
        <f t="shared" si="4"/>
        <v>Low</v>
      </c>
    </row>
    <row r="305" spans="1:10" x14ac:dyDescent="0.25">
      <c r="A305">
        <v>42</v>
      </c>
      <c r="B305">
        <v>52</v>
      </c>
      <c r="C305" t="s">
        <v>12</v>
      </c>
      <c r="D305" s="3">
        <v>115529</v>
      </c>
      <c r="E305">
        <v>70</v>
      </c>
      <c r="F305">
        <v>2</v>
      </c>
      <c r="G305">
        <v>34</v>
      </c>
      <c r="H305" t="s">
        <v>17</v>
      </c>
      <c r="I305">
        <v>192.66</v>
      </c>
      <c r="J305" t="str">
        <f t="shared" si="4"/>
        <v>High</v>
      </c>
    </row>
    <row r="306" spans="1:10" x14ac:dyDescent="0.25">
      <c r="A306">
        <v>85</v>
      </c>
      <c r="B306">
        <v>19</v>
      </c>
      <c r="C306" t="s">
        <v>12</v>
      </c>
      <c r="D306" s="3">
        <v>101100</v>
      </c>
      <c r="E306">
        <v>43</v>
      </c>
      <c r="F306">
        <v>3</v>
      </c>
      <c r="G306">
        <v>14</v>
      </c>
      <c r="H306" t="s">
        <v>17</v>
      </c>
      <c r="I306">
        <v>392.36</v>
      </c>
      <c r="J306" t="str">
        <f t="shared" si="4"/>
        <v>Medium</v>
      </c>
    </row>
    <row r="307" spans="1:10" x14ac:dyDescent="0.25">
      <c r="A307">
        <v>96</v>
      </c>
      <c r="B307">
        <v>23</v>
      </c>
      <c r="C307" t="s">
        <v>12</v>
      </c>
      <c r="D307" s="3">
        <v>108480</v>
      </c>
      <c r="E307">
        <v>46</v>
      </c>
      <c r="F307">
        <v>10</v>
      </c>
      <c r="G307">
        <v>21</v>
      </c>
      <c r="H307" t="s">
        <v>17</v>
      </c>
      <c r="I307">
        <v>377.31</v>
      </c>
      <c r="J307" t="str">
        <f t="shared" si="4"/>
        <v>Medium</v>
      </c>
    </row>
    <row r="308" spans="1:10" x14ac:dyDescent="0.25">
      <c r="A308">
        <v>98</v>
      </c>
      <c r="B308">
        <v>49</v>
      </c>
      <c r="C308" t="s">
        <v>12</v>
      </c>
      <c r="D308" s="3">
        <v>46695</v>
      </c>
      <c r="E308">
        <v>99</v>
      </c>
      <c r="F308">
        <v>9</v>
      </c>
      <c r="G308">
        <v>26</v>
      </c>
      <c r="H308" t="s">
        <v>17</v>
      </c>
      <c r="I308">
        <v>674.7</v>
      </c>
      <c r="J308" t="str">
        <f t="shared" si="4"/>
        <v>High</v>
      </c>
    </row>
    <row r="309" spans="1:10" x14ac:dyDescent="0.25">
      <c r="A309">
        <v>103</v>
      </c>
      <c r="B309">
        <v>19</v>
      </c>
      <c r="C309" t="s">
        <v>12</v>
      </c>
      <c r="D309" s="3">
        <v>75430</v>
      </c>
      <c r="E309">
        <v>50</v>
      </c>
      <c r="F309">
        <v>7</v>
      </c>
      <c r="G309">
        <v>32</v>
      </c>
      <c r="H309" t="s">
        <v>17</v>
      </c>
      <c r="I309">
        <v>532.51</v>
      </c>
      <c r="J309" t="str">
        <f t="shared" si="4"/>
        <v>Medium</v>
      </c>
    </row>
    <row r="310" spans="1:10" x14ac:dyDescent="0.25">
      <c r="A310">
        <v>112</v>
      </c>
      <c r="B310">
        <v>64</v>
      </c>
      <c r="C310" t="s">
        <v>12</v>
      </c>
      <c r="D310" s="3">
        <v>87006</v>
      </c>
      <c r="E310">
        <v>85</v>
      </c>
      <c r="F310">
        <v>7</v>
      </c>
      <c r="G310">
        <v>20</v>
      </c>
      <c r="H310" t="s">
        <v>17</v>
      </c>
      <c r="I310">
        <v>930.73</v>
      </c>
      <c r="J310" t="str">
        <f t="shared" si="4"/>
        <v>High</v>
      </c>
    </row>
    <row r="311" spans="1:10" x14ac:dyDescent="0.25">
      <c r="A311">
        <v>150</v>
      </c>
      <c r="B311">
        <v>54</v>
      </c>
      <c r="C311" t="s">
        <v>12</v>
      </c>
      <c r="D311" s="3">
        <v>100745</v>
      </c>
      <c r="E311">
        <v>29</v>
      </c>
      <c r="F311">
        <v>6</v>
      </c>
      <c r="G311">
        <v>42</v>
      </c>
      <c r="H311" t="s">
        <v>17</v>
      </c>
      <c r="I311">
        <v>335.15</v>
      </c>
      <c r="J311" t="str">
        <f t="shared" si="4"/>
        <v>Low</v>
      </c>
    </row>
    <row r="312" spans="1:10" x14ac:dyDescent="0.25">
      <c r="A312">
        <v>194</v>
      </c>
      <c r="B312">
        <v>69</v>
      </c>
      <c r="C312" t="s">
        <v>12</v>
      </c>
      <c r="D312" s="3">
        <v>74519</v>
      </c>
      <c r="E312">
        <v>95</v>
      </c>
      <c r="F312">
        <v>10</v>
      </c>
      <c r="G312">
        <v>42</v>
      </c>
      <c r="H312" t="s">
        <v>17</v>
      </c>
      <c r="I312">
        <v>931.51</v>
      </c>
      <c r="J312" t="str">
        <f t="shared" si="4"/>
        <v>High</v>
      </c>
    </row>
    <row r="313" spans="1:10" x14ac:dyDescent="0.25">
      <c r="A313">
        <v>219</v>
      </c>
      <c r="B313">
        <v>57</v>
      </c>
      <c r="C313" t="s">
        <v>12</v>
      </c>
      <c r="D313" s="3">
        <v>33009</v>
      </c>
      <c r="E313">
        <v>82</v>
      </c>
      <c r="F313">
        <v>9</v>
      </c>
      <c r="G313">
        <v>24</v>
      </c>
      <c r="H313" t="s">
        <v>17</v>
      </c>
      <c r="I313">
        <v>563.64</v>
      </c>
      <c r="J313" t="str">
        <f t="shared" si="4"/>
        <v>High</v>
      </c>
    </row>
    <row r="314" spans="1:10" x14ac:dyDescent="0.25">
      <c r="A314">
        <v>221</v>
      </c>
      <c r="B314">
        <v>62</v>
      </c>
      <c r="C314" t="s">
        <v>12</v>
      </c>
      <c r="D314" s="3">
        <v>82623</v>
      </c>
      <c r="E314">
        <v>51</v>
      </c>
      <c r="F314">
        <v>8</v>
      </c>
      <c r="G314">
        <v>37</v>
      </c>
      <c r="H314" t="s">
        <v>17</v>
      </c>
      <c r="I314">
        <v>155.13999999999999</v>
      </c>
      <c r="J314" t="str">
        <f t="shared" si="4"/>
        <v>Medium</v>
      </c>
    </row>
    <row r="315" spans="1:10" x14ac:dyDescent="0.25">
      <c r="A315">
        <v>265</v>
      </c>
      <c r="B315">
        <v>63</v>
      </c>
      <c r="C315" t="s">
        <v>12</v>
      </c>
      <c r="D315" s="3">
        <v>142287</v>
      </c>
      <c r="E315">
        <v>77</v>
      </c>
      <c r="F315">
        <v>10</v>
      </c>
      <c r="G315">
        <v>44</v>
      </c>
      <c r="H315" t="s">
        <v>17</v>
      </c>
      <c r="I315">
        <v>785.29</v>
      </c>
      <c r="J315" t="str">
        <f t="shared" si="4"/>
        <v>High</v>
      </c>
    </row>
    <row r="316" spans="1:10" x14ac:dyDescent="0.25">
      <c r="A316">
        <v>278</v>
      </c>
      <c r="B316">
        <v>63</v>
      </c>
      <c r="C316" t="s">
        <v>12</v>
      </c>
      <c r="D316" s="3">
        <v>48225</v>
      </c>
      <c r="E316">
        <v>24</v>
      </c>
      <c r="F316">
        <v>6</v>
      </c>
      <c r="G316">
        <v>14</v>
      </c>
      <c r="H316" t="s">
        <v>17</v>
      </c>
      <c r="I316">
        <v>764.05</v>
      </c>
      <c r="J316" t="str">
        <f t="shared" si="4"/>
        <v>Low</v>
      </c>
    </row>
    <row r="317" spans="1:10" x14ac:dyDescent="0.25">
      <c r="A317">
        <v>282</v>
      </c>
      <c r="B317">
        <v>34</v>
      </c>
      <c r="C317" t="s">
        <v>12</v>
      </c>
      <c r="D317" s="3">
        <v>68250</v>
      </c>
      <c r="E317">
        <v>9</v>
      </c>
      <c r="F317">
        <v>10</v>
      </c>
      <c r="G317">
        <v>26</v>
      </c>
      <c r="H317" t="s">
        <v>17</v>
      </c>
      <c r="I317">
        <v>835.06</v>
      </c>
      <c r="J317" t="str">
        <f t="shared" si="4"/>
        <v>Low</v>
      </c>
    </row>
    <row r="318" spans="1:10" x14ac:dyDescent="0.25">
      <c r="A318">
        <v>286</v>
      </c>
      <c r="B318">
        <v>51</v>
      </c>
      <c r="C318" t="s">
        <v>12</v>
      </c>
      <c r="D318" s="3">
        <v>124670</v>
      </c>
      <c r="E318">
        <v>66</v>
      </c>
      <c r="F318">
        <v>2</v>
      </c>
      <c r="G318">
        <v>43</v>
      </c>
      <c r="H318" t="s">
        <v>17</v>
      </c>
      <c r="I318">
        <v>184.8</v>
      </c>
      <c r="J318" t="str">
        <f t="shared" si="4"/>
        <v>High</v>
      </c>
    </row>
    <row r="319" spans="1:10" x14ac:dyDescent="0.25">
      <c r="A319">
        <v>287</v>
      </c>
      <c r="B319">
        <v>31</v>
      </c>
      <c r="C319" t="s">
        <v>12</v>
      </c>
      <c r="D319" s="3">
        <v>119460</v>
      </c>
      <c r="E319">
        <v>69</v>
      </c>
      <c r="F319">
        <v>2</v>
      </c>
      <c r="G319">
        <v>22</v>
      </c>
      <c r="H319" t="s">
        <v>17</v>
      </c>
      <c r="I319">
        <v>486.21</v>
      </c>
      <c r="J319" t="str">
        <f t="shared" si="4"/>
        <v>High</v>
      </c>
    </row>
    <row r="320" spans="1:10" x14ac:dyDescent="0.25">
      <c r="A320">
        <v>320</v>
      </c>
      <c r="B320">
        <v>34</v>
      </c>
      <c r="C320" t="s">
        <v>12</v>
      </c>
      <c r="D320" s="3">
        <v>31668</v>
      </c>
      <c r="E320">
        <v>43</v>
      </c>
      <c r="F320">
        <v>5</v>
      </c>
      <c r="G320">
        <v>40</v>
      </c>
      <c r="H320" t="s">
        <v>17</v>
      </c>
      <c r="I320">
        <v>117.01</v>
      </c>
      <c r="J320" t="str">
        <f t="shared" si="4"/>
        <v>Medium</v>
      </c>
    </row>
    <row r="321" spans="1:10" x14ac:dyDescent="0.25">
      <c r="A321">
        <v>327</v>
      </c>
      <c r="B321">
        <v>50</v>
      </c>
      <c r="C321" t="s">
        <v>12</v>
      </c>
      <c r="D321" s="3">
        <v>36022</v>
      </c>
      <c r="E321">
        <v>11</v>
      </c>
      <c r="F321">
        <v>6</v>
      </c>
      <c r="G321">
        <v>49</v>
      </c>
      <c r="H321" t="s">
        <v>17</v>
      </c>
      <c r="I321">
        <v>801.59</v>
      </c>
      <c r="J321" t="str">
        <f t="shared" si="4"/>
        <v>Low</v>
      </c>
    </row>
    <row r="322" spans="1:10" x14ac:dyDescent="0.25">
      <c r="A322">
        <v>345</v>
      </c>
      <c r="B322">
        <v>33</v>
      </c>
      <c r="C322" t="s">
        <v>12</v>
      </c>
      <c r="D322" s="3">
        <v>112118</v>
      </c>
      <c r="E322">
        <v>27</v>
      </c>
      <c r="F322">
        <v>10</v>
      </c>
      <c r="G322">
        <v>9</v>
      </c>
      <c r="H322" t="s">
        <v>17</v>
      </c>
      <c r="I322">
        <v>535.28</v>
      </c>
      <c r="J322" t="str">
        <f t="shared" ref="J322:J385" si="5">IF(E322&lt;33,"Low",IF(E322&lt;66,"Medium","High"))</f>
        <v>Low</v>
      </c>
    </row>
    <row r="323" spans="1:10" x14ac:dyDescent="0.25">
      <c r="A323">
        <v>402</v>
      </c>
      <c r="B323">
        <v>63</v>
      </c>
      <c r="C323" t="s">
        <v>12</v>
      </c>
      <c r="D323" s="3">
        <v>149062</v>
      </c>
      <c r="E323">
        <v>66</v>
      </c>
      <c r="F323">
        <v>9</v>
      </c>
      <c r="G323">
        <v>7</v>
      </c>
      <c r="H323" t="s">
        <v>17</v>
      </c>
      <c r="I323">
        <v>441.11</v>
      </c>
      <c r="J323" t="str">
        <f t="shared" si="5"/>
        <v>High</v>
      </c>
    </row>
    <row r="324" spans="1:10" x14ac:dyDescent="0.25">
      <c r="A324">
        <v>441</v>
      </c>
      <c r="B324">
        <v>46</v>
      </c>
      <c r="C324" t="s">
        <v>12</v>
      </c>
      <c r="D324" s="3">
        <v>68970</v>
      </c>
      <c r="E324">
        <v>50</v>
      </c>
      <c r="F324">
        <v>9</v>
      </c>
      <c r="G324">
        <v>46</v>
      </c>
      <c r="H324" t="s">
        <v>17</v>
      </c>
      <c r="I324">
        <v>392.35</v>
      </c>
      <c r="J324" t="str">
        <f t="shared" si="5"/>
        <v>Medium</v>
      </c>
    </row>
    <row r="325" spans="1:10" x14ac:dyDescent="0.25">
      <c r="A325">
        <v>463</v>
      </c>
      <c r="B325">
        <v>53</v>
      </c>
      <c r="C325" t="s">
        <v>12</v>
      </c>
      <c r="D325" s="3">
        <v>37569</v>
      </c>
      <c r="E325">
        <v>18</v>
      </c>
      <c r="F325">
        <v>8</v>
      </c>
      <c r="G325">
        <v>50</v>
      </c>
      <c r="H325" t="s">
        <v>17</v>
      </c>
      <c r="I325">
        <v>634.91999999999996</v>
      </c>
      <c r="J325" t="str">
        <f t="shared" si="5"/>
        <v>Low</v>
      </c>
    </row>
    <row r="326" spans="1:10" x14ac:dyDescent="0.25">
      <c r="A326">
        <v>468</v>
      </c>
      <c r="B326">
        <v>54</v>
      </c>
      <c r="C326" t="s">
        <v>12</v>
      </c>
      <c r="D326" s="3">
        <v>32276</v>
      </c>
      <c r="E326">
        <v>73</v>
      </c>
      <c r="F326">
        <v>2</v>
      </c>
      <c r="G326">
        <v>44</v>
      </c>
      <c r="H326" t="s">
        <v>17</v>
      </c>
      <c r="I326">
        <v>554.58000000000004</v>
      </c>
      <c r="J326" t="str">
        <f t="shared" si="5"/>
        <v>High</v>
      </c>
    </row>
    <row r="327" spans="1:10" x14ac:dyDescent="0.25">
      <c r="A327">
        <v>500</v>
      </c>
      <c r="B327">
        <v>47</v>
      </c>
      <c r="C327" t="s">
        <v>12</v>
      </c>
      <c r="D327" s="3">
        <v>69168</v>
      </c>
      <c r="E327">
        <v>16</v>
      </c>
      <c r="F327">
        <v>7</v>
      </c>
      <c r="G327">
        <v>42</v>
      </c>
      <c r="H327" t="s">
        <v>17</v>
      </c>
      <c r="I327">
        <v>638.96</v>
      </c>
      <c r="J327" t="str">
        <f t="shared" si="5"/>
        <v>Low</v>
      </c>
    </row>
    <row r="328" spans="1:10" x14ac:dyDescent="0.25">
      <c r="A328">
        <v>501</v>
      </c>
      <c r="B328">
        <v>42</v>
      </c>
      <c r="C328" t="s">
        <v>12</v>
      </c>
      <c r="D328" s="3">
        <v>129999</v>
      </c>
      <c r="E328">
        <v>73</v>
      </c>
      <c r="F328">
        <v>5</v>
      </c>
      <c r="G328">
        <v>2</v>
      </c>
      <c r="H328" t="s">
        <v>17</v>
      </c>
      <c r="I328">
        <v>942.97</v>
      </c>
      <c r="J328" t="str">
        <f t="shared" si="5"/>
        <v>High</v>
      </c>
    </row>
    <row r="329" spans="1:10" x14ac:dyDescent="0.25">
      <c r="A329">
        <v>526</v>
      </c>
      <c r="B329">
        <v>52</v>
      </c>
      <c r="C329" t="s">
        <v>12</v>
      </c>
      <c r="D329" s="3">
        <v>133701</v>
      </c>
      <c r="E329">
        <v>64</v>
      </c>
      <c r="F329">
        <v>1</v>
      </c>
      <c r="G329">
        <v>34</v>
      </c>
      <c r="H329" t="s">
        <v>17</v>
      </c>
      <c r="I329">
        <v>534.25</v>
      </c>
      <c r="J329" t="str">
        <f t="shared" si="5"/>
        <v>Medium</v>
      </c>
    </row>
    <row r="330" spans="1:10" x14ac:dyDescent="0.25">
      <c r="A330">
        <v>552</v>
      </c>
      <c r="B330">
        <v>20</v>
      </c>
      <c r="C330" t="s">
        <v>12</v>
      </c>
      <c r="D330" s="3">
        <v>51199</v>
      </c>
      <c r="E330">
        <v>100</v>
      </c>
      <c r="F330">
        <v>5</v>
      </c>
      <c r="G330">
        <v>5</v>
      </c>
      <c r="H330" t="s">
        <v>17</v>
      </c>
      <c r="I330">
        <v>889.83</v>
      </c>
      <c r="J330" t="str">
        <f t="shared" si="5"/>
        <v>High</v>
      </c>
    </row>
    <row r="331" spans="1:10" x14ac:dyDescent="0.25">
      <c r="A331">
        <v>566</v>
      </c>
      <c r="B331">
        <v>29</v>
      </c>
      <c r="C331" t="s">
        <v>12</v>
      </c>
      <c r="D331" s="3">
        <v>60262</v>
      </c>
      <c r="E331">
        <v>56</v>
      </c>
      <c r="F331">
        <v>4</v>
      </c>
      <c r="G331">
        <v>27</v>
      </c>
      <c r="H331" t="s">
        <v>17</v>
      </c>
      <c r="I331">
        <v>452.32</v>
      </c>
      <c r="J331" t="str">
        <f t="shared" si="5"/>
        <v>Medium</v>
      </c>
    </row>
    <row r="332" spans="1:10" x14ac:dyDescent="0.25">
      <c r="A332">
        <v>575</v>
      </c>
      <c r="B332">
        <v>49</v>
      </c>
      <c r="C332" t="s">
        <v>12</v>
      </c>
      <c r="D332" s="3">
        <v>55027</v>
      </c>
      <c r="E332">
        <v>62</v>
      </c>
      <c r="F332">
        <v>2</v>
      </c>
      <c r="G332">
        <v>1</v>
      </c>
      <c r="H332" t="s">
        <v>17</v>
      </c>
      <c r="I332">
        <v>962.9</v>
      </c>
      <c r="J332" t="str">
        <f t="shared" si="5"/>
        <v>Medium</v>
      </c>
    </row>
    <row r="333" spans="1:10" x14ac:dyDescent="0.25">
      <c r="A333">
        <v>581</v>
      </c>
      <c r="B333">
        <v>46</v>
      </c>
      <c r="C333" t="s">
        <v>12</v>
      </c>
      <c r="D333" s="3">
        <v>129568</v>
      </c>
      <c r="E333">
        <v>56</v>
      </c>
      <c r="F333">
        <v>10</v>
      </c>
      <c r="G333">
        <v>27</v>
      </c>
      <c r="H333" t="s">
        <v>17</v>
      </c>
      <c r="I333">
        <v>766.26</v>
      </c>
      <c r="J333" t="str">
        <f t="shared" si="5"/>
        <v>Medium</v>
      </c>
    </row>
    <row r="334" spans="1:10" x14ac:dyDescent="0.25">
      <c r="A334">
        <v>584</v>
      </c>
      <c r="B334">
        <v>30</v>
      </c>
      <c r="C334" t="s">
        <v>12</v>
      </c>
      <c r="D334" s="3">
        <v>114808</v>
      </c>
      <c r="E334">
        <v>23</v>
      </c>
      <c r="F334">
        <v>9</v>
      </c>
      <c r="G334">
        <v>6</v>
      </c>
      <c r="H334" t="s">
        <v>17</v>
      </c>
      <c r="I334">
        <v>74.08</v>
      </c>
      <c r="J334" t="str">
        <f t="shared" si="5"/>
        <v>Low</v>
      </c>
    </row>
    <row r="335" spans="1:10" x14ac:dyDescent="0.25">
      <c r="A335">
        <v>658</v>
      </c>
      <c r="B335">
        <v>61</v>
      </c>
      <c r="C335" t="s">
        <v>12</v>
      </c>
      <c r="D335" s="3">
        <v>145578</v>
      </c>
      <c r="E335">
        <v>79</v>
      </c>
      <c r="F335">
        <v>2</v>
      </c>
      <c r="G335">
        <v>34</v>
      </c>
      <c r="H335" t="s">
        <v>17</v>
      </c>
      <c r="I335">
        <v>762.06</v>
      </c>
      <c r="J335" t="str">
        <f t="shared" si="5"/>
        <v>High</v>
      </c>
    </row>
    <row r="336" spans="1:10" x14ac:dyDescent="0.25">
      <c r="A336">
        <v>669</v>
      </c>
      <c r="B336">
        <v>52</v>
      </c>
      <c r="C336" t="s">
        <v>12</v>
      </c>
      <c r="D336" s="3">
        <v>87717</v>
      </c>
      <c r="E336">
        <v>79</v>
      </c>
      <c r="F336">
        <v>6</v>
      </c>
      <c r="G336">
        <v>44</v>
      </c>
      <c r="H336" t="s">
        <v>17</v>
      </c>
      <c r="I336">
        <v>95.17</v>
      </c>
      <c r="J336" t="str">
        <f t="shared" si="5"/>
        <v>High</v>
      </c>
    </row>
    <row r="337" spans="1:10" x14ac:dyDescent="0.25">
      <c r="A337">
        <v>684</v>
      </c>
      <c r="B337">
        <v>42</v>
      </c>
      <c r="C337" t="s">
        <v>12</v>
      </c>
      <c r="D337" s="3">
        <v>56378</v>
      </c>
      <c r="E337">
        <v>8</v>
      </c>
      <c r="F337">
        <v>9</v>
      </c>
      <c r="G337">
        <v>18</v>
      </c>
      <c r="H337" t="s">
        <v>17</v>
      </c>
      <c r="I337">
        <v>880.45</v>
      </c>
      <c r="J337" t="str">
        <f t="shared" si="5"/>
        <v>Low</v>
      </c>
    </row>
    <row r="338" spans="1:10" x14ac:dyDescent="0.25">
      <c r="A338">
        <v>686</v>
      </c>
      <c r="B338">
        <v>30</v>
      </c>
      <c r="C338" t="s">
        <v>12</v>
      </c>
      <c r="D338" s="3">
        <v>115674</v>
      </c>
      <c r="E338">
        <v>78</v>
      </c>
      <c r="F338">
        <v>2</v>
      </c>
      <c r="G338">
        <v>48</v>
      </c>
      <c r="H338" t="s">
        <v>17</v>
      </c>
      <c r="I338">
        <v>621.73</v>
      </c>
      <c r="J338" t="str">
        <f t="shared" si="5"/>
        <v>High</v>
      </c>
    </row>
    <row r="339" spans="1:10" x14ac:dyDescent="0.25">
      <c r="A339">
        <v>705</v>
      </c>
      <c r="B339">
        <v>42</v>
      </c>
      <c r="C339" t="s">
        <v>12</v>
      </c>
      <c r="D339" s="3">
        <v>49140</v>
      </c>
      <c r="E339">
        <v>23</v>
      </c>
      <c r="F339">
        <v>9</v>
      </c>
      <c r="G339">
        <v>35</v>
      </c>
      <c r="H339" t="s">
        <v>17</v>
      </c>
      <c r="I339">
        <v>400.23</v>
      </c>
      <c r="J339" t="str">
        <f t="shared" si="5"/>
        <v>Low</v>
      </c>
    </row>
    <row r="340" spans="1:10" x14ac:dyDescent="0.25">
      <c r="A340">
        <v>708</v>
      </c>
      <c r="B340">
        <v>68</v>
      </c>
      <c r="C340" t="s">
        <v>12</v>
      </c>
      <c r="D340" s="3">
        <v>47482</v>
      </c>
      <c r="E340">
        <v>100</v>
      </c>
      <c r="F340">
        <v>9</v>
      </c>
      <c r="G340">
        <v>49</v>
      </c>
      <c r="H340" t="s">
        <v>17</v>
      </c>
      <c r="I340">
        <v>170.56</v>
      </c>
      <c r="J340" t="str">
        <f t="shared" si="5"/>
        <v>High</v>
      </c>
    </row>
    <row r="341" spans="1:10" x14ac:dyDescent="0.25">
      <c r="A341">
        <v>717</v>
      </c>
      <c r="B341">
        <v>47</v>
      </c>
      <c r="C341" t="s">
        <v>12</v>
      </c>
      <c r="D341" s="3">
        <v>136278</v>
      </c>
      <c r="E341">
        <v>76</v>
      </c>
      <c r="F341">
        <v>10</v>
      </c>
      <c r="G341">
        <v>48</v>
      </c>
      <c r="H341" t="s">
        <v>17</v>
      </c>
      <c r="I341">
        <v>233.64</v>
      </c>
      <c r="J341" t="str">
        <f t="shared" si="5"/>
        <v>High</v>
      </c>
    </row>
    <row r="342" spans="1:10" x14ac:dyDescent="0.25">
      <c r="A342">
        <v>737</v>
      </c>
      <c r="B342">
        <v>28</v>
      </c>
      <c r="C342" t="s">
        <v>12</v>
      </c>
      <c r="D342" s="3">
        <v>104971</v>
      </c>
      <c r="E342">
        <v>74</v>
      </c>
      <c r="F342">
        <v>4</v>
      </c>
      <c r="G342">
        <v>10</v>
      </c>
      <c r="H342" t="s">
        <v>17</v>
      </c>
      <c r="I342">
        <v>297.17</v>
      </c>
      <c r="J342" t="str">
        <f t="shared" si="5"/>
        <v>High</v>
      </c>
    </row>
    <row r="343" spans="1:10" x14ac:dyDescent="0.25">
      <c r="A343">
        <v>755</v>
      </c>
      <c r="B343">
        <v>61</v>
      </c>
      <c r="C343" t="s">
        <v>12</v>
      </c>
      <c r="D343" s="3">
        <v>59583</v>
      </c>
      <c r="E343">
        <v>11</v>
      </c>
      <c r="F343">
        <v>8</v>
      </c>
      <c r="G343">
        <v>27</v>
      </c>
      <c r="H343" t="s">
        <v>17</v>
      </c>
      <c r="I343">
        <v>744.56</v>
      </c>
      <c r="J343" t="str">
        <f t="shared" si="5"/>
        <v>Low</v>
      </c>
    </row>
    <row r="344" spans="1:10" x14ac:dyDescent="0.25">
      <c r="A344">
        <v>799</v>
      </c>
      <c r="B344">
        <v>25</v>
      </c>
      <c r="C344" t="s">
        <v>12</v>
      </c>
      <c r="D344" s="3">
        <v>107042</v>
      </c>
      <c r="E344">
        <v>27</v>
      </c>
      <c r="F344">
        <v>1</v>
      </c>
      <c r="G344">
        <v>32</v>
      </c>
      <c r="H344" t="s">
        <v>17</v>
      </c>
      <c r="I344">
        <v>648.79</v>
      </c>
      <c r="J344" t="str">
        <f t="shared" si="5"/>
        <v>Low</v>
      </c>
    </row>
    <row r="345" spans="1:10" x14ac:dyDescent="0.25">
      <c r="A345">
        <v>807</v>
      </c>
      <c r="B345">
        <v>24</v>
      </c>
      <c r="C345" t="s">
        <v>12</v>
      </c>
      <c r="D345" s="3">
        <v>68172</v>
      </c>
      <c r="E345">
        <v>6</v>
      </c>
      <c r="F345">
        <v>1</v>
      </c>
      <c r="G345">
        <v>28</v>
      </c>
      <c r="H345" t="s">
        <v>17</v>
      </c>
      <c r="I345">
        <v>445.3</v>
      </c>
      <c r="J345" t="str">
        <f t="shared" si="5"/>
        <v>Low</v>
      </c>
    </row>
    <row r="346" spans="1:10" x14ac:dyDescent="0.25">
      <c r="A346">
        <v>834</v>
      </c>
      <c r="B346">
        <v>38</v>
      </c>
      <c r="C346" t="s">
        <v>12</v>
      </c>
      <c r="D346" s="3">
        <v>101111</v>
      </c>
      <c r="E346">
        <v>98</v>
      </c>
      <c r="F346">
        <v>8</v>
      </c>
      <c r="G346">
        <v>35</v>
      </c>
      <c r="H346" t="s">
        <v>17</v>
      </c>
      <c r="I346">
        <v>738.01</v>
      </c>
      <c r="J346" t="str">
        <f t="shared" si="5"/>
        <v>High</v>
      </c>
    </row>
    <row r="347" spans="1:10" x14ac:dyDescent="0.25">
      <c r="A347">
        <v>841</v>
      </c>
      <c r="B347">
        <v>40</v>
      </c>
      <c r="C347" t="s">
        <v>12</v>
      </c>
      <c r="D347" s="3">
        <v>125996</v>
      </c>
      <c r="E347">
        <v>64</v>
      </c>
      <c r="F347">
        <v>6</v>
      </c>
      <c r="G347">
        <v>15</v>
      </c>
      <c r="H347" t="s">
        <v>17</v>
      </c>
      <c r="I347">
        <v>583.95000000000005</v>
      </c>
      <c r="J347" t="str">
        <f t="shared" si="5"/>
        <v>Medium</v>
      </c>
    </row>
    <row r="348" spans="1:10" x14ac:dyDescent="0.25">
      <c r="A348">
        <v>858</v>
      </c>
      <c r="B348">
        <v>67</v>
      </c>
      <c r="C348" t="s">
        <v>12</v>
      </c>
      <c r="D348" s="3">
        <v>115470</v>
      </c>
      <c r="E348">
        <v>56</v>
      </c>
      <c r="F348">
        <v>4</v>
      </c>
      <c r="G348">
        <v>6</v>
      </c>
      <c r="H348" t="s">
        <v>17</v>
      </c>
      <c r="I348">
        <v>151.74</v>
      </c>
      <c r="J348" t="str">
        <f t="shared" si="5"/>
        <v>Medium</v>
      </c>
    </row>
    <row r="349" spans="1:10" x14ac:dyDescent="0.25">
      <c r="A349">
        <v>862</v>
      </c>
      <c r="B349">
        <v>20</v>
      </c>
      <c r="C349" t="s">
        <v>12</v>
      </c>
      <c r="D349" s="3">
        <v>79899</v>
      </c>
      <c r="E349">
        <v>64</v>
      </c>
      <c r="F349">
        <v>7</v>
      </c>
      <c r="G349">
        <v>46</v>
      </c>
      <c r="H349" t="s">
        <v>17</v>
      </c>
      <c r="I349">
        <v>129.9</v>
      </c>
      <c r="J349" t="str">
        <f t="shared" si="5"/>
        <v>Medium</v>
      </c>
    </row>
    <row r="350" spans="1:10" x14ac:dyDescent="0.25">
      <c r="A350">
        <v>882</v>
      </c>
      <c r="B350">
        <v>61</v>
      </c>
      <c r="C350" t="s">
        <v>12</v>
      </c>
      <c r="D350" s="3">
        <v>49557</v>
      </c>
      <c r="E350">
        <v>22</v>
      </c>
      <c r="F350">
        <v>6</v>
      </c>
      <c r="G350">
        <v>12</v>
      </c>
      <c r="H350" t="s">
        <v>17</v>
      </c>
      <c r="I350">
        <v>678.13</v>
      </c>
      <c r="J350" t="str">
        <f t="shared" si="5"/>
        <v>Low</v>
      </c>
    </row>
    <row r="351" spans="1:10" x14ac:dyDescent="0.25">
      <c r="A351">
        <v>912</v>
      </c>
      <c r="B351">
        <v>54</v>
      </c>
      <c r="C351" t="s">
        <v>12</v>
      </c>
      <c r="D351" s="3">
        <v>69676</v>
      </c>
      <c r="E351">
        <v>9</v>
      </c>
      <c r="F351">
        <v>7</v>
      </c>
      <c r="G351">
        <v>30</v>
      </c>
      <c r="H351" t="s">
        <v>17</v>
      </c>
      <c r="I351">
        <v>932.68</v>
      </c>
      <c r="J351" t="str">
        <f t="shared" si="5"/>
        <v>Low</v>
      </c>
    </row>
    <row r="352" spans="1:10" x14ac:dyDescent="0.25">
      <c r="A352">
        <v>922</v>
      </c>
      <c r="B352">
        <v>58</v>
      </c>
      <c r="C352" t="s">
        <v>12</v>
      </c>
      <c r="D352" s="3">
        <v>105157</v>
      </c>
      <c r="E352">
        <v>51</v>
      </c>
      <c r="F352">
        <v>3</v>
      </c>
      <c r="G352">
        <v>27</v>
      </c>
      <c r="H352" t="s">
        <v>17</v>
      </c>
      <c r="I352">
        <v>344.39</v>
      </c>
      <c r="J352" t="str">
        <f t="shared" si="5"/>
        <v>Medium</v>
      </c>
    </row>
    <row r="353" spans="1:10" x14ac:dyDescent="0.25">
      <c r="A353">
        <v>928</v>
      </c>
      <c r="B353">
        <v>28</v>
      </c>
      <c r="C353" t="s">
        <v>12</v>
      </c>
      <c r="D353" s="3">
        <v>134592</v>
      </c>
      <c r="E353">
        <v>43</v>
      </c>
      <c r="F353">
        <v>10</v>
      </c>
      <c r="G353">
        <v>25</v>
      </c>
      <c r="H353" t="s">
        <v>17</v>
      </c>
      <c r="I353">
        <v>557.04</v>
      </c>
      <c r="J353" t="str">
        <f t="shared" si="5"/>
        <v>Medium</v>
      </c>
    </row>
    <row r="354" spans="1:10" x14ac:dyDescent="0.25">
      <c r="A354">
        <v>941</v>
      </c>
      <c r="B354">
        <v>54</v>
      </c>
      <c r="C354" t="s">
        <v>12</v>
      </c>
      <c r="D354" s="3">
        <v>33706</v>
      </c>
      <c r="E354">
        <v>64</v>
      </c>
      <c r="F354">
        <v>9</v>
      </c>
      <c r="G354">
        <v>1</v>
      </c>
      <c r="H354" t="s">
        <v>17</v>
      </c>
      <c r="I354">
        <v>371.93</v>
      </c>
      <c r="J354" t="str">
        <f t="shared" si="5"/>
        <v>Medium</v>
      </c>
    </row>
    <row r="355" spans="1:10" x14ac:dyDescent="0.25">
      <c r="A355">
        <v>945</v>
      </c>
      <c r="B355">
        <v>65</v>
      </c>
      <c r="C355" t="s">
        <v>12</v>
      </c>
      <c r="D355" s="3">
        <v>42779</v>
      </c>
      <c r="E355">
        <v>81</v>
      </c>
      <c r="F355">
        <v>5</v>
      </c>
      <c r="G355">
        <v>38</v>
      </c>
      <c r="H355" t="s">
        <v>17</v>
      </c>
      <c r="I355">
        <v>594.91999999999996</v>
      </c>
      <c r="J355" t="str">
        <f t="shared" si="5"/>
        <v>High</v>
      </c>
    </row>
    <row r="356" spans="1:10" x14ac:dyDescent="0.25">
      <c r="A356">
        <v>972</v>
      </c>
      <c r="B356">
        <v>41</v>
      </c>
      <c r="C356" t="s">
        <v>12</v>
      </c>
      <c r="D356" s="3">
        <v>120294</v>
      </c>
      <c r="E356">
        <v>79</v>
      </c>
      <c r="F356">
        <v>5</v>
      </c>
      <c r="G356">
        <v>44</v>
      </c>
      <c r="H356" t="s">
        <v>17</v>
      </c>
      <c r="I356">
        <v>942.03</v>
      </c>
      <c r="J356" t="str">
        <f t="shared" si="5"/>
        <v>High</v>
      </c>
    </row>
    <row r="357" spans="1:10" x14ac:dyDescent="0.25">
      <c r="A357">
        <v>995</v>
      </c>
      <c r="B357">
        <v>60</v>
      </c>
      <c r="C357" t="s">
        <v>12</v>
      </c>
      <c r="D357" s="3">
        <v>71923</v>
      </c>
      <c r="E357">
        <v>25</v>
      </c>
      <c r="F357">
        <v>2</v>
      </c>
      <c r="G357">
        <v>40</v>
      </c>
      <c r="H357" t="s">
        <v>17</v>
      </c>
      <c r="I357">
        <v>986.97</v>
      </c>
      <c r="J357" t="str">
        <f t="shared" si="5"/>
        <v>Low</v>
      </c>
    </row>
    <row r="358" spans="1:10" x14ac:dyDescent="0.25">
      <c r="A358">
        <v>996</v>
      </c>
      <c r="B358">
        <v>57</v>
      </c>
      <c r="C358" t="s">
        <v>12</v>
      </c>
      <c r="D358" s="3">
        <v>112170</v>
      </c>
      <c r="E358">
        <v>57</v>
      </c>
      <c r="F358">
        <v>6</v>
      </c>
      <c r="G358">
        <v>1</v>
      </c>
      <c r="H358" t="s">
        <v>17</v>
      </c>
      <c r="I358">
        <v>313.64</v>
      </c>
      <c r="J358" t="str">
        <f t="shared" si="5"/>
        <v>Medium</v>
      </c>
    </row>
    <row r="359" spans="1:10" x14ac:dyDescent="0.25">
      <c r="A359">
        <v>4</v>
      </c>
      <c r="B359">
        <v>40</v>
      </c>
      <c r="C359" t="s">
        <v>45</v>
      </c>
      <c r="D359" s="3">
        <v>47099</v>
      </c>
      <c r="E359">
        <v>74</v>
      </c>
      <c r="F359">
        <v>9</v>
      </c>
      <c r="G359">
        <v>5</v>
      </c>
      <c r="H359" t="s">
        <v>13</v>
      </c>
      <c r="I359">
        <v>991.93</v>
      </c>
      <c r="J359" t="str">
        <f t="shared" si="5"/>
        <v>High</v>
      </c>
    </row>
    <row r="360" spans="1:10" x14ac:dyDescent="0.25">
      <c r="A360">
        <v>6</v>
      </c>
      <c r="B360">
        <v>31</v>
      </c>
      <c r="C360" t="s">
        <v>45</v>
      </c>
      <c r="D360" s="3">
        <v>57305</v>
      </c>
      <c r="E360">
        <v>24</v>
      </c>
      <c r="F360">
        <v>3</v>
      </c>
      <c r="G360">
        <v>30</v>
      </c>
      <c r="H360" t="s">
        <v>13</v>
      </c>
      <c r="I360">
        <v>86.85</v>
      </c>
      <c r="J360" t="str">
        <f t="shared" si="5"/>
        <v>Low</v>
      </c>
    </row>
    <row r="361" spans="1:10" x14ac:dyDescent="0.25">
      <c r="A361">
        <v>7</v>
      </c>
      <c r="B361">
        <v>19</v>
      </c>
      <c r="C361" t="s">
        <v>45</v>
      </c>
      <c r="D361" s="3">
        <v>54319</v>
      </c>
      <c r="E361">
        <v>68</v>
      </c>
      <c r="F361">
        <v>5</v>
      </c>
      <c r="G361">
        <v>43</v>
      </c>
      <c r="H361" t="s">
        <v>17</v>
      </c>
      <c r="I361">
        <v>191.72</v>
      </c>
      <c r="J361" t="str">
        <f t="shared" si="5"/>
        <v>High</v>
      </c>
    </row>
    <row r="362" spans="1:10" x14ac:dyDescent="0.25">
      <c r="A362">
        <v>11</v>
      </c>
      <c r="B362">
        <v>23</v>
      </c>
      <c r="C362" t="s">
        <v>45</v>
      </c>
      <c r="D362" s="3">
        <v>69659</v>
      </c>
      <c r="E362">
        <v>16</v>
      </c>
      <c r="F362">
        <v>7</v>
      </c>
      <c r="G362">
        <v>24</v>
      </c>
      <c r="H362" t="s">
        <v>17</v>
      </c>
      <c r="I362">
        <v>434.97</v>
      </c>
      <c r="J362" t="str">
        <f t="shared" si="5"/>
        <v>Low</v>
      </c>
    </row>
    <row r="363" spans="1:10" x14ac:dyDescent="0.25">
      <c r="A363">
        <v>12</v>
      </c>
      <c r="B363">
        <v>68</v>
      </c>
      <c r="C363" t="s">
        <v>45</v>
      </c>
      <c r="D363" s="3">
        <v>30058</v>
      </c>
      <c r="E363">
        <v>91</v>
      </c>
      <c r="F363">
        <v>1</v>
      </c>
      <c r="G363">
        <v>49</v>
      </c>
      <c r="H363" t="s">
        <v>16</v>
      </c>
      <c r="I363">
        <v>889.94</v>
      </c>
      <c r="J363" t="str">
        <f t="shared" si="5"/>
        <v>High</v>
      </c>
    </row>
    <row r="364" spans="1:10" x14ac:dyDescent="0.25">
      <c r="A364">
        <v>24</v>
      </c>
      <c r="B364">
        <v>41</v>
      </c>
      <c r="C364" t="s">
        <v>45</v>
      </c>
      <c r="D364" s="3">
        <v>81758</v>
      </c>
      <c r="E364">
        <v>87</v>
      </c>
      <c r="F364">
        <v>7</v>
      </c>
      <c r="G364">
        <v>9</v>
      </c>
      <c r="H364" t="s">
        <v>17</v>
      </c>
      <c r="I364">
        <v>482.2</v>
      </c>
      <c r="J364" t="str">
        <f t="shared" si="5"/>
        <v>High</v>
      </c>
    </row>
    <row r="365" spans="1:10" x14ac:dyDescent="0.25">
      <c r="A365">
        <v>26</v>
      </c>
      <c r="B365">
        <v>33</v>
      </c>
      <c r="C365" t="s">
        <v>45</v>
      </c>
      <c r="D365" s="3">
        <v>141757</v>
      </c>
      <c r="E365">
        <v>60</v>
      </c>
      <c r="F365">
        <v>10</v>
      </c>
      <c r="G365">
        <v>39</v>
      </c>
      <c r="H365" t="s">
        <v>16</v>
      </c>
      <c r="I365">
        <v>83.27</v>
      </c>
      <c r="J365" t="str">
        <f t="shared" si="5"/>
        <v>Medium</v>
      </c>
    </row>
    <row r="366" spans="1:10" x14ac:dyDescent="0.25">
      <c r="A366">
        <v>31</v>
      </c>
      <c r="B366">
        <v>36</v>
      </c>
      <c r="C366" t="s">
        <v>45</v>
      </c>
      <c r="D366" s="3">
        <v>76756</v>
      </c>
      <c r="E366">
        <v>16</v>
      </c>
      <c r="F366">
        <v>8</v>
      </c>
      <c r="G366">
        <v>27</v>
      </c>
      <c r="H366" t="s">
        <v>17</v>
      </c>
      <c r="I366">
        <v>970.06</v>
      </c>
      <c r="J366" t="str">
        <f t="shared" si="5"/>
        <v>Low</v>
      </c>
    </row>
    <row r="367" spans="1:10" x14ac:dyDescent="0.25">
      <c r="A367">
        <v>34</v>
      </c>
      <c r="B367">
        <v>44</v>
      </c>
      <c r="C367" t="s">
        <v>45</v>
      </c>
      <c r="D367" s="3">
        <v>86593</v>
      </c>
      <c r="E367">
        <v>89</v>
      </c>
      <c r="F367">
        <v>4</v>
      </c>
      <c r="G367">
        <v>37</v>
      </c>
      <c r="H367" t="s">
        <v>16</v>
      </c>
      <c r="I367">
        <v>76.95</v>
      </c>
      <c r="J367" t="str">
        <f t="shared" si="5"/>
        <v>High</v>
      </c>
    </row>
    <row r="368" spans="1:10" x14ac:dyDescent="0.25">
      <c r="A368">
        <v>44</v>
      </c>
      <c r="B368">
        <v>28</v>
      </c>
      <c r="C368" t="s">
        <v>45</v>
      </c>
      <c r="D368" s="3">
        <v>62405</v>
      </c>
      <c r="E368">
        <v>79</v>
      </c>
      <c r="F368">
        <v>5</v>
      </c>
      <c r="G368">
        <v>50</v>
      </c>
      <c r="H368" t="s">
        <v>13</v>
      </c>
      <c r="I368">
        <v>956.73</v>
      </c>
      <c r="J368" t="str">
        <f t="shared" si="5"/>
        <v>High</v>
      </c>
    </row>
    <row r="369" spans="1:10" x14ac:dyDescent="0.25">
      <c r="A369">
        <v>46</v>
      </c>
      <c r="B369">
        <v>49</v>
      </c>
      <c r="C369" t="s">
        <v>45</v>
      </c>
      <c r="D369" s="3">
        <v>94531</v>
      </c>
      <c r="E369">
        <v>28</v>
      </c>
      <c r="F369">
        <v>5</v>
      </c>
      <c r="G369">
        <v>42</v>
      </c>
      <c r="H369" t="s">
        <v>17</v>
      </c>
      <c r="I369">
        <v>214.93</v>
      </c>
      <c r="J369" t="str">
        <f t="shared" si="5"/>
        <v>Low</v>
      </c>
    </row>
    <row r="370" spans="1:10" x14ac:dyDescent="0.25">
      <c r="A370">
        <v>53</v>
      </c>
      <c r="B370">
        <v>45</v>
      </c>
      <c r="C370" t="s">
        <v>45</v>
      </c>
      <c r="D370" s="3">
        <v>134241</v>
      </c>
      <c r="E370">
        <v>73</v>
      </c>
      <c r="F370">
        <v>9</v>
      </c>
      <c r="G370">
        <v>16</v>
      </c>
      <c r="H370" t="s">
        <v>16</v>
      </c>
      <c r="I370">
        <v>893.44</v>
      </c>
      <c r="J370" t="str">
        <f t="shared" si="5"/>
        <v>High</v>
      </c>
    </row>
    <row r="371" spans="1:10" x14ac:dyDescent="0.25">
      <c r="A371">
        <v>62</v>
      </c>
      <c r="B371">
        <v>30</v>
      </c>
      <c r="C371" t="s">
        <v>45</v>
      </c>
      <c r="D371" s="3">
        <v>89149</v>
      </c>
      <c r="E371">
        <v>87</v>
      </c>
      <c r="F371">
        <v>10</v>
      </c>
      <c r="G371">
        <v>36</v>
      </c>
      <c r="H371" t="s">
        <v>17</v>
      </c>
      <c r="I371">
        <v>174.41</v>
      </c>
      <c r="J371" t="str">
        <f t="shared" si="5"/>
        <v>High</v>
      </c>
    </row>
    <row r="372" spans="1:10" x14ac:dyDescent="0.25">
      <c r="A372">
        <v>72</v>
      </c>
      <c r="B372">
        <v>58</v>
      </c>
      <c r="C372" t="s">
        <v>45</v>
      </c>
      <c r="D372" s="3">
        <v>56120</v>
      </c>
      <c r="E372">
        <v>30</v>
      </c>
      <c r="F372">
        <v>3</v>
      </c>
      <c r="G372">
        <v>50</v>
      </c>
      <c r="H372" t="s">
        <v>16</v>
      </c>
      <c r="I372">
        <v>880.23</v>
      </c>
      <c r="J372" t="str">
        <f t="shared" si="5"/>
        <v>Low</v>
      </c>
    </row>
    <row r="373" spans="1:10" x14ac:dyDescent="0.25">
      <c r="A373">
        <v>75</v>
      </c>
      <c r="B373">
        <v>58</v>
      </c>
      <c r="C373" t="s">
        <v>45</v>
      </c>
      <c r="D373" s="3">
        <v>143037</v>
      </c>
      <c r="E373">
        <v>56</v>
      </c>
      <c r="F373">
        <v>8</v>
      </c>
      <c r="G373">
        <v>42</v>
      </c>
      <c r="H373" t="s">
        <v>16</v>
      </c>
      <c r="I373">
        <v>57.57</v>
      </c>
      <c r="J373" t="str">
        <f t="shared" si="5"/>
        <v>Medium</v>
      </c>
    </row>
    <row r="374" spans="1:10" x14ac:dyDescent="0.25">
      <c r="A374">
        <v>78</v>
      </c>
      <c r="B374">
        <v>32</v>
      </c>
      <c r="C374" t="s">
        <v>45</v>
      </c>
      <c r="D374" s="3">
        <v>44048</v>
      </c>
      <c r="E374">
        <v>20</v>
      </c>
      <c r="F374">
        <v>7</v>
      </c>
      <c r="G374">
        <v>10</v>
      </c>
      <c r="H374" t="s">
        <v>17</v>
      </c>
      <c r="I374">
        <v>41.55</v>
      </c>
      <c r="J374" t="str">
        <f t="shared" si="5"/>
        <v>Low</v>
      </c>
    </row>
    <row r="375" spans="1:10" x14ac:dyDescent="0.25">
      <c r="A375">
        <v>79</v>
      </c>
      <c r="B375">
        <v>30</v>
      </c>
      <c r="C375" t="s">
        <v>45</v>
      </c>
      <c r="D375" s="3">
        <v>95501</v>
      </c>
      <c r="E375">
        <v>27</v>
      </c>
      <c r="F375">
        <v>3</v>
      </c>
      <c r="G375">
        <v>14</v>
      </c>
      <c r="H375" t="s">
        <v>16</v>
      </c>
      <c r="I375">
        <v>476.25</v>
      </c>
      <c r="J375" t="str">
        <f t="shared" si="5"/>
        <v>Low</v>
      </c>
    </row>
    <row r="376" spans="1:10" x14ac:dyDescent="0.25">
      <c r="A376">
        <v>86</v>
      </c>
      <c r="B376">
        <v>31</v>
      </c>
      <c r="C376" t="s">
        <v>45</v>
      </c>
      <c r="D376" s="3">
        <v>61849</v>
      </c>
      <c r="E376">
        <v>24</v>
      </c>
      <c r="F376">
        <v>6</v>
      </c>
      <c r="G376">
        <v>31</v>
      </c>
      <c r="H376" t="s">
        <v>13</v>
      </c>
      <c r="I376">
        <v>120.8</v>
      </c>
      <c r="J376" t="str">
        <f t="shared" si="5"/>
        <v>Low</v>
      </c>
    </row>
    <row r="377" spans="1:10" x14ac:dyDescent="0.25">
      <c r="A377">
        <v>89</v>
      </c>
      <c r="B377">
        <v>18</v>
      </c>
      <c r="C377" t="s">
        <v>45</v>
      </c>
      <c r="D377" s="3">
        <v>105470</v>
      </c>
      <c r="E377">
        <v>8</v>
      </c>
      <c r="F377">
        <v>7</v>
      </c>
      <c r="G377">
        <v>4</v>
      </c>
      <c r="H377" t="s">
        <v>17</v>
      </c>
      <c r="I377">
        <v>746.18</v>
      </c>
      <c r="J377" t="str">
        <f t="shared" si="5"/>
        <v>Low</v>
      </c>
    </row>
    <row r="378" spans="1:10" x14ac:dyDescent="0.25">
      <c r="A378">
        <v>90</v>
      </c>
      <c r="B378">
        <v>45</v>
      </c>
      <c r="C378" t="s">
        <v>45</v>
      </c>
      <c r="D378" s="3">
        <v>63381</v>
      </c>
      <c r="E378">
        <v>80</v>
      </c>
      <c r="F378">
        <v>4</v>
      </c>
      <c r="G378">
        <v>8</v>
      </c>
      <c r="H378" t="s">
        <v>13</v>
      </c>
      <c r="I378">
        <v>754.24</v>
      </c>
      <c r="J378" t="str">
        <f t="shared" si="5"/>
        <v>High</v>
      </c>
    </row>
    <row r="379" spans="1:10" x14ac:dyDescent="0.25">
      <c r="A379">
        <v>91</v>
      </c>
      <c r="B379">
        <v>32</v>
      </c>
      <c r="C379" t="s">
        <v>45</v>
      </c>
      <c r="D379" s="3">
        <v>92089</v>
      </c>
      <c r="E379">
        <v>16</v>
      </c>
      <c r="F379">
        <v>1</v>
      </c>
      <c r="G379">
        <v>47</v>
      </c>
      <c r="H379" t="s">
        <v>13</v>
      </c>
      <c r="I379">
        <v>209.86</v>
      </c>
      <c r="J379" t="str">
        <f t="shared" si="5"/>
        <v>Low</v>
      </c>
    </row>
    <row r="380" spans="1:10" x14ac:dyDescent="0.25">
      <c r="A380">
        <v>92</v>
      </c>
      <c r="B380">
        <v>39</v>
      </c>
      <c r="C380" t="s">
        <v>45</v>
      </c>
      <c r="D380" s="3">
        <v>104031</v>
      </c>
      <c r="E380">
        <v>67</v>
      </c>
      <c r="F380">
        <v>6</v>
      </c>
      <c r="G380">
        <v>28</v>
      </c>
      <c r="H380" t="s">
        <v>13</v>
      </c>
      <c r="I380">
        <v>930.36</v>
      </c>
      <c r="J380" t="str">
        <f t="shared" si="5"/>
        <v>High</v>
      </c>
    </row>
    <row r="381" spans="1:10" x14ac:dyDescent="0.25">
      <c r="A381">
        <v>94</v>
      </c>
      <c r="B381">
        <v>46</v>
      </c>
      <c r="C381" t="s">
        <v>45</v>
      </c>
      <c r="D381" s="3">
        <v>113116</v>
      </c>
      <c r="E381">
        <v>7</v>
      </c>
      <c r="F381">
        <v>10</v>
      </c>
      <c r="G381">
        <v>13</v>
      </c>
      <c r="H381" t="s">
        <v>17</v>
      </c>
      <c r="I381">
        <v>190.55</v>
      </c>
      <c r="J381" t="str">
        <f t="shared" si="5"/>
        <v>Low</v>
      </c>
    </row>
    <row r="382" spans="1:10" x14ac:dyDescent="0.25">
      <c r="A382">
        <v>105</v>
      </c>
      <c r="B382">
        <v>20</v>
      </c>
      <c r="C382" t="s">
        <v>45</v>
      </c>
      <c r="D382" s="3">
        <v>34982</v>
      </c>
      <c r="E382">
        <v>7</v>
      </c>
      <c r="F382">
        <v>2</v>
      </c>
      <c r="G382">
        <v>45</v>
      </c>
      <c r="H382" t="s">
        <v>17</v>
      </c>
      <c r="I382">
        <v>597.15</v>
      </c>
      <c r="J382" t="str">
        <f t="shared" si="5"/>
        <v>Low</v>
      </c>
    </row>
    <row r="383" spans="1:10" x14ac:dyDescent="0.25">
      <c r="A383">
        <v>125</v>
      </c>
      <c r="B383">
        <v>66</v>
      </c>
      <c r="C383" t="s">
        <v>45</v>
      </c>
      <c r="D383" s="3">
        <v>69362</v>
      </c>
      <c r="E383">
        <v>58</v>
      </c>
      <c r="F383">
        <v>1</v>
      </c>
      <c r="G383">
        <v>23</v>
      </c>
      <c r="H383" t="s">
        <v>17</v>
      </c>
      <c r="I383">
        <v>960.08</v>
      </c>
      <c r="J383" t="str">
        <f t="shared" si="5"/>
        <v>Medium</v>
      </c>
    </row>
    <row r="384" spans="1:10" x14ac:dyDescent="0.25">
      <c r="A384">
        <v>133</v>
      </c>
      <c r="B384">
        <v>25</v>
      </c>
      <c r="C384" t="s">
        <v>45</v>
      </c>
      <c r="D384" s="3">
        <v>94016</v>
      </c>
      <c r="E384">
        <v>85</v>
      </c>
      <c r="F384">
        <v>8</v>
      </c>
      <c r="G384">
        <v>49</v>
      </c>
      <c r="H384" t="s">
        <v>16</v>
      </c>
      <c r="I384">
        <v>764.28</v>
      </c>
      <c r="J384" t="str">
        <f t="shared" si="5"/>
        <v>High</v>
      </c>
    </row>
    <row r="385" spans="1:10" x14ac:dyDescent="0.25">
      <c r="A385">
        <v>143</v>
      </c>
      <c r="B385">
        <v>55</v>
      </c>
      <c r="C385" t="s">
        <v>45</v>
      </c>
      <c r="D385" s="3">
        <v>101084</v>
      </c>
      <c r="E385">
        <v>73</v>
      </c>
      <c r="F385">
        <v>9</v>
      </c>
      <c r="G385">
        <v>24</v>
      </c>
      <c r="H385" t="s">
        <v>16</v>
      </c>
      <c r="I385">
        <v>624.80999999999995</v>
      </c>
      <c r="J385" t="str">
        <f t="shared" si="5"/>
        <v>High</v>
      </c>
    </row>
    <row r="386" spans="1:10" x14ac:dyDescent="0.25">
      <c r="A386">
        <v>149</v>
      </c>
      <c r="B386">
        <v>34</v>
      </c>
      <c r="C386" t="s">
        <v>45</v>
      </c>
      <c r="D386" s="3">
        <v>79949</v>
      </c>
      <c r="E386">
        <v>89</v>
      </c>
      <c r="F386">
        <v>3</v>
      </c>
      <c r="G386">
        <v>19</v>
      </c>
      <c r="H386" t="s">
        <v>16</v>
      </c>
      <c r="I386">
        <v>273.33999999999997</v>
      </c>
      <c r="J386" t="str">
        <f t="shared" ref="J386:J449" si="6">IF(E386&lt;33,"Low",IF(E386&lt;66,"Medium","High"))</f>
        <v>High</v>
      </c>
    </row>
    <row r="387" spans="1:10" x14ac:dyDescent="0.25">
      <c r="A387">
        <v>158</v>
      </c>
      <c r="B387">
        <v>61</v>
      </c>
      <c r="C387" t="s">
        <v>45</v>
      </c>
      <c r="D387" s="3">
        <v>46738</v>
      </c>
      <c r="E387">
        <v>36</v>
      </c>
      <c r="F387">
        <v>3</v>
      </c>
      <c r="G387">
        <v>26</v>
      </c>
      <c r="H387" t="s">
        <v>16</v>
      </c>
      <c r="I387">
        <v>393.6</v>
      </c>
      <c r="J387" t="str">
        <f t="shared" si="6"/>
        <v>Medium</v>
      </c>
    </row>
    <row r="388" spans="1:10" x14ac:dyDescent="0.25">
      <c r="A388">
        <v>159</v>
      </c>
      <c r="B388">
        <v>58</v>
      </c>
      <c r="C388" t="s">
        <v>45</v>
      </c>
      <c r="D388" s="3">
        <v>107818</v>
      </c>
      <c r="E388">
        <v>70</v>
      </c>
      <c r="F388">
        <v>5</v>
      </c>
      <c r="G388">
        <v>24</v>
      </c>
      <c r="H388" t="s">
        <v>13</v>
      </c>
      <c r="I388">
        <v>722.18</v>
      </c>
      <c r="J388" t="str">
        <f t="shared" si="6"/>
        <v>High</v>
      </c>
    </row>
    <row r="389" spans="1:10" x14ac:dyDescent="0.25">
      <c r="A389">
        <v>160</v>
      </c>
      <c r="B389">
        <v>36</v>
      </c>
      <c r="C389" t="s">
        <v>45</v>
      </c>
      <c r="D389" s="3">
        <v>83511</v>
      </c>
      <c r="E389">
        <v>28</v>
      </c>
      <c r="F389">
        <v>5</v>
      </c>
      <c r="G389">
        <v>49</v>
      </c>
      <c r="H389" t="s">
        <v>13</v>
      </c>
      <c r="I389">
        <v>367.97</v>
      </c>
      <c r="J389" t="str">
        <f t="shared" si="6"/>
        <v>Low</v>
      </c>
    </row>
    <row r="390" spans="1:10" x14ac:dyDescent="0.25">
      <c r="A390">
        <v>165</v>
      </c>
      <c r="B390">
        <v>64</v>
      </c>
      <c r="C390" t="s">
        <v>45</v>
      </c>
      <c r="D390" s="3">
        <v>96494</v>
      </c>
      <c r="E390">
        <v>10</v>
      </c>
      <c r="F390">
        <v>4</v>
      </c>
      <c r="G390">
        <v>47</v>
      </c>
      <c r="H390" t="s">
        <v>13</v>
      </c>
      <c r="I390">
        <v>184.45</v>
      </c>
      <c r="J390" t="str">
        <f t="shared" si="6"/>
        <v>Low</v>
      </c>
    </row>
    <row r="391" spans="1:10" x14ac:dyDescent="0.25">
      <c r="A391">
        <v>167</v>
      </c>
      <c r="B391">
        <v>18</v>
      </c>
      <c r="C391" t="s">
        <v>45</v>
      </c>
      <c r="D391" s="3">
        <v>46707</v>
      </c>
      <c r="E391">
        <v>61</v>
      </c>
      <c r="F391">
        <v>10</v>
      </c>
      <c r="G391">
        <v>16</v>
      </c>
      <c r="H391" t="s">
        <v>17</v>
      </c>
      <c r="I391">
        <v>18.600000000000001</v>
      </c>
      <c r="J391" t="str">
        <f t="shared" si="6"/>
        <v>Medium</v>
      </c>
    </row>
    <row r="392" spans="1:10" x14ac:dyDescent="0.25">
      <c r="A392">
        <v>168</v>
      </c>
      <c r="B392">
        <v>36</v>
      </c>
      <c r="C392" t="s">
        <v>45</v>
      </c>
      <c r="D392" s="3">
        <v>87275</v>
      </c>
      <c r="E392">
        <v>82</v>
      </c>
      <c r="F392">
        <v>9</v>
      </c>
      <c r="G392">
        <v>2</v>
      </c>
      <c r="H392" t="s">
        <v>17</v>
      </c>
      <c r="I392">
        <v>14.52</v>
      </c>
      <c r="J392" t="str">
        <f t="shared" si="6"/>
        <v>High</v>
      </c>
    </row>
    <row r="393" spans="1:10" x14ac:dyDescent="0.25">
      <c r="A393">
        <v>174</v>
      </c>
      <c r="B393">
        <v>47</v>
      </c>
      <c r="C393" t="s">
        <v>45</v>
      </c>
      <c r="D393" s="3">
        <v>66932</v>
      </c>
      <c r="E393">
        <v>89</v>
      </c>
      <c r="F393">
        <v>5</v>
      </c>
      <c r="G393">
        <v>9</v>
      </c>
      <c r="H393" t="s">
        <v>13</v>
      </c>
      <c r="I393">
        <v>861.66</v>
      </c>
      <c r="J393" t="str">
        <f t="shared" si="6"/>
        <v>High</v>
      </c>
    </row>
    <row r="394" spans="1:10" x14ac:dyDescent="0.25">
      <c r="A394">
        <v>186</v>
      </c>
      <c r="B394">
        <v>40</v>
      </c>
      <c r="C394" t="s">
        <v>45</v>
      </c>
      <c r="D394" s="3">
        <v>124138</v>
      </c>
      <c r="E394">
        <v>84</v>
      </c>
      <c r="F394">
        <v>10</v>
      </c>
      <c r="G394">
        <v>41</v>
      </c>
      <c r="H394" t="s">
        <v>16</v>
      </c>
      <c r="I394">
        <v>426.62</v>
      </c>
      <c r="J394" t="str">
        <f t="shared" si="6"/>
        <v>High</v>
      </c>
    </row>
    <row r="395" spans="1:10" x14ac:dyDescent="0.25">
      <c r="A395">
        <v>203</v>
      </c>
      <c r="B395">
        <v>66</v>
      </c>
      <c r="C395" t="s">
        <v>45</v>
      </c>
      <c r="D395" s="3">
        <v>106631</v>
      </c>
      <c r="E395">
        <v>41</v>
      </c>
      <c r="F395">
        <v>6</v>
      </c>
      <c r="G395">
        <v>9</v>
      </c>
      <c r="H395" t="s">
        <v>13</v>
      </c>
      <c r="I395">
        <v>354.46</v>
      </c>
      <c r="J395" t="str">
        <f t="shared" si="6"/>
        <v>Medium</v>
      </c>
    </row>
    <row r="396" spans="1:10" x14ac:dyDescent="0.25">
      <c r="A396">
        <v>212</v>
      </c>
      <c r="B396">
        <v>18</v>
      </c>
      <c r="C396" t="s">
        <v>45</v>
      </c>
      <c r="D396" s="3">
        <v>54421</v>
      </c>
      <c r="E396">
        <v>20</v>
      </c>
      <c r="F396">
        <v>1</v>
      </c>
      <c r="G396">
        <v>41</v>
      </c>
      <c r="H396" t="s">
        <v>13</v>
      </c>
      <c r="I396">
        <v>215.95</v>
      </c>
      <c r="J396" t="str">
        <f t="shared" si="6"/>
        <v>Low</v>
      </c>
    </row>
    <row r="397" spans="1:10" x14ac:dyDescent="0.25">
      <c r="A397">
        <v>222</v>
      </c>
      <c r="B397">
        <v>67</v>
      </c>
      <c r="C397" t="s">
        <v>45</v>
      </c>
      <c r="D397" s="3">
        <v>64134</v>
      </c>
      <c r="E397">
        <v>3</v>
      </c>
      <c r="F397">
        <v>2</v>
      </c>
      <c r="G397">
        <v>26</v>
      </c>
      <c r="H397" t="s">
        <v>17</v>
      </c>
      <c r="I397">
        <v>868.18</v>
      </c>
      <c r="J397" t="str">
        <f t="shared" si="6"/>
        <v>Low</v>
      </c>
    </row>
    <row r="398" spans="1:10" x14ac:dyDescent="0.25">
      <c r="A398">
        <v>229</v>
      </c>
      <c r="B398">
        <v>19</v>
      </c>
      <c r="C398" t="s">
        <v>45</v>
      </c>
      <c r="D398" s="3">
        <v>52470</v>
      </c>
      <c r="E398">
        <v>90</v>
      </c>
      <c r="F398">
        <v>5</v>
      </c>
      <c r="G398">
        <v>35</v>
      </c>
      <c r="H398" t="s">
        <v>16</v>
      </c>
      <c r="I398">
        <v>515.99</v>
      </c>
      <c r="J398" t="str">
        <f t="shared" si="6"/>
        <v>High</v>
      </c>
    </row>
    <row r="399" spans="1:10" x14ac:dyDescent="0.25">
      <c r="A399">
        <v>238</v>
      </c>
      <c r="B399">
        <v>64</v>
      </c>
      <c r="C399" t="s">
        <v>45</v>
      </c>
      <c r="D399" s="3">
        <v>148368</v>
      </c>
      <c r="E399">
        <v>19</v>
      </c>
      <c r="F399">
        <v>4</v>
      </c>
      <c r="G399">
        <v>23</v>
      </c>
      <c r="H399" t="s">
        <v>16</v>
      </c>
      <c r="I399">
        <v>949.32</v>
      </c>
      <c r="J399" t="str">
        <f t="shared" si="6"/>
        <v>Low</v>
      </c>
    </row>
    <row r="400" spans="1:10" x14ac:dyDescent="0.25">
      <c r="A400">
        <v>245</v>
      </c>
      <c r="B400">
        <v>28</v>
      </c>
      <c r="C400" t="s">
        <v>45</v>
      </c>
      <c r="D400" s="3">
        <v>134414</v>
      </c>
      <c r="E400">
        <v>19</v>
      </c>
      <c r="F400">
        <v>5</v>
      </c>
      <c r="G400">
        <v>15</v>
      </c>
      <c r="H400" t="s">
        <v>13</v>
      </c>
      <c r="I400">
        <v>922.01</v>
      </c>
      <c r="J400" t="str">
        <f t="shared" si="6"/>
        <v>Low</v>
      </c>
    </row>
    <row r="401" spans="1:10" x14ac:dyDescent="0.25">
      <c r="A401">
        <v>252</v>
      </c>
      <c r="B401">
        <v>25</v>
      </c>
      <c r="C401" t="s">
        <v>45</v>
      </c>
      <c r="D401" s="3">
        <v>105185</v>
      </c>
      <c r="E401">
        <v>70</v>
      </c>
      <c r="F401">
        <v>2</v>
      </c>
      <c r="G401">
        <v>37</v>
      </c>
      <c r="H401" t="s">
        <v>16</v>
      </c>
      <c r="I401">
        <v>556.23</v>
      </c>
      <c r="J401" t="str">
        <f t="shared" si="6"/>
        <v>High</v>
      </c>
    </row>
    <row r="402" spans="1:10" x14ac:dyDescent="0.25">
      <c r="A402">
        <v>253</v>
      </c>
      <c r="B402">
        <v>49</v>
      </c>
      <c r="C402" t="s">
        <v>45</v>
      </c>
      <c r="D402" s="3">
        <v>129014</v>
      </c>
      <c r="E402">
        <v>25</v>
      </c>
      <c r="F402">
        <v>7</v>
      </c>
      <c r="G402">
        <v>21</v>
      </c>
      <c r="H402" t="s">
        <v>16</v>
      </c>
      <c r="I402">
        <v>271.52</v>
      </c>
      <c r="J402" t="str">
        <f t="shared" si="6"/>
        <v>Low</v>
      </c>
    </row>
    <row r="403" spans="1:10" x14ac:dyDescent="0.25">
      <c r="A403">
        <v>254</v>
      </c>
      <c r="B403">
        <v>66</v>
      </c>
      <c r="C403" t="s">
        <v>45</v>
      </c>
      <c r="D403" s="3">
        <v>112847</v>
      </c>
      <c r="E403">
        <v>98</v>
      </c>
      <c r="F403">
        <v>9</v>
      </c>
      <c r="G403">
        <v>44</v>
      </c>
      <c r="H403" t="s">
        <v>13</v>
      </c>
      <c r="I403">
        <v>827.44</v>
      </c>
      <c r="J403" t="str">
        <f t="shared" si="6"/>
        <v>High</v>
      </c>
    </row>
    <row r="404" spans="1:10" x14ac:dyDescent="0.25">
      <c r="A404">
        <v>255</v>
      </c>
      <c r="B404">
        <v>27</v>
      </c>
      <c r="C404" t="s">
        <v>45</v>
      </c>
      <c r="D404" s="3">
        <v>139589</v>
      </c>
      <c r="E404">
        <v>69</v>
      </c>
      <c r="F404">
        <v>8</v>
      </c>
      <c r="G404">
        <v>22</v>
      </c>
      <c r="H404" t="s">
        <v>17</v>
      </c>
      <c r="I404">
        <v>150.58000000000001</v>
      </c>
      <c r="J404" t="str">
        <f t="shared" si="6"/>
        <v>High</v>
      </c>
    </row>
    <row r="405" spans="1:10" x14ac:dyDescent="0.25">
      <c r="A405">
        <v>256</v>
      </c>
      <c r="B405">
        <v>46</v>
      </c>
      <c r="C405" t="s">
        <v>45</v>
      </c>
      <c r="D405" s="3">
        <v>38785</v>
      </c>
      <c r="E405">
        <v>55</v>
      </c>
      <c r="F405">
        <v>9</v>
      </c>
      <c r="G405">
        <v>22</v>
      </c>
      <c r="H405" t="s">
        <v>17</v>
      </c>
      <c r="I405">
        <v>486.25</v>
      </c>
      <c r="J405" t="str">
        <f t="shared" si="6"/>
        <v>Medium</v>
      </c>
    </row>
    <row r="406" spans="1:10" x14ac:dyDescent="0.25">
      <c r="A406">
        <v>266</v>
      </c>
      <c r="B406">
        <v>53</v>
      </c>
      <c r="C406" t="s">
        <v>45</v>
      </c>
      <c r="D406" s="3">
        <v>84616</v>
      </c>
      <c r="E406">
        <v>68</v>
      </c>
      <c r="F406">
        <v>10</v>
      </c>
      <c r="G406">
        <v>8</v>
      </c>
      <c r="H406" t="s">
        <v>13</v>
      </c>
      <c r="I406">
        <v>543.30999999999995</v>
      </c>
      <c r="J406" t="str">
        <f t="shared" si="6"/>
        <v>High</v>
      </c>
    </row>
    <row r="407" spans="1:10" x14ac:dyDescent="0.25">
      <c r="A407">
        <v>268</v>
      </c>
      <c r="B407">
        <v>23</v>
      </c>
      <c r="C407" t="s">
        <v>45</v>
      </c>
      <c r="D407" s="3">
        <v>101024</v>
      </c>
      <c r="E407">
        <v>29</v>
      </c>
      <c r="F407">
        <v>3</v>
      </c>
      <c r="G407">
        <v>41</v>
      </c>
      <c r="H407" t="s">
        <v>16</v>
      </c>
      <c r="I407">
        <v>484.85</v>
      </c>
      <c r="J407" t="str">
        <f t="shared" si="6"/>
        <v>Low</v>
      </c>
    </row>
    <row r="408" spans="1:10" x14ac:dyDescent="0.25">
      <c r="A408">
        <v>273</v>
      </c>
      <c r="B408">
        <v>47</v>
      </c>
      <c r="C408" t="s">
        <v>45</v>
      </c>
      <c r="D408" s="3">
        <v>84117</v>
      </c>
      <c r="E408">
        <v>74</v>
      </c>
      <c r="F408">
        <v>9</v>
      </c>
      <c r="G408">
        <v>17</v>
      </c>
      <c r="H408" t="s">
        <v>13</v>
      </c>
      <c r="I408">
        <v>886.08</v>
      </c>
      <c r="J408" t="str">
        <f t="shared" si="6"/>
        <v>High</v>
      </c>
    </row>
    <row r="409" spans="1:10" x14ac:dyDescent="0.25">
      <c r="A409">
        <v>274</v>
      </c>
      <c r="B409">
        <v>60</v>
      </c>
      <c r="C409" t="s">
        <v>45</v>
      </c>
      <c r="D409" s="3">
        <v>107232</v>
      </c>
      <c r="E409">
        <v>68</v>
      </c>
      <c r="F409">
        <v>4</v>
      </c>
      <c r="G409">
        <v>48</v>
      </c>
      <c r="H409" t="s">
        <v>17</v>
      </c>
      <c r="I409">
        <v>730.8</v>
      </c>
      <c r="J409" t="str">
        <f t="shared" si="6"/>
        <v>High</v>
      </c>
    </row>
    <row r="410" spans="1:10" x14ac:dyDescent="0.25">
      <c r="A410">
        <v>275</v>
      </c>
      <c r="B410">
        <v>22</v>
      </c>
      <c r="C410" t="s">
        <v>45</v>
      </c>
      <c r="D410" s="3">
        <v>128623</v>
      </c>
      <c r="E410">
        <v>88</v>
      </c>
      <c r="F410">
        <v>5</v>
      </c>
      <c r="G410">
        <v>20</v>
      </c>
      <c r="H410" t="s">
        <v>17</v>
      </c>
      <c r="I410">
        <v>609.57000000000005</v>
      </c>
      <c r="J410" t="str">
        <f t="shared" si="6"/>
        <v>High</v>
      </c>
    </row>
    <row r="411" spans="1:10" x14ac:dyDescent="0.25">
      <c r="A411">
        <v>277</v>
      </c>
      <c r="B411">
        <v>53</v>
      </c>
      <c r="C411" t="s">
        <v>45</v>
      </c>
      <c r="D411" s="3">
        <v>94392</v>
      </c>
      <c r="E411">
        <v>38</v>
      </c>
      <c r="F411">
        <v>5</v>
      </c>
      <c r="G411">
        <v>11</v>
      </c>
      <c r="H411" t="s">
        <v>17</v>
      </c>
      <c r="I411">
        <v>997.24</v>
      </c>
      <c r="J411" t="str">
        <f t="shared" si="6"/>
        <v>Medium</v>
      </c>
    </row>
    <row r="412" spans="1:10" x14ac:dyDescent="0.25">
      <c r="A412">
        <v>281</v>
      </c>
      <c r="B412">
        <v>61</v>
      </c>
      <c r="C412" t="s">
        <v>45</v>
      </c>
      <c r="D412" s="3">
        <v>47689</v>
      </c>
      <c r="E412">
        <v>46</v>
      </c>
      <c r="F412">
        <v>4</v>
      </c>
      <c r="G412">
        <v>42</v>
      </c>
      <c r="H412" t="s">
        <v>13</v>
      </c>
      <c r="I412">
        <v>802.44</v>
      </c>
      <c r="J412" t="str">
        <f t="shared" si="6"/>
        <v>Medium</v>
      </c>
    </row>
    <row r="413" spans="1:10" x14ac:dyDescent="0.25">
      <c r="A413">
        <v>292</v>
      </c>
      <c r="B413">
        <v>62</v>
      </c>
      <c r="C413" t="s">
        <v>45</v>
      </c>
      <c r="D413" s="3">
        <v>38250</v>
      </c>
      <c r="E413">
        <v>63</v>
      </c>
      <c r="F413">
        <v>5</v>
      </c>
      <c r="G413">
        <v>22</v>
      </c>
      <c r="H413" t="s">
        <v>13</v>
      </c>
      <c r="I413">
        <v>723.93</v>
      </c>
      <c r="J413" t="str">
        <f t="shared" si="6"/>
        <v>Medium</v>
      </c>
    </row>
    <row r="414" spans="1:10" x14ac:dyDescent="0.25">
      <c r="A414">
        <v>294</v>
      </c>
      <c r="B414">
        <v>47</v>
      </c>
      <c r="C414" t="s">
        <v>45</v>
      </c>
      <c r="D414" s="3">
        <v>89077</v>
      </c>
      <c r="E414">
        <v>43</v>
      </c>
      <c r="F414">
        <v>1</v>
      </c>
      <c r="G414">
        <v>35</v>
      </c>
      <c r="H414" t="s">
        <v>17</v>
      </c>
      <c r="I414">
        <v>547.85</v>
      </c>
      <c r="J414" t="str">
        <f t="shared" si="6"/>
        <v>Medium</v>
      </c>
    </row>
    <row r="415" spans="1:10" x14ac:dyDescent="0.25">
      <c r="A415">
        <v>300</v>
      </c>
      <c r="B415">
        <v>55</v>
      </c>
      <c r="C415" t="s">
        <v>45</v>
      </c>
      <c r="D415" s="3">
        <v>144624</v>
      </c>
      <c r="E415">
        <v>38</v>
      </c>
      <c r="F415">
        <v>2</v>
      </c>
      <c r="G415">
        <v>23</v>
      </c>
      <c r="H415" t="s">
        <v>16</v>
      </c>
      <c r="I415">
        <v>652.26</v>
      </c>
      <c r="J415" t="str">
        <f t="shared" si="6"/>
        <v>Medium</v>
      </c>
    </row>
    <row r="416" spans="1:10" x14ac:dyDescent="0.25">
      <c r="A416">
        <v>302</v>
      </c>
      <c r="B416">
        <v>50</v>
      </c>
      <c r="C416" t="s">
        <v>45</v>
      </c>
      <c r="D416" s="3">
        <v>130668</v>
      </c>
      <c r="E416">
        <v>39</v>
      </c>
      <c r="F416">
        <v>5</v>
      </c>
      <c r="G416">
        <v>25</v>
      </c>
      <c r="H416" t="s">
        <v>13</v>
      </c>
      <c r="I416">
        <v>69.81</v>
      </c>
      <c r="J416" t="str">
        <f t="shared" si="6"/>
        <v>Medium</v>
      </c>
    </row>
    <row r="417" spans="1:10" x14ac:dyDescent="0.25">
      <c r="A417">
        <v>307</v>
      </c>
      <c r="B417">
        <v>26</v>
      </c>
      <c r="C417" t="s">
        <v>45</v>
      </c>
      <c r="D417" s="3">
        <v>135530</v>
      </c>
      <c r="E417">
        <v>81</v>
      </c>
      <c r="F417">
        <v>2</v>
      </c>
      <c r="G417">
        <v>12</v>
      </c>
      <c r="H417" t="s">
        <v>13</v>
      </c>
      <c r="I417">
        <v>126.35</v>
      </c>
      <c r="J417" t="str">
        <f t="shared" si="6"/>
        <v>High</v>
      </c>
    </row>
    <row r="418" spans="1:10" x14ac:dyDescent="0.25">
      <c r="A418">
        <v>319</v>
      </c>
      <c r="B418">
        <v>61</v>
      </c>
      <c r="C418" t="s">
        <v>45</v>
      </c>
      <c r="D418" s="3">
        <v>47790</v>
      </c>
      <c r="E418">
        <v>67</v>
      </c>
      <c r="F418">
        <v>9</v>
      </c>
      <c r="G418">
        <v>5</v>
      </c>
      <c r="H418" t="s">
        <v>13</v>
      </c>
      <c r="I418">
        <v>714.29</v>
      </c>
      <c r="J418" t="str">
        <f t="shared" si="6"/>
        <v>High</v>
      </c>
    </row>
    <row r="419" spans="1:10" x14ac:dyDescent="0.25">
      <c r="A419">
        <v>322</v>
      </c>
      <c r="B419">
        <v>46</v>
      </c>
      <c r="C419" t="s">
        <v>45</v>
      </c>
      <c r="D419" s="3">
        <v>126553</v>
      </c>
      <c r="E419">
        <v>16</v>
      </c>
      <c r="F419">
        <v>2</v>
      </c>
      <c r="G419">
        <v>22</v>
      </c>
      <c r="H419" t="s">
        <v>13</v>
      </c>
      <c r="I419">
        <v>85.56</v>
      </c>
      <c r="J419" t="str">
        <f t="shared" si="6"/>
        <v>Low</v>
      </c>
    </row>
    <row r="420" spans="1:10" x14ac:dyDescent="0.25">
      <c r="A420">
        <v>323</v>
      </c>
      <c r="B420">
        <v>55</v>
      </c>
      <c r="C420" t="s">
        <v>45</v>
      </c>
      <c r="D420" s="3">
        <v>80006</v>
      </c>
      <c r="E420">
        <v>44</v>
      </c>
      <c r="F420">
        <v>2</v>
      </c>
      <c r="G420">
        <v>49</v>
      </c>
      <c r="H420" t="s">
        <v>17</v>
      </c>
      <c r="I420">
        <v>727.51</v>
      </c>
      <c r="J420" t="str">
        <f t="shared" si="6"/>
        <v>Medium</v>
      </c>
    </row>
    <row r="421" spans="1:10" x14ac:dyDescent="0.25">
      <c r="A421">
        <v>325</v>
      </c>
      <c r="B421">
        <v>41</v>
      </c>
      <c r="C421" t="s">
        <v>45</v>
      </c>
      <c r="D421" s="3">
        <v>71410</v>
      </c>
      <c r="E421">
        <v>69</v>
      </c>
      <c r="F421">
        <v>1</v>
      </c>
      <c r="G421">
        <v>32</v>
      </c>
      <c r="H421" t="s">
        <v>13</v>
      </c>
      <c r="I421">
        <v>456.67</v>
      </c>
      <c r="J421" t="str">
        <f t="shared" si="6"/>
        <v>High</v>
      </c>
    </row>
    <row r="422" spans="1:10" x14ac:dyDescent="0.25">
      <c r="A422">
        <v>326</v>
      </c>
      <c r="B422">
        <v>59</v>
      </c>
      <c r="C422" t="s">
        <v>45</v>
      </c>
      <c r="D422" s="3">
        <v>49020</v>
      </c>
      <c r="E422">
        <v>100</v>
      </c>
      <c r="F422">
        <v>2</v>
      </c>
      <c r="G422">
        <v>42</v>
      </c>
      <c r="H422" t="s">
        <v>16</v>
      </c>
      <c r="I422">
        <v>588.17999999999995</v>
      </c>
      <c r="J422" t="str">
        <f t="shared" si="6"/>
        <v>High</v>
      </c>
    </row>
    <row r="423" spans="1:10" x14ac:dyDescent="0.25">
      <c r="A423">
        <v>329</v>
      </c>
      <c r="B423">
        <v>68</v>
      </c>
      <c r="C423" t="s">
        <v>45</v>
      </c>
      <c r="D423" s="3">
        <v>76921</v>
      </c>
      <c r="E423">
        <v>79</v>
      </c>
      <c r="F423">
        <v>1</v>
      </c>
      <c r="G423">
        <v>23</v>
      </c>
      <c r="H423" t="s">
        <v>16</v>
      </c>
      <c r="I423">
        <v>122.02</v>
      </c>
      <c r="J423" t="str">
        <f t="shared" si="6"/>
        <v>High</v>
      </c>
    </row>
    <row r="424" spans="1:10" x14ac:dyDescent="0.25">
      <c r="A424">
        <v>334</v>
      </c>
      <c r="B424">
        <v>58</v>
      </c>
      <c r="C424" t="s">
        <v>45</v>
      </c>
      <c r="D424" s="3">
        <v>99475</v>
      </c>
      <c r="E424">
        <v>27</v>
      </c>
      <c r="F424">
        <v>9</v>
      </c>
      <c r="G424">
        <v>9</v>
      </c>
      <c r="H424" t="s">
        <v>16</v>
      </c>
      <c r="I424">
        <v>249.39</v>
      </c>
      <c r="J424" t="str">
        <f t="shared" si="6"/>
        <v>Low</v>
      </c>
    </row>
    <row r="425" spans="1:10" x14ac:dyDescent="0.25">
      <c r="A425">
        <v>336</v>
      </c>
      <c r="B425">
        <v>40</v>
      </c>
      <c r="C425" t="s">
        <v>45</v>
      </c>
      <c r="D425" s="3">
        <v>107488</v>
      </c>
      <c r="E425">
        <v>96</v>
      </c>
      <c r="F425">
        <v>7</v>
      </c>
      <c r="G425">
        <v>16</v>
      </c>
      <c r="H425" t="s">
        <v>16</v>
      </c>
      <c r="I425">
        <v>843.6</v>
      </c>
      <c r="J425" t="str">
        <f t="shared" si="6"/>
        <v>High</v>
      </c>
    </row>
    <row r="426" spans="1:10" x14ac:dyDescent="0.25">
      <c r="A426">
        <v>338</v>
      </c>
      <c r="B426">
        <v>42</v>
      </c>
      <c r="C426" t="s">
        <v>45</v>
      </c>
      <c r="D426" s="3">
        <v>115381</v>
      </c>
      <c r="E426">
        <v>70</v>
      </c>
      <c r="F426">
        <v>7</v>
      </c>
      <c r="G426">
        <v>33</v>
      </c>
      <c r="H426" t="s">
        <v>13</v>
      </c>
      <c r="I426">
        <v>592.52</v>
      </c>
      <c r="J426" t="str">
        <f t="shared" si="6"/>
        <v>High</v>
      </c>
    </row>
    <row r="427" spans="1:10" x14ac:dyDescent="0.25">
      <c r="A427">
        <v>340</v>
      </c>
      <c r="B427">
        <v>48</v>
      </c>
      <c r="C427" t="s">
        <v>45</v>
      </c>
      <c r="D427" s="3">
        <v>30374</v>
      </c>
      <c r="E427">
        <v>28</v>
      </c>
      <c r="F427">
        <v>7</v>
      </c>
      <c r="G427">
        <v>34</v>
      </c>
      <c r="H427" t="s">
        <v>16</v>
      </c>
      <c r="I427">
        <v>463.78</v>
      </c>
      <c r="J427" t="str">
        <f t="shared" si="6"/>
        <v>Low</v>
      </c>
    </row>
    <row r="428" spans="1:10" x14ac:dyDescent="0.25">
      <c r="A428">
        <v>351</v>
      </c>
      <c r="B428">
        <v>68</v>
      </c>
      <c r="C428" t="s">
        <v>45</v>
      </c>
      <c r="D428" s="3">
        <v>122661</v>
      </c>
      <c r="E428">
        <v>16</v>
      </c>
      <c r="F428">
        <v>4</v>
      </c>
      <c r="G428">
        <v>48</v>
      </c>
      <c r="H428" t="s">
        <v>16</v>
      </c>
      <c r="I428">
        <v>85.44</v>
      </c>
      <c r="J428" t="str">
        <f t="shared" si="6"/>
        <v>Low</v>
      </c>
    </row>
    <row r="429" spans="1:10" x14ac:dyDescent="0.25">
      <c r="A429">
        <v>353</v>
      </c>
      <c r="B429">
        <v>61</v>
      </c>
      <c r="C429" t="s">
        <v>45</v>
      </c>
      <c r="D429" s="3">
        <v>120516</v>
      </c>
      <c r="E429">
        <v>100</v>
      </c>
      <c r="F429">
        <v>10</v>
      </c>
      <c r="G429">
        <v>47</v>
      </c>
      <c r="H429" t="s">
        <v>13</v>
      </c>
      <c r="I429">
        <v>475.52</v>
      </c>
      <c r="J429" t="str">
        <f t="shared" si="6"/>
        <v>High</v>
      </c>
    </row>
    <row r="430" spans="1:10" x14ac:dyDescent="0.25">
      <c r="A430">
        <v>356</v>
      </c>
      <c r="B430">
        <v>32</v>
      </c>
      <c r="C430" t="s">
        <v>45</v>
      </c>
      <c r="D430" s="3">
        <v>94627</v>
      </c>
      <c r="E430">
        <v>88</v>
      </c>
      <c r="F430">
        <v>9</v>
      </c>
      <c r="G430">
        <v>30</v>
      </c>
      <c r="H430" t="s">
        <v>17</v>
      </c>
      <c r="I430">
        <v>703.94</v>
      </c>
      <c r="J430" t="str">
        <f t="shared" si="6"/>
        <v>High</v>
      </c>
    </row>
    <row r="431" spans="1:10" x14ac:dyDescent="0.25">
      <c r="A431">
        <v>357</v>
      </c>
      <c r="B431">
        <v>49</v>
      </c>
      <c r="C431" t="s">
        <v>45</v>
      </c>
      <c r="D431" s="3">
        <v>103191</v>
      </c>
      <c r="E431">
        <v>34</v>
      </c>
      <c r="F431">
        <v>5</v>
      </c>
      <c r="G431">
        <v>41</v>
      </c>
      <c r="H431" t="s">
        <v>17</v>
      </c>
      <c r="I431">
        <v>253.63</v>
      </c>
      <c r="J431" t="str">
        <f t="shared" si="6"/>
        <v>Medium</v>
      </c>
    </row>
    <row r="432" spans="1:10" x14ac:dyDescent="0.25">
      <c r="A432">
        <v>363</v>
      </c>
      <c r="B432">
        <v>26</v>
      </c>
      <c r="C432" t="s">
        <v>45</v>
      </c>
      <c r="D432" s="3">
        <v>149741</v>
      </c>
      <c r="E432">
        <v>51</v>
      </c>
      <c r="F432">
        <v>4</v>
      </c>
      <c r="G432">
        <v>37</v>
      </c>
      <c r="H432" t="s">
        <v>13</v>
      </c>
      <c r="I432">
        <v>685.36</v>
      </c>
      <c r="J432" t="str">
        <f t="shared" si="6"/>
        <v>Medium</v>
      </c>
    </row>
    <row r="433" spans="1:10" x14ac:dyDescent="0.25">
      <c r="A433">
        <v>365</v>
      </c>
      <c r="B433">
        <v>21</v>
      </c>
      <c r="C433" t="s">
        <v>45</v>
      </c>
      <c r="D433" s="3">
        <v>90000</v>
      </c>
      <c r="E433">
        <v>42</v>
      </c>
      <c r="F433">
        <v>4</v>
      </c>
      <c r="G433">
        <v>23</v>
      </c>
      <c r="H433" t="s">
        <v>13</v>
      </c>
      <c r="I433">
        <v>278.14999999999998</v>
      </c>
      <c r="J433" t="str">
        <f t="shared" si="6"/>
        <v>Medium</v>
      </c>
    </row>
    <row r="434" spans="1:10" x14ac:dyDescent="0.25">
      <c r="A434">
        <v>366</v>
      </c>
      <c r="B434">
        <v>19</v>
      </c>
      <c r="C434" t="s">
        <v>45</v>
      </c>
      <c r="D434" s="3">
        <v>105019</v>
      </c>
      <c r="E434">
        <v>84</v>
      </c>
      <c r="F434">
        <v>8</v>
      </c>
      <c r="G434">
        <v>32</v>
      </c>
      <c r="H434" t="s">
        <v>17</v>
      </c>
      <c r="I434">
        <v>735.3</v>
      </c>
      <c r="J434" t="str">
        <f t="shared" si="6"/>
        <v>High</v>
      </c>
    </row>
    <row r="435" spans="1:10" x14ac:dyDescent="0.25">
      <c r="A435">
        <v>396</v>
      </c>
      <c r="B435">
        <v>54</v>
      </c>
      <c r="C435" t="s">
        <v>45</v>
      </c>
      <c r="D435" s="3">
        <v>87418</v>
      </c>
      <c r="E435">
        <v>21</v>
      </c>
      <c r="F435">
        <v>2</v>
      </c>
      <c r="G435">
        <v>27</v>
      </c>
      <c r="H435" t="s">
        <v>16</v>
      </c>
      <c r="I435">
        <v>846.76</v>
      </c>
      <c r="J435" t="str">
        <f t="shared" si="6"/>
        <v>Low</v>
      </c>
    </row>
    <row r="436" spans="1:10" x14ac:dyDescent="0.25">
      <c r="A436">
        <v>403</v>
      </c>
      <c r="B436">
        <v>40</v>
      </c>
      <c r="C436" t="s">
        <v>45</v>
      </c>
      <c r="D436" s="3">
        <v>127948</v>
      </c>
      <c r="E436">
        <v>29</v>
      </c>
      <c r="F436">
        <v>6</v>
      </c>
      <c r="G436">
        <v>26</v>
      </c>
      <c r="H436" t="s">
        <v>16</v>
      </c>
      <c r="I436">
        <v>144.78</v>
      </c>
      <c r="J436" t="str">
        <f t="shared" si="6"/>
        <v>Low</v>
      </c>
    </row>
    <row r="437" spans="1:10" x14ac:dyDescent="0.25">
      <c r="A437">
        <v>406</v>
      </c>
      <c r="B437">
        <v>29</v>
      </c>
      <c r="C437" t="s">
        <v>45</v>
      </c>
      <c r="D437" s="3">
        <v>141369</v>
      </c>
      <c r="E437">
        <v>42</v>
      </c>
      <c r="F437">
        <v>10</v>
      </c>
      <c r="G437">
        <v>16</v>
      </c>
      <c r="H437" t="s">
        <v>13</v>
      </c>
      <c r="I437">
        <v>862.54</v>
      </c>
      <c r="J437" t="str">
        <f t="shared" si="6"/>
        <v>Medium</v>
      </c>
    </row>
    <row r="438" spans="1:10" x14ac:dyDescent="0.25">
      <c r="A438">
        <v>407</v>
      </c>
      <c r="B438">
        <v>24</v>
      </c>
      <c r="C438" t="s">
        <v>45</v>
      </c>
      <c r="D438" s="3">
        <v>119844</v>
      </c>
      <c r="E438">
        <v>78</v>
      </c>
      <c r="F438">
        <v>4</v>
      </c>
      <c r="G438">
        <v>6</v>
      </c>
      <c r="H438" t="s">
        <v>16</v>
      </c>
      <c r="I438">
        <v>572.30999999999995</v>
      </c>
      <c r="J438" t="str">
        <f t="shared" si="6"/>
        <v>High</v>
      </c>
    </row>
    <row r="439" spans="1:10" x14ac:dyDescent="0.25">
      <c r="A439">
        <v>408</v>
      </c>
      <c r="B439">
        <v>40</v>
      </c>
      <c r="C439" t="s">
        <v>45</v>
      </c>
      <c r="D439" s="3">
        <v>135305</v>
      </c>
      <c r="E439">
        <v>54</v>
      </c>
      <c r="F439">
        <v>8</v>
      </c>
      <c r="G439">
        <v>29</v>
      </c>
      <c r="H439" t="s">
        <v>17</v>
      </c>
      <c r="I439">
        <v>831.6</v>
      </c>
      <c r="J439" t="str">
        <f t="shared" si="6"/>
        <v>Medium</v>
      </c>
    </row>
    <row r="440" spans="1:10" x14ac:dyDescent="0.25">
      <c r="A440">
        <v>412</v>
      </c>
      <c r="B440">
        <v>61</v>
      </c>
      <c r="C440" t="s">
        <v>45</v>
      </c>
      <c r="D440" s="3">
        <v>80988</v>
      </c>
      <c r="E440">
        <v>34</v>
      </c>
      <c r="F440">
        <v>8</v>
      </c>
      <c r="G440">
        <v>14</v>
      </c>
      <c r="H440" t="s">
        <v>17</v>
      </c>
      <c r="I440">
        <v>937.86</v>
      </c>
      <c r="J440" t="str">
        <f t="shared" si="6"/>
        <v>Medium</v>
      </c>
    </row>
    <row r="441" spans="1:10" x14ac:dyDescent="0.25">
      <c r="A441">
        <v>417</v>
      </c>
      <c r="B441">
        <v>52</v>
      </c>
      <c r="C441" t="s">
        <v>45</v>
      </c>
      <c r="D441" s="3">
        <v>101105</v>
      </c>
      <c r="E441">
        <v>11</v>
      </c>
      <c r="F441">
        <v>9</v>
      </c>
      <c r="G441">
        <v>2</v>
      </c>
      <c r="H441" t="s">
        <v>13</v>
      </c>
      <c r="I441">
        <v>714.72</v>
      </c>
      <c r="J441" t="str">
        <f t="shared" si="6"/>
        <v>Low</v>
      </c>
    </row>
    <row r="442" spans="1:10" x14ac:dyDescent="0.25">
      <c r="A442">
        <v>419</v>
      </c>
      <c r="B442">
        <v>64</v>
      </c>
      <c r="C442" t="s">
        <v>45</v>
      </c>
      <c r="D442" s="3">
        <v>71594</v>
      </c>
      <c r="E442">
        <v>40</v>
      </c>
      <c r="F442">
        <v>4</v>
      </c>
      <c r="G442">
        <v>42</v>
      </c>
      <c r="H442" t="s">
        <v>17</v>
      </c>
      <c r="I442">
        <v>487.73</v>
      </c>
      <c r="J442" t="str">
        <f t="shared" si="6"/>
        <v>Medium</v>
      </c>
    </row>
    <row r="443" spans="1:10" x14ac:dyDescent="0.25">
      <c r="A443">
        <v>422</v>
      </c>
      <c r="B443">
        <v>56</v>
      </c>
      <c r="C443" t="s">
        <v>45</v>
      </c>
      <c r="D443" s="3">
        <v>36843</v>
      </c>
      <c r="E443">
        <v>46</v>
      </c>
      <c r="F443">
        <v>7</v>
      </c>
      <c r="G443">
        <v>12</v>
      </c>
      <c r="H443" t="s">
        <v>13</v>
      </c>
      <c r="I443">
        <v>22.15</v>
      </c>
      <c r="J443" t="str">
        <f t="shared" si="6"/>
        <v>Medium</v>
      </c>
    </row>
    <row r="444" spans="1:10" x14ac:dyDescent="0.25">
      <c r="A444">
        <v>428</v>
      </c>
      <c r="B444">
        <v>54</v>
      </c>
      <c r="C444" t="s">
        <v>45</v>
      </c>
      <c r="D444" s="3">
        <v>90780</v>
      </c>
      <c r="E444">
        <v>24</v>
      </c>
      <c r="F444">
        <v>3</v>
      </c>
      <c r="G444">
        <v>46</v>
      </c>
      <c r="H444" t="s">
        <v>16</v>
      </c>
      <c r="I444">
        <v>824.65</v>
      </c>
      <c r="J444" t="str">
        <f t="shared" si="6"/>
        <v>Low</v>
      </c>
    </row>
    <row r="445" spans="1:10" x14ac:dyDescent="0.25">
      <c r="A445">
        <v>430</v>
      </c>
      <c r="B445">
        <v>64</v>
      </c>
      <c r="C445" t="s">
        <v>45</v>
      </c>
      <c r="D445" s="3">
        <v>124369</v>
      </c>
      <c r="E445">
        <v>74</v>
      </c>
      <c r="F445">
        <v>2</v>
      </c>
      <c r="G445">
        <v>3</v>
      </c>
      <c r="H445" t="s">
        <v>13</v>
      </c>
      <c r="I445">
        <v>275.39999999999998</v>
      </c>
      <c r="J445" t="str">
        <f t="shared" si="6"/>
        <v>High</v>
      </c>
    </row>
    <row r="446" spans="1:10" x14ac:dyDescent="0.25">
      <c r="A446">
        <v>437</v>
      </c>
      <c r="B446">
        <v>48</v>
      </c>
      <c r="C446" t="s">
        <v>45</v>
      </c>
      <c r="D446" s="3">
        <v>51565</v>
      </c>
      <c r="E446">
        <v>44</v>
      </c>
      <c r="F446">
        <v>5</v>
      </c>
      <c r="G446">
        <v>20</v>
      </c>
      <c r="H446" t="s">
        <v>16</v>
      </c>
      <c r="I446">
        <v>552.48</v>
      </c>
      <c r="J446" t="str">
        <f t="shared" si="6"/>
        <v>Medium</v>
      </c>
    </row>
    <row r="447" spans="1:10" x14ac:dyDescent="0.25">
      <c r="A447">
        <v>444</v>
      </c>
      <c r="B447">
        <v>62</v>
      </c>
      <c r="C447" t="s">
        <v>45</v>
      </c>
      <c r="D447" s="3">
        <v>59481</v>
      </c>
      <c r="E447">
        <v>30</v>
      </c>
      <c r="F447">
        <v>4</v>
      </c>
      <c r="G447">
        <v>35</v>
      </c>
      <c r="H447" t="s">
        <v>17</v>
      </c>
      <c r="I447">
        <v>121</v>
      </c>
      <c r="J447" t="str">
        <f t="shared" si="6"/>
        <v>Low</v>
      </c>
    </row>
    <row r="448" spans="1:10" x14ac:dyDescent="0.25">
      <c r="A448">
        <v>447</v>
      </c>
      <c r="B448">
        <v>27</v>
      </c>
      <c r="C448" t="s">
        <v>45</v>
      </c>
      <c r="D448" s="3">
        <v>68689</v>
      </c>
      <c r="E448">
        <v>83</v>
      </c>
      <c r="F448">
        <v>8</v>
      </c>
      <c r="G448">
        <v>33</v>
      </c>
      <c r="H448" t="s">
        <v>16</v>
      </c>
      <c r="I448">
        <v>782.58</v>
      </c>
      <c r="J448" t="str">
        <f t="shared" si="6"/>
        <v>High</v>
      </c>
    </row>
    <row r="449" spans="1:10" x14ac:dyDescent="0.25">
      <c r="A449">
        <v>451</v>
      </c>
      <c r="B449">
        <v>24</v>
      </c>
      <c r="C449" t="s">
        <v>45</v>
      </c>
      <c r="D449" s="3">
        <v>147555</v>
      </c>
      <c r="E449">
        <v>65</v>
      </c>
      <c r="F449">
        <v>4</v>
      </c>
      <c r="G449">
        <v>28</v>
      </c>
      <c r="H449" t="s">
        <v>16</v>
      </c>
      <c r="I449">
        <v>434.84</v>
      </c>
      <c r="J449" t="str">
        <f t="shared" si="6"/>
        <v>Medium</v>
      </c>
    </row>
    <row r="450" spans="1:10" x14ac:dyDescent="0.25">
      <c r="A450">
        <v>456</v>
      </c>
      <c r="B450">
        <v>61</v>
      </c>
      <c r="C450" t="s">
        <v>45</v>
      </c>
      <c r="D450" s="3">
        <v>57851</v>
      </c>
      <c r="E450">
        <v>46</v>
      </c>
      <c r="F450">
        <v>3</v>
      </c>
      <c r="G450">
        <v>5</v>
      </c>
      <c r="H450" t="s">
        <v>17</v>
      </c>
      <c r="I450">
        <v>604.29</v>
      </c>
      <c r="J450" t="str">
        <f t="shared" ref="J450:J513" si="7">IF(E450&lt;33,"Low",IF(E450&lt;66,"Medium","High"))</f>
        <v>Medium</v>
      </c>
    </row>
    <row r="451" spans="1:10" x14ac:dyDescent="0.25">
      <c r="A451">
        <v>459</v>
      </c>
      <c r="B451">
        <v>30</v>
      </c>
      <c r="C451" t="s">
        <v>45</v>
      </c>
      <c r="D451" s="3">
        <v>100399</v>
      </c>
      <c r="E451">
        <v>96</v>
      </c>
      <c r="F451">
        <v>2</v>
      </c>
      <c r="G451">
        <v>5</v>
      </c>
      <c r="H451" t="s">
        <v>17</v>
      </c>
      <c r="I451">
        <v>705.64</v>
      </c>
      <c r="J451" t="str">
        <f t="shared" si="7"/>
        <v>High</v>
      </c>
    </row>
    <row r="452" spans="1:10" x14ac:dyDescent="0.25">
      <c r="A452">
        <v>466</v>
      </c>
      <c r="B452">
        <v>69</v>
      </c>
      <c r="C452" t="s">
        <v>45</v>
      </c>
      <c r="D452" s="3">
        <v>143640</v>
      </c>
      <c r="E452">
        <v>14</v>
      </c>
      <c r="F452">
        <v>8</v>
      </c>
      <c r="G452">
        <v>2</v>
      </c>
      <c r="H452" t="s">
        <v>17</v>
      </c>
      <c r="I452">
        <v>387.39</v>
      </c>
      <c r="J452" t="str">
        <f t="shared" si="7"/>
        <v>Low</v>
      </c>
    </row>
    <row r="453" spans="1:10" x14ac:dyDescent="0.25">
      <c r="A453">
        <v>469</v>
      </c>
      <c r="B453">
        <v>32</v>
      </c>
      <c r="C453" t="s">
        <v>45</v>
      </c>
      <c r="D453" s="3">
        <v>100736</v>
      </c>
      <c r="E453">
        <v>84</v>
      </c>
      <c r="F453">
        <v>10</v>
      </c>
      <c r="G453">
        <v>32</v>
      </c>
      <c r="H453" t="s">
        <v>16</v>
      </c>
      <c r="I453">
        <v>863.93</v>
      </c>
      <c r="J453" t="str">
        <f t="shared" si="7"/>
        <v>High</v>
      </c>
    </row>
    <row r="454" spans="1:10" x14ac:dyDescent="0.25">
      <c r="A454">
        <v>470</v>
      </c>
      <c r="B454">
        <v>53</v>
      </c>
      <c r="C454" t="s">
        <v>45</v>
      </c>
      <c r="D454" s="3">
        <v>139508</v>
      </c>
      <c r="E454">
        <v>92</v>
      </c>
      <c r="F454">
        <v>6</v>
      </c>
      <c r="G454">
        <v>39</v>
      </c>
      <c r="H454" t="s">
        <v>17</v>
      </c>
      <c r="I454">
        <v>172.99</v>
      </c>
      <c r="J454" t="str">
        <f t="shared" si="7"/>
        <v>High</v>
      </c>
    </row>
    <row r="455" spans="1:10" x14ac:dyDescent="0.25">
      <c r="A455">
        <v>475</v>
      </c>
      <c r="B455">
        <v>36</v>
      </c>
      <c r="C455" t="s">
        <v>45</v>
      </c>
      <c r="D455" s="3">
        <v>112674</v>
      </c>
      <c r="E455">
        <v>12</v>
      </c>
      <c r="F455">
        <v>7</v>
      </c>
      <c r="G455">
        <v>35</v>
      </c>
      <c r="H455" t="s">
        <v>16</v>
      </c>
      <c r="I455">
        <v>590.32000000000005</v>
      </c>
      <c r="J455" t="str">
        <f t="shared" si="7"/>
        <v>Low</v>
      </c>
    </row>
    <row r="456" spans="1:10" x14ac:dyDescent="0.25">
      <c r="A456">
        <v>478</v>
      </c>
      <c r="B456">
        <v>48</v>
      </c>
      <c r="C456" t="s">
        <v>45</v>
      </c>
      <c r="D456" s="3">
        <v>143424</v>
      </c>
      <c r="E456">
        <v>24</v>
      </c>
      <c r="F456">
        <v>3</v>
      </c>
      <c r="G456">
        <v>22</v>
      </c>
      <c r="H456" t="s">
        <v>13</v>
      </c>
      <c r="I456">
        <v>594.94000000000005</v>
      </c>
      <c r="J456" t="str">
        <f t="shared" si="7"/>
        <v>Low</v>
      </c>
    </row>
    <row r="457" spans="1:10" x14ac:dyDescent="0.25">
      <c r="A457">
        <v>482</v>
      </c>
      <c r="B457">
        <v>65</v>
      </c>
      <c r="C457" t="s">
        <v>45</v>
      </c>
      <c r="D457" s="3">
        <v>120542</v>
      </c>
      <c r="E457">
        <v>52</v>
      </c>
      <c r="F457">
        <v>3</v>
      </c>
      <c r="G457">
        <v>36</v>
      </c>
      <c r="H457" t="s">
        <v>17</v>
      </c>
      <c r="I457">
        <v>70.22</v>
      </c>
      <c r="J457" t="str">
        <f t="shared" si="7"/>
        <v>Medium</v>
      </c>
    </row>
    <row r="458" spans="1:10" x14ac:dyDescent="0.25">
      <c r="A458">
        <v>486</v>
      </c>
      <c r="B458">
        <v>66</v>
      </c>
      <c r="C458" t="s">
        <v>45</v>
      </c>
      <c r="D458" s="3">
        <v>91672</v>
      </c>
      <c r="E458">
        <v>71</v>
      </c>
      <c r="F458">
        <v>5</v>
      </c>
      <c r="G458">
        <v>9</v>
      </c>
      <c r="H458" t="s">
        <v>17</v>
      </c>
      <c r="I458">
        <v>10.4</v>
      </c>
      <c r="J458" t="str">
        <f t="shared" si="7"/>
        <v>High</v>
      </c>
    </row>
    <row r="459" spans="1:10" x14ac:dyDescent="0.25">
      <c r="A459">
        <v>488</v>
      </c>
      <c r="B459">
        <v>47</v>
      </c>
      <c r="C459" t="s">
        <v>45</v>
      </c>
      <c r="D459" s="3">
        <v>124597</v>
      </c>
      <c r="E459">
        <v>67</v>
      </c>
      <c r="F459">
        <v>9</v>
      </c>
      <c r="G459">
        <v>8</v>
      </c>
      <c r="H459" t="s">
        <v>17</v>
      </c>
      <c r="I459">
        <v>885.33</v>
      </c>
      <c r="J459" t="str">
        <f t="shared" si="7"/>
        <v>High</v>
      </c>
    </row>
    <row r="460" spans="1:10" x14ac:dyDescent="0.25">
      <c r="A460">
        <v>517</v>
      </c>
      <c r="B460">
        <v>18</v>
      </c>
      <c r="C460" t="s">
        <v>45</v>
      </c>
      <c r="D460" s="3">
        <v>112021</v>
      </c>
      <c r="E460">
        <v>9</v>
      </c>
      <c r="F460">
        <v>3</v>
      </c>
      <c r="G460">
        <v>11</v>
      </c>
      <c r="H460" t="s">
        <v>16</v>
      </c>
      <c r="I460">
        <v>588.37</v>
      </c>
      <c r="J460" t="str">
        <f t="shared" si="7"/>
        <v>Low</v>
      </c>
    </row>
    <row r="461" spans="1:10" x14ac:dyDescent="0.25">
      <c r="A461">
        <v>521</v>
      </c>
      <c r="B461">
        <v>69</v>
      </c>
      <c r="C461" t="s">
        <v>45</v>
      </c>
      <c r="D461" s="3">
        <v>78534</v>
      </c>
      <c r="E461">
        <v>100</v>
      </c>
      <c r="F461">
        <v>2</v>
      </c>
      <c r="G461">
        <v>9</v>
      </c>
      <c r="H461" t="s">
        <v>13</v>
      </c>
      <c r="I461">
        <v>75.03</v>
      </c>
      <c r="J461" t="str">
        <f t="shared" si="7"/>
        <v>High</v>
      </c>
    </row>
    <row r="462" spans="1:10" x14ac:dyDescent="0.25">
      <c r="A462">
        <v>542</v>
      </c>
      <c r="B462">
        <v>69</v>
      </c>
      <c r="C462" t="s">
        <v>45</v>
      </c>
      <c r="D462" s="3">
        <v>86860</v>
      </c>
      <c r="E462">
        <v>70</v>
      </c>
      <c r="F462">
        <v>1</v>
      </c>
      <c r="G462">
        <v>1</v>
      </c>
      <c r="H462" t="s">
        <v>17</v>
      </c>
      <c r="I462">
        <v>812.25</v>
      </c>
      <c r="J462" t="str">
        <f t="shared" si="7"/>
        <v>High</v>
      </c>
    </row>
    <row r="463" spans="1:10" x14ac:dyDescent="0.25">
      <c r="A463">
        <v>546</v>
      </c>
      <c r="B463">
        <v>44</v>
      </c>
      <c r="C463" t="s">
        <v>45</v>
      </c>
      <c r="D463" s="3">
        <v>112137</v>
      </c>
      <c r="E463">
        <v>37</v>
      </c>
      <c r="F463">
        <v>7</v>
      </c>
      <c r="G463">
        <v>18</v>
      </c>
      <c r="H463" t="s">
        <v>16</v>
      </c>
      <c r="I463">
        <v>769.16</v>
      </c>
      <c r="J463" t="str">
        <f t="shared" si="7"/>
        <v>Medium</v>
      </c>
    </row>
    <row r="464" spans="1:10" x14ac:dyDescent="0.25">
      <c r="A464">
        <v>561</v>
      </c>
      <c r="B464">
        <v>61</v>
      </c>
      <c r="C464" t="s">
        <v>45</v>
      </c>
      <c r="D464" s="3">
        <v>137276</v>
      </c>
      <c r="E464">
        <v>92</v>
      </c>
      <c r="F464">
        <v>5</v>
      </c>
      <c r="G464">
        <v>8</v>
      </c>
      <c r="H464" t="s">
        <v>16</v>
      </c>
      <c r="I464">
        <v>482.77</v>
      </c>
      <c r="J464" t="str">
        <f t="shared" si="7"/>
        <v>High</v>
      </c>
    </row>
    <row r="465" spans="1:10" x14ac:dyDescent="0.25">
      <c r="A465">
        <v>570</v>
      </c>
      <c r="B465">
        <v>18</v>
      </c>
      <c r="C465" t="s">
        <v>45</v>
      </c>
      <c r="D465" s="3">
        <v>94701</v>
      </c>
      <c r="E465">
        <v>69</v>
      </c>
      <c r="F465">
        <v>8</v>
      </c>
      <c r="G465">
        <v>48</v>
      </c>
      <c r="H465" t="s">
        <v>17</v>
      </c>
      <c r="I465">
        <v>760.34</v>
      </c>
      <c r="J465" t="str">
        <f t="shared" si="7"/>
        <v>High</v>
      </c>
    </row>
    <row r="466" spans="1:10" x14ac:dyDescent="0.25">
      <c r="A466">
        <v>574</v>
      </c>
      <c r="B466">
        <v>48</v>
      </c>
      <c r="C466" t="s">
        <v>45</v>
      </c>
      <c r="D466" s="3">
        <v>93084</v>
      </c>
      <c r="E466">
        <v>30</v>
      </c>
      <c r="F466">
        <v>7</v>
      </c>
      <c r="G466">
        <v>5</v>
      </c>
      <c r="H466" t="s">
        <v>17</v>
      </c>
      <c r="I466">
        <v>480.55</v>
      </c>
      <c r="J466" t="str">
        <f t="shared" si="7"/>
        <v>Low</v>
      </c>
    </row>
    <row r="467" spans="1:10" x14ac:dyDescent="0.25">
      <c r="A467">
        <v>587</v>
      </c>
      <c r="B467">
        <v>20</v>
      </c>
      <c r="C467" t="s">
        <v>45</v>
      </c>
      <c r="D467" s="3">
        <v>61541</v>
      </c>
      <c r="E467">
        <v>80</v>
      </c>
      <c r="F467">
        <v>2</v>
      </c>
      <c r="G467">
        <v>14</v>
      </c>
      <c r="H467" t="s">
        <v>16</v>
      </c>
      <c r="I467">
        <v>48.5</v>
      </c>
      <c r="J467" t="str">
        <f t="shared" si="7"/>
        <v>High</v>
      </c>
    </row>
    <row r="468" spans="1:10" x14ac:dyDescent="0.25">
      <c r="A468">
        <v>588</v>
      </c>
      <c r="B468">
        <v>47</v>
      </c>
      <c r="C468" t="s">
        <v>45</v>
      </c>
      <c r="D468" s="3">
        <v>55753</v>
      </c>
      <c r="E468">
        <v>69</v>
      </c>
      <c r="F468">
        <v>5</v>
      </c>
      <c r="G468">
        <v>40</v>
      </c>
      <c r="H468" t="s">
        <v>13</v>
      </c>
      <c r="I468">
        <v>772.89</v>
      </c>
      <c r="J468" t="str">
        <f t="shared" si="7"/>
        <v>High</v>
      </c>
    </row>
    <row r="469" spans="1:10" x14ac:dyDescent="0.25">
      <c r="A469">
        <v>589</v>
      </c>
      <c r="B469">
        <v>29</v>
      </c>
      <c r="C469" t="s">
        <v>45</v>
      </c>
      <c r="D469" s="3">
        <v>80868</v>
      </c>
      <c r="E469">
        <v>33</v>
      </c>
      <c r="F469">
        <v>6</v>
      </c>
      <c r="G469">
        <v>15</v>
      </c>
      <c r="H469" t="s">
        <v>17</v>
      </c>
      <c r="I469">
        <v>865.65</v>
      </c>
      <c r="J469" t="str">
        <f t="shared" si="7"/>
        <v>Medium</v>
      </c>
    </row>
    <row r="470" spans="1:10" x14ac:dyDescent="0.25">
      <c r="A470">
        <v>595</v>
      </c>
      <c r="B470">
        <v>28</v>
      </c>
      <c r="C470" t="s">
        <v>45</v>
      </c>
      <c r="D470" s="3">
        <v>61870</v>
      </c>
      <c r="E470">
        <v>100</v>
      </c>
      <c r="F470">
        <v>6</v>
      </c>
      <c r="G470">
        <v>3</v>
      </c>
      <c r="H470" t="s">
        <v>16</v>
      </c>
      <c r="I470">
        <v>728.67</v>
      </c>
      <c r="J470" t="str">
        <f t="shared" si="7"/>
        <v>High</v>
      </c>
    </row>
    <row r="471" spans="1:10" x14ac:dyDescent="0.25">
      <c r="A471">
        <v>599</v>
      </c>
      <c r="B471">
        <v>41</v>
      </c>
      <c r="C471" t="s">
        <v>45</v>
      </c>
      <c r="D471" s="3">
        <v>69204</v>
      </c>
      <c r="E471">
        <v>95</v>
      </c>
      <c r="F471">
        <v>4</v>
      </c>
      <c r="G471">
        <v>28</v>
      </c>
      <c r="H471" t="s">
        <v>17</v>
      </c>
      <c r="I471">
        <v>936.04</v>
      </c>
      <c r="J471" t="str">
        <f t="shared" si="7"/>
        <v>High</v>
      </c>
    </row>
    <row r="472" spans="1:10" x14ac:dyDescent="0.25">
      <c r="A472">
        <v>608</v>
      </c>
      <c r="B472">
        <v>41</v>
      </c>
      <c r="C472" t="s">
        <v>45</v>
      </c>
      <c r="D472" s="3">
        <v>67215</v>
      </c>
      <c r="E472">
        <v>34</v>
      </c>
      <c r="F472">
        <v>3</v>
      </c>
      <c r="G472">
        <v>30</v>
      </c>
      <c r="H472" t="s">
        <v>13</v>
      </c>
      <c r="I472">
        <v>460.25</v>
      </c>
      <c r="J472" t="str">
        <f t="shared" si="7"/>
        <v>Medium</v>
      </c>
    </row>
    <row r="473" spans="1:10" x14ac:dyDescent="0.25">
      <c r="A473">
        <v>613</v>
      </c>
      <c r="B473">
        <v>60</v>
      </c>
      <c r="C473" t="s">
        <v>45</v>
      </c>
      <c r="D473" s="3">
        <v>53295</v>
      </c>
      <c r="E473">
        <v>73</v>
      </c>
      <c r="F473">
        <v>3</v>
      </c>
      <c r="G473">
        <v>5</v>
      </c>
      <c r="H473" t="s">
        <v>13</v>
      </c>
      <c r="I473">
        <v>642.29999999999995</v>
      </c>
      <c r="J473" t="str">
        <f t="shared" si="7"/>
        <v>High</v>
      </c>
    </row>
    <row r="474" spans="1:10" x14ac:dyDescent="0.25">
      <c r="A474">
        <v>617</v>
      </c>
      <c r="B474">
        <v>29</v>
      </c>
      <c r="C474" t="s">
        <v>45</v>
      </c>
      <c r="D474" s="3">
        <v>83172</v>
      </c>
      <c r="E474">
        <v>51</v>
      </c>
      <c r="F474">
        <v>8</v>
      </c>
      <c r="G474">
        <v>1</v>
      </c>
      <c r="H474" t="s">
        <v>17</v>
      </c>
      <c r="I474">
        <v>906.75</v>
      </c>
      <c r="J474" t="str">
        <f t="shared" si="7"/>
        <v>Medium</v>
      </c>
    </row>
    <row r="475" spans="1:10" x14ac:dyDescent="0.25">
      <c r="A475">
        <v>619</v>
      </c>
      <c r="B475">
        <v>29</v>
      </c>
      <c r="C475" t="s">
        <v>45</v>
      </c>
      <c r="D475" s="3">
        <v>88288</v>
      </c>
      <c r="E475">
        <v>39</v>
      </c>
      <c r="F475">
        <v>5</v>
      </c>
      <c r="G475">
        <v>50</v>
      </c>
      <c r="H475" t="s">
        <v>16</v>
      </c>
      <c r="I475">
        <v>803.87</v>
      </c>
      <c r="J475" t="str">
        <f t="shared" si="7"/>
        <v>Medium</v>
      </c>
    </row>
    <row r="476" spans="1:10" x14ac:dyDescent="0.25">
      <c r="A476">
        <v>624</v>
      </c>
      <c r="B476">
        <v>59</v>
      </c>
      <c r="C476" t="s">
        <v>45</v>
      </c>
      <c r="D476" s="3">
        <v>66196</v>
      </c>
      <c r="E476">
        <v>37</v>
      </c>
      <c r="F476">
        <v>9</v>
      </c>
      <c r="G476">
        <v>44</v>
      </c>
      <c r="H476" t="s">
        <v>17</v>
      </c>
      <c r="I476">
        <v>483.66</v>
      </c>
      <c r="J476" t="str">
        <f t="shared" si="7"/>
        <v>Medium</v>
      </c>
    </row>
    <row r="477" spans="1:10" x14ac:dyDescent="0.25">
      <c r="A477">
        <v>637</v>
      </c>
      <c r="B477">
        <v>52</v>
      </c>
      <c r="C477" t="s">
        <v>45</v>
      </c>
      <c r="D477" s="3">
        <v>85267</v>
      </c>
      <c r="E477">
        <v>6</v>
      </c>
      <c r="F477">
        <v>5</v>
      </c>
      <c r="G477">
        <v>2</v>
      </c>
      <c r="H477" t="s">
        <v>13</v>
      </c>
      <c r="I477">
        <v>704.32</v>
      </c>
      <c r="J477" t="str">
        <f t="shared" si="7"/>
        <v>Low</v>
      </c>
    </row>
    <row r="478" spans="1:10" x14ac:dyDescent="0.25">
      <c r="A478">
        <v>645</v>
      </c>
      <c r="B478">
        <v>67</v>
      </c>
      <c r="C478" t="s">
        <v>45</v>
      </c>
      <c r="D478" s="3">
        <v>115578</v>
      </c>
      <c r="E478">
        <v>10</v>
      </c>
      <c r="F478">
        <v>1</v>
      </c>
      <c r="G478">
        <v>36</v>
      </c>
      <c r="H478" t="s">
        <v>16</v>
      </c>
      <c r="I478">
        <v>646.16</v>
      </c>
      <c r="J478" t="str">
        <f t="shared" si="7"/>
        <v>Low</v>
      </c>
    </row>
    <row r="479" spans="1:10" x14ac:dyDescent="0.25">
      <c r="A479">
        <v>650</v>
      </c>
      <c r="B479">
        <v>47</v>
      </c>
      <c r="C479" t="s">
        <v>45</v>
      </c>
      <c r="D479" s="3">
        <v>88268</v>
      </c>
      <c r="E479">
        <v>32</v>
      </c>
      <c r="F479">
        <v>8</v>
      </c>
      <c r="G479">
        <v>27</v>
      </c>
      <c r="H479" t="s">
        <v>16</v>
      </c>
      <c r="I479">
        <v>686.5</v>
      </c>
      <c r="J479" t="str">
        <f t="shared" si="7"/>
        <v>Low</v>
      </c>
    </row>
    <row r="480" spans="1:10" x14ac:dyDescent="0.25">
      <c r="A480">
        <v>655</v>
      </c>
      <c r="B480">
        <v>45</v>
      </c>
      <c r="C480" t="s">
        <v>45</v>
      </c>
      <c r="D480" s="3">
        <v>47989</v>
      </c>
      <c r="E480">
        <v>70</v>
      </c>
      <c r="F480">
        <v>6</v>
      </c>
      <c r="G480">
        <v>9</v>
      </c>
      <c r="H480" t="s">
        <v>16</v>
      </c>
      <c r="I480">
        <v>218.77</v>
      </c>
      <c r="J480" t="str">
        <f t="shared" si="7"/>
        <v>High</v>
      </c>
    </row>
    <row r="481" spans="1:10" x14ac:dyDescent="0.25">
      <c r="A481">
        <v>656</v>
      </c>
      <c r="B481">
        <v>33</v>
      </c>
      <c r="C481" t="s">
        <v>45</v>
      </c>
      <c r="D481" s="3">
        <v>65142</v>
      </c>
      <c r="E481">
        <v>45</v>
      </c>
      <c r="F481">
        <v>10</v>
      </c>
      <c r="G481">
        <v>42</v>
      </c>
      <c r="H481" t="s">
        <v>17</v>
      </c>
      <c r="I481">
        <v>132.6</v>
      </c>
      <c r="J481" t="str">
        <f t="shared" si="7"/>
        <v>Medium</v>
      </c>
    </row>
    <row r="482" spans="1:10" x14ac:dyDescent="0.25">
      <c r="A482">
        <v>659</v>
      </c>
      <c r="B482">
        <v>35</v>
      </c>
      <c r="C482" t="s">
        <v>45</v>
      </c>
      <c r="D482" s="3">
        <v>116378</v>
      </c>
      <c r="E482">
        <v>38</v>
      </c>
      <c r="F482">
        <v>10</v>
      </c>
      <c r="G482">
        <v>11</v>
      </c>
      <c r="H482" t="s">
        <v>17</v>
      </c>
      <c r="I482">
        <v>79.27</v>
      </c>
      <c r="J482" t="str">
        <f t="shared" si="7"/>
        <v>Medium</v>
      </c>
    </row>
    <row r="483" spans="1:10" x14ac:dyDescent="0.25">
      <c r="A483">
        <v>662</v>
      </c>
      <c r="B483">
        <v>66</v>
      </c>
      <c r="C483" t="s">
        <v>45</v>
      </c>
      <c r="D483" s="3">
        <v>38652</v>
      </c>
      <c r="E483">
        <v>40</v>
      </c>
      <c r="F483">
        <v>10</v>
      </c>
      <c r="G483">
        <v>7</v>
      </c>
      <c r="H483" t="s">
        <v>13</v>
      </c>
      <c r="I483">
        <v>566.59</v>
      </c>
      <c r="J483" t="str">
        <f t="shared" si="7"/>
        <v>Medium</v>
      </c>
    </row>
    <row r="484" spans="1:10" x14ac:dyDescent="0.25">
      <c r="A484">
        <v>664</v>
      </c>
      <c r="B484">
        <v>56</v>
      </c>
      <c r="C484" t="s">
        <v>45</v>
      </c>
      <c r="D484" s="3">
        <v>30492</v>
      </c>
      <c r="E484">
        <v>47</v>
      </c>
      <c r="F484">
        <v>5</v>
      </c>
      <c r="G484">
        <v>6</v>
      </c>
      <c r="H484" t="s">
        <v>16</v>
      </c>
      <c r="I484">
        <v>725.26</v>
      </c>
      <c r="J484" t="str">
        <f t="shared" si="7"/>
        <v>Medium</v>
      </c>
    </row>
    <row r="485" spans="1:10" x14ac:dyDescent="0.25">
      <c r="A485">
        <v>670</v>
      </c>
      <c r="B485">
        <v>55</v>
      </c>
      <c r="C485" t="s">
        <v>45</v>
      </c>
      <c r="D485" s="3">
        <v>59108</v>
      </c>
      <c r="E485">
        <v>36</v>
      </c>
      <c r="F485">
        <v>6</v>
      </c>
      <c r="G485">
        <v>31</v>
      </c>
      <c r="H485" t="s">
        <v>13</v>
      </c>
      <c r="I485">
        <v>900.16</v>
      </c>
      <c r="J485" t="str">
        <f t="shared" si="7"/>
        <v>Medium</v>
      </c>
    </row>
    <row r="486" spans="1:10" x14ac:dyDescent="0.25">
      <c r="A486">
        <v>678</v>
      </c>
      <c r="B486">
        <v>63</v>
      </c>
      <c r="C486" t="s">
        <v>45</v>
      </c>
      <c r="D486" s="3">
        <v>56374</v>
      </c>
      <c r="E486">
        <v>60</v>
      </c>
      <c r="F486">
        <v>4</v>
      </c>
      <c r="G486">
        <v>45</v>
      </c>
      <c r="H486" t="s">
        <v>13</v>
      </c>
      <c r="I486">
        <v>943.5</v>
      </c>
      <c r="J486" t="str">
        <f t="shared" si="7"/>
        <v>Medium</v>
      </c>
    </row>
    <row r="487" spans="1:10" x14ac:dyDescent="0.25">
      <c r="A487">
        <v>680</v>
      </c>
      <c r="B487">
        <v>36</v>
      </c>
      <c r="C487" t="s">
        <v>45</v>
      </c>
      <c r="D487" s="3">
        <v>106345</v>
      </c>
      <c r="E487">
        <v>98</v>
      </c>
      <c r="F487">
        <v>7</v>
      </c>
      <c r="G487">
        <v>49</v>
      </c>
      <c r="H487" t="s">
        <v>17</v>
      </c>
      <c r="I487">
        <v>55.21</v>
      </c>
      <c r="J487" t="str">
        <f t="shared" si="7"/>
        <v>High</v>
      </c>
    </row>
    <row r="488" spans="1:10" x14ac:dyDescent="0.25">
      <c r="A488">
        <v>689</v>
      </c>
      <c r="B488">
        <v>69</v>
      </c>
      <c r="C488" t="s">
        <v>45</v>
      </c>
      <c r="D488" s="3">
        <v>45024</v>
      </c>
      <c r="E488">
        <v>38</v>
      </c>
      <c r="F488">
        <v>5</v>
      </c>
      <c r="G488">
        <v>11</v>
      </c>
      <c r="H488" t="s">
        <v>17</v>
      </c>
      <c r="I488">
        <v>830.03</v>
      </c>
      <c r="J488" t="str">
        <f t="shared" si="7"/>
        <v>Medium</v>
      </c>
    </row>
    <row r="489" spans="1:10" x14ac:dyDescent="0.25">
      <c r="A489">
        <v>691</v>
      </c>
      <c r="B489">
        <v>53</v>
      </c>
      <c r="C489" t="s">
        <v>45</v>
      </c>
      <c r="D489" s="3">
        <v>84686</v>
      </c>
      <c r="E489">
        <v>93</v>
      </c>
      <c r="F489">
        <v>8</v>
      </c>
      <c r="G489">
        <v>1</v>
      </c>
      <c r="H489" t="s">
        <v>16</v>
      </c>
      <c r="I489">
        <v>109.54</v>
      </c>
      <c r="J489" t="str">
        <f t="shared" si="7"/>
        <v>High</v>
      </c>
    </row>
    <row r="490" spans="1:10" x14ac:dyDescent="0.25">
      <c r="A490">
        <v>699</v>
      </c>
      <c r="B490">
        <v>55</v>
      </c>
      <c r="C490" t="s">
        <v>45</v>
      </c>
      <c r="D490" s="3">
        <v>53164</v>
      </c>
      <c r="E490">
        <v>64</v>
      </c>
      <c r="F490">
        <v>2</v>
      </c>
      <c r="G490">
        <v>19</v>
      </c>
      <c r="H490" t="s">
        <v>17</v>
      </c>
      <c r="I490">
        <v>932.41</v>
      </c>
      <c r="J490" t="str">
        <f t="shared" si="7"/>
        <v>Medium</v>
      </c>
    </row>
    <row r="491" spans="1:10" x14ac:dyDescent="0.25">
      <c r="A491">
        <v>726</v>
      </c>
      <c r="B491">
        <v>40</v>
      </c>
      <c r="C491" t="s">
        <v>45</v>
      </c>
      <c r="D491" s="3">
        <v>105994</v>
      </c>
      <c r="E491">
        <v>39</v>
      </c>
      <c r="F491">
        <v>9</v>
      </c>
      <c r="G491">
        <v>17</v>
      </c>
      <c r="H491" t="s">
        <v>13</v>
      </c>
      <c r="I491">
        <v>347.21</v>
      </c>
      <c r="J491" t="str">
        <f t="shared" si="7"/>
        <v>Medium</v>
      </c>
    </row>
    <row r="492" spans="1:10" x14ac:dyDescent="0.25">
      <c r="A492">
        <v>727</v>
      </c>
      <c r="B492">
        <v>18</v>
      </c>
      <c r="C492" t="s">
        <v>45</v>
      </c>
      <c r="D492" s="3">
        <v>84764</v>
      </c>
      <c r="E492">
        <v>2</v>
      </c>
      <c r="F492">
        <v>6</v>
      </c>
      <c r="G492">
        <v>49</v>
      </c>
      <c r="H492" t="s">
        <v>13</v>
      </c>
      <c r="I492">
        <v>348.51</v>
      </c>
      <c r="J492" t="str">
        <f t="shared" si="7"/>
        <v>Low</v>
      </c>
    </row>
    <row r="493" spans="1:10" x14ac:dyDescent="0.25">
      <c r="A493">
        <v>728</v>
      </c>
      <c r="B493">
        <v>28</v>
      </c>
      <c r="C493" t="s">
        <v>45</v>
      </c>
      <c r="D493" s="3">
        <v>53503</v>
      </c>
      <c r="E493">
        <v>39</v>
      </c>
      <c r="F493">
        <v>5</v>
      </c>
      <c r="G493">
        <v>30</v>
      </c>
      <c r="H493" t="s">
        <v>16</v>
      </c>
      <c r="I493">
        <v>591.64</v>
      </c>
      <c r="J493" t="str">
        <f t="shared" si="7"/>
        <v>Medium</v>
      </c>
    </row>
    <row r="494" spans="1:10" x14ac:dyDescent="0.25">
      <c r="A494">
        <v>735</v>
      </c>
      <c r="B494">
        <v>38</v>
      </c>
      <c r="C494" t="s">
        <v>45</v>
      </c>
      <c r="D494" s="3">
        <v>115537</v>
      </c>
      <c r="E494">
        <v>10</v>
      </c>
      <c r="F494">
        <v>7</v>
      </c>
      <c r="G494">
        <v>25</v>
      </c>
      <c r="H494" t="s">
        <v>17</v>
      </c>
      <c r="I494">
        <v>632.99</v>
      </c>
      <c r="J494" t="str">
        <f t="shared" si="7"/>
        <v>Low</v>
      </c>
    </row>
    <row r="495" spans="1:10" x14ac:dyDescent="0.25">
      <c r="A495">
        <v>742</v>
      </c>
      <c r="B495">
        <v>45</v>
      </c>
      <c r="C495" t="s">
        <v>45</v>
      </c>
      <c r="D495" s="3">
        <v>30738</v>
      </c>
      <c r="E495">
        <v>38</v>
      </c>
      <c r="F495">
        <v>7</v>
      </c>
      <c r="G495">
        <v>5</v>
      </c>
      <c r="H495" t="s">
        <v>13</v>
      </c>
      <c r="I495">
        <v>144</v>
      </c>
      <c r="J495" t="str">
        <f t="shared" si="7"/>
        <v>Medium</v>
      </c>
    </row>
    <row r="496" spans="1:10" x14ac:dyDescent="0.25">
      <c r="A496">
        <v>759</v>
      </c>
      <c r="B496">
        <v>64</v>
      </c>
      <c r="C496" t="s">
        <v>45</v>
      </c>
      <c r="D496" s="3">
        <v>130443</v>
      </c>
      <c r="E496">
        <v>29</v>
      </c>
      <c r="F496">
        <v>1</v>
      </c>
      <c r="G496">
        <v>17</v>
      </c>
      <c r="H496" t="s">
        <v>13</v>
      </c>
      <c r="I496">
        <v>835.67</v>
      </c>
      <c r="J496" t="str">
        <f t="shared" si="7"/>
        <v>Low</v>
      </c>
    </row>
    <row r="497" spans="1:10" x14ac:dyDescent="0.25">
      <c r="A497">
        <v>766</v>
      </c>
      <c r="B497">
        <v>41</v>
      </c>
      <c r="C497" t="s">
        <v>45</v>
      </c>
      <c r="D497" s="3">
        <v>74198</v>
      </c>
      <c r="E497">
        <v>84</v>
      </c>
      <c r="F497">
        <v>1</v>
      </c>
      <c r="G497">
        <v>50</v>
      </c>
      <c r="H497" t="s">
        <v>17</v>
      </c>
      <c r="I497">
        <v>60.51</v>
      </c>
      <c r="J497" t="str">
        <f t="shared" si="7"/>
        <v>High</v>
      </c>
    </row>
    <row r="498" spans="1:10" x14ac:dyDescent="0.25">
      <c r="A498">
        <v>767</v>
      </c>
      <c r="B498">
        <v>45</v>
      </c>
      <c r="C498" t="s">
        <v>45</v>
      </c>
      <c r="D498" s="3">
        <v>62582</v>
      </c>
      <c r="E498">
        <v>1</v>
      </c>
      <c r="F498">
        <v>6</v>
      </c>
      <c r="G498">
        <v>46</v>
      </c>
      <c r="H498" t="s">
        <v>17</v>
      </c>
      <c r="I498">
        <v>298.11</v>
      </c>
      <c r="J498" t="str">
        <f t="shared" si="7"/>
        <v>Low</v>
      </c>
    </row>
    <row r="499" spans="1:10" x14ac:dyDescent="0.25">
      <c r="A499">
        <v>768</v>
      </c>
      <c r="B499">
        <v>33</v>
      </c>
      <c r="C499" t="s">
        <v>45</v>
      </c>
      <c r="D499" s="3">
        <v>92798</v>
      </c>
      <c r="E499">
        <v>80</v>
      </c>
      <c r="F499">
        <v>3</v>
      </c>
      <c r="G499">
        <v>44</v>
      </c>
      <c r="H499" t="s">
        <v>16</v>
      </c>
      <c r="I499">
        <v>367.85</v>
      </c>
      <c r="J499" t="str">
        <f t="shared" si="7"/>
        <v>High</v>
      </c>
    </row>
    <row r="500" spans="1:10" x14ac:dyDescent="0.25">
      <c r="A500">
        <v>771</v>
      </c>
      <c r="B500">
        <v>55</v>
      </c>
      <c r="C500" t="s">
        <v>45</v>
      </c>
      <c r="D500" s="3">
        <v>53069</v>
      </c>
      <c r="E500">
        <v>3</v>
      </c>
      <c r="F500">
        <v>10</v>
      </c>
      <c r="G500">
        <v>43</v>
      </c>
      <c r="H500" t="s">
        <v>17</v>
      </c>
      <c r="I500">
        <v>777.97</v>
      </c>
      <c r="J500" t="str">
        <f t="shared" si="7"/>
        <v>Low</v>
      </c>
    </row>
    <row r="501" spans="1:10" x14ac:dyDescent="0.25">
      <c r="A501">
        <v>783</v>
      </c>
      <c r="B501">
        <v>39</v>
      </c>
      <c r="C501" t="s">
        <v>45</v>
      </c>
      <c r="D501" s="3">
        <v>71987</v>
      </c>
      <c r="E501">
        <v>42</v>
      </c>
      <c r="F501">
        <v>5</v>
      </c>
      <c r="G501">
        <v>35</v>
      </c>
      <c r="H501" t="s">
        <v>17</v>
      </c>
      <c r="I501">
        <v>196.61</v>
      </c>
      <c r="J501" t="str">
        <f t="shared" si="7"/>
        <v>Medium</v>
      </c>
    </row>
    <row r="502" spans="1:10" x14ac:dyDescent="0.25">
      <c r="A502">
        <v>784</v>
      </c>
      <c r="B502">
        <v>47</v>
      </c>
      <c r="C502" t="s">
        <v>45</v>
      </c>
      <c r="D502" s="3">
        <v>64229</v>
      </c>
      <c r="E502">
        <v>74</v>
      </c>
      <c r="F502">
        <v>5</v>
      </c>
      <c r="G502">
        <v>22</v>
      </c>
      <c r="H502" t="s">
        <v>16</v>
      </c>
      <c r="I502">
        <v>438.95</v>
      </c>
      <c r="J502" t="str">
        <f t="shared" si="7"/>
        <v>High</v>
      </c>
    </row>
    <row r="503" spans="1:10" x14ac:dyDescent="0.25">
      <c r="A503">
        <v>787</v>
      </c>
      <c r="B503">
        <v>57</v>
      </c>
      <c r="C503" t="s">
        <v>45</v>
      </c>
      <c r="D503" s="3">
        <v>56547</v>
      </c>
      <c r="E503">
        <v>65</v>
      </c>
      <c r="F503">
        <v>10</v>
      </c>
      <c r="G503">
        <v>43</v>
      </c>
      <c r="H503" t="s">
        <v>16</v>
      </c>
      <c r="I503">
        <v>686.83</v>
      </c>
      <c r="J503" t="str">
        <f t="shared" si="7"/>
        <v>Medium</v>
      </c>
    </row>
    <row r="504" spans="1:10" x14ac:dyDescent="0.25">
      <c r="A504">
        <v>812</v>
      </c>
      <c r="B504">
        <v>53</v>
      </c>
      <c r="C504" t="s">
        <v>45</v>
      </c>
      <c r="D504" s="3">
        <v>76842</v>
      </c>
      <c r="E504">
        <v>73</v>
      </c>
      <c r="F504">
        <v>6</v>
      </c>
      <c r="G504">
        <v>35</v>
      </c>
      <c r="H504" t="s">
        <v>13</v>
      </c>
      <c r="I504">
        <v>701.61</v>
      </c>
      <c r="J504" t="str">
        <f t="shared" si="7"/>
        <v>High</v>
      </c>
    </row>
    <row r="505" spans="1:10" x14ac:dyDescent="0.25">
      <c r="A505">
        <v>814</v>
      </c>
      <c r="B505">
        <v>56</v>
      </c>
      <c r="C505" t="s">
        <v>45</v>
      </c>
      <c r="D505" s="3">
        <v>145028</v>
      </c>
      <c r="E505">
        <v>2</v>
      </c>
      <c r="F505">
        <v>10</v>
      </c>
      <c r="G505">
        <v>32</v>
      </c>
      <c r="H505" t="s">
        <v>13</v>
      </c>
      <c r="I505">
        <v>849.56</v>
      </c>
      <c r="J505" t="str">
        <f t="shared" si="7"/>
        <v>Low</v>
      </c>
    </row>
    <row r="506" spans="1:10" x14ac:dyDescent="0.25">
      <c r="A506">
        <v>816</v>
      </c>
      <c r="B506">
        <v>50</v>
      </c>
      <c r="C506" t="s">
        <v>45</v>
      </c>
      <c r="D506" s="3">
        <v>143612</v>
      </c>
      <c r="E506">
        <v>71</v>
      </c>
      <c r="F506">
        <v>9</v>
      </c>
      <c r="G506">
        <v>28</v>
      </c>
      <c r="H506" t="s">
        <v>16</v>
      </c>
      <c r="I506">
        <v>372.69</v>
      </c>
      <c r="J506" t="str">
        <f t="shared" si="7"/>
        <v>High</v>
      </c>
    </row>
    <row r="507" spans="1:10" x14ac:dyDescent="0.25">
      <c r="A507">
        <v>819</v>
      </c>
      <c r="B507">
        <v>46</v>
      </c>
      <c r="C507" t="s">
        <v>45</v>
      </c>
      <c r="D507" s="3">
        <v>58692</v>
      </c>
      <c r="E507">
        <v>2</v>
      </c>
      <c r="F507">
        <v>9</v>
      </c>
      <c r="G507">
        <v>22</v>
      </c>
      <c r="H507" t="s">
        <v>13</v>
      </c>
      <c r="I507">
        <v>230.66</v>
      </c>
      <c r="J507" t="str">
        <f t="shared" si="7"/>
        <v>Low</v>
      </c>
    </row>
    <row r="508" spans="1:10" x14ac:dyDescent="0.25">
      <c r="A508">
        <v>821</v>
      </c>
      <c r="B508">
        <v>41</v>
      </c>
      <c r="C508" t="s">
        <v>45</v>
      </c>
      <c r="D508" s="3">
        <v>37547</v>
      </c>
      <c r="E508">
        <v>72</v>
      </c>
      <c r="F508">
        <v>3</v>
      </c>
      <c r="G508">
        <v>24</v>
      </c>
      <c r="H508" t="s">
        <v>16</v>
      </c>
      <c r="I508">
        <v>897.46</v>
      </c>
      <c r="J508" t="str">
        <f t="shared" si="7"/>
        <v>High</v>
      </c>
    </row>
    <row r="509" spans="1:10" x14ac:dyDescent="0.25">
      <c r="A509">
        <v>832</v>
      </c>
      <c r="B509">
        <v>69</v>
      </c>
      <c r="C509" t="s">
        <v>45</v>
      </c>
      <c r="D509" s="3">
        <v>81964</v>
      </c>
      <c r="E509">
        <v>22</v>
      </c>
      <c r="F509">
        <v>1</v>
      </c>
      <c r="G509">
        <v>3</v>
      </c>
      <c r="H509" t="s">
        <v>13</v>
      </c>
      <c r="I509">
        <v>839.2</v>
      </c>
      <c r="J509" t="str">
        <f t="shared" si="7"/>
        <v>Low</v>
      </c>
    </row>
    <row r="510" spans="1:10" x14ac:dyDescent="0.25">
      <c r="A510">
        <v>836</v>
      </c>
      <c r="B510">
        <v>30</v>
      </c>
      <c r="C510" t="s">
        <v>45</v>
      </c>
      <c r="D510" s="3">
        <v>42089</v>
      </c>
      <c r="E510">
        <v>29</v>
      </c>
      <c r="F510">
        <v>3</v>
      </c>
      <c r="G510">
        <v>3</v>
      </c>
      <c r="H510" t="s">
        <v>13</v>
      </c>
      <c r="I510">
        <v>536.52</v>
      </c>
      <c r="J510" t="str">
        <f t="shared" si="7"/>
        <v>Low</v>
      </c>
    </row>
    <row r="511" spans="1:10" x14ac:dyDescent="0.25">
      <c r="A511">
        <v>843</v>
      </c>
      <c r="B511">
        <v>50</v>
      </c>
      <c r="C511" t="s">
        <v>45</v>
      </c>
      <c r="D511" s="3">
        <v>149578</v>
      </c>
      <c r="E511">
        <v>28</v>
      </c>
      <c r="F511">
        <v>2</v>
      </c>
      <c r="G511">
        <v>39</v>
      </c>
      <c r="H511" t="s">
        <v>13</v>
      </c>
      <c r="I511">
        <v>839.34</v>
      </c>
      <c r="J511" t="str">
        <f t="shared" si="7"/>
        <v>Low</v>
      </c>
    </row>
    <row r="512" spans="1:10" x14ac:dyDescent="0.25">
      <c r="A512">
        <v>848</v>
      </c>
      <c r="B512">
        <v>60</v>
      </c>
      <c r="C512" t="s">
        <v>45</v>
      </c>
      <c r="D512" s="3">
        <v>111784</v>
      </c>
      <c r="E512">
        <v>31</v>
      </c>
      <c r="F512">
        <v>1</v>
      </c>
      <c r="G512">
        <v>14</v>
      </c>
      <c r="H512" t="s">
        <v>17</v>
      </c>
      <c r="I512">
        <v>122.12</v>
      </c>
      <c r="J512" t="str">
        <f t="shared" si="7"/>
        <v>Low</v>
      </c>
    </row>
    <row r="513" spans="1:10" x14ac:dyDescent="0.25">
      <c r="A513">
        <v>851</v>
      </c>
      <c r="B513">
        <v>51</v>
      </c>
      <c r="C513" t="s">
        <v>45</v>
      </c>
      <c r="D513" s="3">
        <v>59566</v>
      </c>
      <c r="E513">
        <v>25</v>
      </c>
      <c r="F513">
        <v>5</v>
      </c>
      <c r="G513">
        <v>22</v>
      </c>
      <c r="H513" t="s">
        <v>16</v>
      </c>
      <c r="I513">
        <v>847.03</v>
      </c>
      <c r="J513" t="str">
        <f t="shared" si="7"/>
        <v>Low</v>
      </c>
    </row>
    <row r="514" spans="1:10" x14ac:dyDescent="0.25">
      <c r="A514">
        <v>853</v>
      </c>
      <c r="B514">
        <v>22</v>
      </c>
      <c r="C514" t="s">
        <v>45</v>
      </c>
      <c r="D514" s="3">
        <v>120644</v>
      </c>
      <c r="E514">
        <v>75</v>
      </c>
      <c r="F514">
        <v>1</v>
      </c>
      <c r="G514">
        <v>4</v>
      </c>
      <c r="H514" t="s">
        <v>17</v>
      </c>
      <c r="I514">
        <v>456.11</v>
      </c>
      <c r="J514" t="str">
        <f t="shared" ref="J514:J577" si="8">IF(E514&lt;33,"Low",IF(E514&lt;66,"Medium","High"))</f>
        <v>High</v>
      </c>
    </row>
    <row r="515" spans="1:10" x14ac:dyDescent="0.25">
      <c r="A515">
        <v>856</v>
      </c>
      <c r="B515">
        <v>45</v>
      </c>
      <c r="C515" t="s">
        <v>45</v>
      </c>
      <c r="D515" s="3">
        <v>135627</v>
      </c>
      <c r="E515">
        <v>67</v>
      </c>
      <c r="F515">
        <v>2</v>
      </c>
      <c r="G515">
        <v>46</v>
      </c>
      <c r="H515" t="s">
        <v>16</v>
      </c>
      <c r="I515">
        <v>524.16</v>
      </c>
      <c r="J515" t="str">
        <f t="shared" si="8"/>
        <v>High</v>
      </c>
    </row>
    <row r="516" spans="1:10" x14ac:dyDescent="0.25">
      <c r="A516">
        <v>861</v>
      </c>
      <c r="B516">
        <v>21</v>
      </c>
      <c r="C516" t="s">
        <v>45</v>
      </c>
      <c r="D516" s="3">
        <v>145884</v>
      </c>
      <c r="E516">
        <v>3</v>
      </c>
      <c r="F516">
        <v>4</v>
      </c>
      <c r="G516">
        <v>25</v>
      </c>
      <c r="H516" t="s">
        <v>13</v>
      </c>
      <c r="I516">
        <v>676.93</v>
      </c>
      <c r="J516" t="str">
        <f t="shared" si="8"/>
        <v>Low</v>
      </c>
    </row>
    <row r="517" spans="1:10" x14ac:dyDescent="0.25">
      <c r="A517">
        <v>863</v>
      </c>
      <c r="B517">
        <v>42</v>
      </c>
      <c r="C517" t="s">
        <v>45</v>
      </c>
      <c r="D517" s="3">
        <v>77292</v>
      </c>
      <c r="E517">
        <v>73</v>
      </c>
      <c r="F517">
        <v>10</v>
      </c>
      <c r="G517">
        <v>43</v>
      </c>
      <c r="H517" t="s">
        <v>16</v>
      </c>
      <c r="I517">
        <v>787.66</v>
      </c>
      <c r="J517" t="str">
        <f t="shared" si="8"/>
        <v>High</v>
      </c>
    </row>
    <row r="518" spans="1:10" x14ac:dyDescent="0.25">
      <c r="A518">
        <v>865</v>
      </c>
      <c r="B518">
        <v>57</v>
      </c>
      <c r="C518" t="s">
        <v>45</v>
      </c>
      <c r="D518" s="3">
        <v>106632</v>
      </c>
      <c r="E518">
        <v>26</v>
      </c>
      <c r="F518">
        <v>1</v>
      </c>
      <c r="G518">
        <v>17</v>
      </c>
      <c r="H518" t="s">
        <v>16</v>
      </c>
      <c r="I518">
        <v>610.98</v>
      </c>
      <c r="J518" t="str">
        <f t="shared" si="8"/>
        <v>Low</v>
      </c>
    </row>
    <row r="519" spans="1:10" x14ac:dyDescent="0.25">
      <c r="A519">
        <v>868</v>
      </c>
      <c r="B519">
        <v>51</v>
      </c>
      <c r="C519" t="s">
        <v>45</v>
      </c>
      <c r="D519" s="3">
        <v>83467</v>
      </c>
      <c r="E519">
        <v>83</v>
      </c>
      <c r="F519">
        <v>1</v>
      </c>
      <c r="G519">
        <v>19</v>
      </c>
      <c r="H519" t="s">
        <v>17</v>
      </c>
      <c r="I519">
        <v>30.88</v>
      </c>
      <c r="J519" t="str">
        <f t="shared" si="8"/>
        <v>High</v>
      </c>
    </row>
    <row r="520" spans="1:10" x14ac:dyDescent="0.25">
      <c r="A520">
        <v>870</v>
      </c>
      <c r="B520">
        <v>57</v>
      </c>
      <c r="C520" t="s">
        <v>45</v>
      </c>
      <c r="D520" s="3">
        <v>112212</v>
      </c>
      <c r="E520">
        <v>6</v>
      </c>
      <c r="F520">
        <v>6</v>
      </c>
      <c r="G520">
        <v>44</v>
      </c>
      <c r="H520" t="s">
        <v>13</v>
      </c>
      <c r="I520">
        <v>312.64</v>
      </c>
      <c r="J520" t="str">
        <f t="shared" si="8"/>
        <v>Low</v>
      </c>
    </row>
    <row r="521" spans="1:10" x14ac:dyDescent="0.25">
      <c r="A521">
        <v>880</v>
      </c>
      <c r="B521">
        <v>59</v>
      </c>
      <c r="C521" t="s">
        <v>45</v>
      </c>
      <c r="D521" s="3">
        <v>97355</v>
      </c>
      <c r="E521">
        <v>63</v>
      </c>
      <c r="F521">
        <v>2</v>
      </c>
      <c r="G521">
        <v>22</v>
      </c>
      <c r="H521" t="s">
        <v>16</v>
      </c>
      <c r="I521">
        <v>329.18</v>
      </c>
      <c r="J521" t="str">
        <f t="shared" si="8"/>
        <v>Medium</v>
      </c>
    </row>
    <row r="522" spans="1:10" x14ac:dyDescent="0.25">
      <c r="A522">
        <v>883</v>
      </c>
      <c r="B522">
        <v>62</v>
      </c>
      <c r="C522" t="s">
        <v>45</v>
      </c>
      <c r="D522" s="3">
        <v>97909</v>
      </c>
      <c r="E522">
        <v>100</v>
      </c>
      <c r="F522">
        <v>1</v>
      </c>
      <c r="G522">
        <v>5</v>
      </c>
      <c r="H522" t="s">
        <v>13</v>
      </c>
      <c r="I522">
        <v>439.63</v>
      </c>
      <c r="J522" t="str">
        <f t="shared" si="8"/>
        <v>High</v>
      </c>
    </row>
    <row r="523" spans="1:10" x14ac:dyDescent="0.25">
      <c r="A523">
        <v>890</v>
      </c>
      <c r="B523">
        <v>60</v>
      </c>
      <c r="C523" t="s">
        <v>45</v>
      </c>
      <c r="D523" s="3">
        <v>73059</v>
      </c>
      <c r="E523">
        <v>77</v>
      </c>
      <c r="F523">
        <v>3</v>
      </c>
      <c r="G523">
        <v>31</v>
      </c>
      <c r="H523" t="s">
        <v>17</v>
      </c>
      <c r="I523">
        <v>581.15</v>
      </c>
      <c r="J523" t="str">
        <f t="shared" si="8"/>
        <v>High</v>
      </c>
    </row>
    <row r="524" spans="1:10" x14ac:dyDescent="0.25">
      <c r="A524">
        <v>898</v>
      </c>
      <c r="B524">
        <v>64</v>
      </c>
      <c r="C524" t="s">
        <v>45</v>
      </c>
      <c r="D524" s="3">
        <v>82140</v>
      </c>
      <c r="E524">
        <v>57</v>
      </c>
      <c r="F524">
        <v>3</v>
      </c>
      <c r="G524">
        <v>7</v>
      </c>
      <c r="H524" t="s">
        <v>13</v>
      </c>
      <c r="I524">
        <v>97.97</v>
      </c>
      <c r="J524" t="str">
        <f t="shared" si="8"/>
        <v>Medium</v>
      </c>
    </row>
    <row r="525" spans="1:10" x14ac:dyDescent="0.25">
      <c r="A525">
        <v>907</v>
      </c>
      <c r="B525">
        <v>62</v>
      </c>
      <c r="C525" t="s">
        <v>45</v>
      </c>
      <c r="D525" s="3">
        <v>113706</v>
      </c>
      <c r="E525">
        <v>19</v>
      </c>
      <c r="F525">
        <v>1</v>
      </c>
      <c r="G525">
        <v>13</v>
      </c>
      <c r="H525" t="s">
        <v>13</v>
      </c>
      <c r="I525">
        <v>427.68</v>
      </c>
      <c r="J525" t="str">
        <f t="shared" si="8"/>
        <v>Low</v>
      </c>
    </row>
    <row r="526" spans="1:10" x14ac:dyDescent="0.25">
      <c r="A526">
        <v>910</v>
      </c>
      <c r="B526">
        <v>55</v>
      </c>
      <c r="C526" t="s">
        <v>45</v>
      </c>
      <c r="D526" s="3">
        <v>45562</v>
      </c>
      <c r="E526">
        <v>68</v>
      </c>
      <c r="F526">
        <v>3</v>
      </c>
      <c r="G526">
        <v>30</v>
      </c>
      <c r="H526" t="s">
        <v>16</v>
      </c>
      <c r="I526">
        <v>628.34</v>
      </c>
      <c r="J526" t="str">
        <f t="shared" si="8"/>
        <v>High</v>
      </c>
    </row>
    <row r="527" spans="1:10" x14ac:dyDescent="0.25">
      <c r="A527">
        <v>919</v>
      </c>
      <c r="B527">
        <v>28</v>
      </c>
      <c r="C527" t="s">
        <v>45</v>
      </c>
      <c r="D527" s="3">
        <v>57107</v>
      </c>
      <c r="E527">
        <v>82</v>
      </c>
      <c r="F527">
        <v>5</v>
      </c>
      <c r="G527">
        <v>2</v>
      </c>
      <c r="H527" t="s">
        <v>13</v>
      </c>
      <c r="I527">
        <v>271.17</v>
      </c>
      <c r="J527" t="str">
        <f t="shared" si="8"/>
        <v>High</v>
      </c>
    </row>
    <row r="528" spans="1:10" x14ac:dyDescent="0.25">
      <c r="A528">
        <v>925</v>
      </c>
      <c r="B528">
        <v>53</v>
      </c>
      <c r="C528" t="s">
        <v>45</v>
      </c>
      <c r="D528" s="3">
        <v>32539</v>
      </c>
      <c r="E528">
        <v>22</v>
      </c>
      <c r="F528">
        <v>6</v>
      </c>
      <c r="G528">
        <v>42</v>
      </c>
      <c r="H528" t="s">
        <v>13</v>
      </c>
      <c r="I528">
        <v>536.05999999999995</v>
      </c>
      <c r="J528" t="str">
        <f t="shared" si="8"/>
        <v>Low</v>
      </c>
    </row>
    <row r="529" spans="1:10" x14ac:dyDescent="0.25">
      <c r="A529">
        <v>927</v>
      </c>
      <c r="B529">
        <v>46</v>
      </c>
      <c r="C529" t="s">
        <v>45</v>
      </c>
      <c r="D529" s="3">
        <v>46368</v>
      </c>
      <c r="E529">
        <v>11</v>
      </c>
      <c r="F529">
        <v>7</v>
      </c>
      <c r="G529">
        <v>17</v>
      </c>
      <c r="H529" t="s">
        <v>13</v>
      </c>
      <c r="I529">
        <v>869.05</v>
      </c>
      <c r="J529" t="str">
        <f t="shared" si="8"/>
        <v>Low</v>
      </c>
    </row>
    <row r="530" spans="1:10" x14ac:dyDescent="0.25">
      <c r="A530">
        <v>930</v>
      </c>
      <c r="B530">
        <v>42</v>
      </c>
      <c r="C530" t="s">
        <v>45</v>
      </c>
      <c r="D530" s="3">
        <v>128064</v>
      </c>
      <c r="E530">
        <v>8</v>
      </c>
      <c r="F530">
        <v>8</v>
      </c>
      <c r="G530">
        <v>44</v>
      </c>
      <c r="H530" t="s">
        <v>16</v>
      </c>
      <c r="I530">
        <v>316.5</v>
      </c>
      <c r="J530" t="str">
        <f t="shared" si="8"/>
        <v>Low</v>
      </c>
    </row>
    <row r="531" spans="1:10" x14ac:dyDescent="0.25">
      <c r="A531">
        <v>935</v>
      </c>
      <c r="B531">
        <v>48</v>
      </c>
      <c r="C531" t="s">
        <v>45</v>
      </c>
      <c r="D531" s="3">
        <v>129592</v>
      </c>
      <c r="E531">
        <v>2</v>
      </c>
      <c r="F531">
        <v>3</v>
      </c>
      <c r="G531">
        <v>26</v>
      </c>
      <c r="H531" t="s">
        <v>17</v>
      </c>
      <c r="I531">
        <v>748.46</v>
      </c>
      <c r="J531" t="str">
        <f t="shared" si="8"/>
        <v>Low</v>
      </c>
    </row>
    <row r="532" spans="1:10" x14ac:dyDescent="0.25">
      <c r="A532">
        <v>938</v>
      </c>
      <c r="B532">
        <v>64</v>
      </c>
      <c r="C532" t="s">
        <v>45</v>
      </c>
      <c r="D532" s="3">
        <v>65498</v>
      </c>
      <c r="E532">
        <v>23</v>
      </c>
      <c r="F532">
        <v>5</v>
      </c>
      <c r="G532">
        <v>24</v>
      </c>
      <c r="H532" t="s">
        <v>17</v>
      </c>
      <c r="I532">
        <v>351.94</v>
      </c>
      <c r="J532" t="str">
        <f t="shared" si="8"/>
        <v>Low</v>
      </c>
    </row>
    <row r="533" spans="1:10" x14ac:dyDescent="0.25">
      <c r="A533">
        <v>947</v>
      </c>
      <c r="B533">
        <v>60</v>
      </c>
      <c r="C533" t="s">
        <v>45</v>
      </c>
      <c r="D533" s="3">
        <v>111493</v>
      </c>
      <c r="E533">
        <v>40</v>
      </c>
      <c r="F533">
        <v>10</v>
      </c>
      <c r="G533">
        <v>8</v>
      </c>
      <c r="H533" t="s">
        <v>16</v>
      </c>
      <c r="I533">
        <v>190.34</v>
      </c>
      <c r="J533" t="str">
        <f t="shared" si="8"/>
        <v>Medium</v>
      </c>
    </row>
    <row r="534" spans="1:10" x14ac:dyDescent="0.25">
      <c r="A534">
        <v>950</v>
      </c>
      <c r="B534">
        <v>45</v>
      </c>
      <c r="C534" t="s">
        <v>45</v>
      </c>
      <c r="D534" s="3">
        <v>114390</v>
      </c>
      <c r="E534">
        <v>38</v>
      </c>
      <c r="F534">
        <v>3</v>
      </c>
      <c r="G534">
        <v>9</v>
      </c>
      <c r="H534" t="s">
        <v>16</v>
      </c>
      <c r="I534">
        <v>663.25</v>
      </c>
      <c r="J534" t="str">
        <f t="shared" si="8"/>
        <v>Medium</v>
      </c>
    </row>
    <row r="535" spans="1:10" x14ac:dyDescent="0.25">
      <c r="A535">
        <v>956</v>
      </c>
      <c r="B535">
        <v>60</v>
      </c>
      <c r="C535" t="s">
        <v>45</v>
      </c>
      <c r="D535" s="3">
        <v>48802</v>
      </c>
      <c r="E535">
        <v>68</v>
      </c>
      <c r="F535">
        <v>1</v>
      </c>
      <c r="G535">
        <v>40</v>
      </c>
      <c r="H535" t="s">
        <v>16</v>
      </c>
      <c r="I535">
        <v>296.76</v>
      </c>
      <c r="J535" t="str">
        <f t="shared" si="8"/>
        <v>High</v>
      </c>
    </row>
    <row r="536" spans="1:10" x14ac:dyDescent="0.25">
      <c r="A536">
        <v>966</v>
      </c>
      <c r="B536">
        <v>58</v>
      </c>
      <c r="C536" t="s">
        <v>45</v>
      </c>
      <c r="D536" s="3">
        <v>133888</v>
      </c>
      <c r="E536">
        <v>92</v>
      </c>
      <c r="F536">
        <v>10</v>
      </c>
      <c r="G536">
        <v>14</v>
      </c>
      <c r="H536" t="s">
        <v>13</v>
      </c>
      <c r="I536">
        <v>628.29999999999995</v>
      </c>
      <c r="J536" t="str">
        <f t="shared" si="8"/>
        <v>High</v>
      </c>
    </row>
    <row r="537" spans="1:10" x14ac:dyDescent="0.25">
      <c r="A537">
        <v>982</v>
      </c>
      <c r="B537">
        <v>59</v>
      </c>
      <c r="C537" t="s">
        <v>45</v>
      </c>
      <c r="D537" s="3">
        <v>87884</v>
      </c>
      <c r="E537">
        <v>79</v>
      </c>
      <c r="F537">
        <v>9</v>
      </c>
      <c r="G537">
        <v>28</v>
      </c>
      <c r="H537" t="s">
        <v>16</v>
      </c>
      <c r="I537">
        <v>491.55</v>
      </c>
      <c r="J537" t="str">
        <f t="shared" si="8"/>
        <v>High</v>
      </c>
    </row>
    <row r="538" spans="1:10" x14ac:dyDescent="0.25">
      <c r="A538">
        <v>986</v>
      </c>
      <c r="B538">
        <v>66</v>
      </c>
      <c r="C538" t="s">
        <v>45</v>
      </c>
      <c r="D538" s="3">
        <v>78149</v>
      </c>
      <c r="E538">
        <v>2</v>
      </c>
      <c r="F538">
        <v>10</v>
      </c>
      <c r="G538">
        <v>9</v>
      </c>
      <c r="H538" t="s">
        <v>13</v>
      </c>
      <c r="I538">
        <v>579.27</v>
      </c>
      <c r="J538" t="str">
        <f t="shared" si="8"/>
        <v>Low</v>
      </c>
    </row>
    <row r="539" spans="1:10" x14ac:dyDescent="0.25">
      <c r="A539">
        <v>997</v>
      </c>
      <c r="B539">
        <v>23</v>
      </c>
      <c r="C539" t="s">
        <v>45</v>
      </c>
      <c r="D539" s="3">
        <v>65337</v>
      </c>
      <c r="E539">
        <v>76</v>
      </c>
      <c r="F539">
        <v>10</v>
      </c>
      <c r="G539">
        <v>23</v>
      </c>
      <c r="H539" t="s">
        <v>16</v>
      </c>
      <c r="I539">
        <v>632.83000000000004</v>
      </c>
      <c r="J539" t="str">
        <f t="shared" si="8"/>
        <v>High</v>
      </c>
    </row>
    <row r="540" spans="1:10" x14ac:dyDescent="0.25">
      <c r="A540">
        <v>14</v>
      </c>
      <c r="B540">
        <v>64</v>
      </c>
      <c r="C540" t="s">
        <v>45</v>
      </c>
      <c r="D540" s="3">
        <v>33018</v>
      </c>
      <c r="E540">
        <v>46</v>
      </c>
      <c r="F540">
        <v>4</v>
      </c>
      <c r="G540">
        <v>3</v>
      </c>
      <c r="H540" t="s">
        <v>15</v>
      </c>
      <c r="I540">
        <v>221.35</v>
      </c>
      <c r="J540" t="str">
        <f t="shared" si="8"/>
        <v>Medium</v>
      </c>
    </row>
    <row r="541" spans="1:10" x14ac:dyDescent="0.25">
      <c r="A541">
        <v>23</v>
      </c>
      <c r="B541">
        <v>36</v>
      </c>
      <c r="C541" t="s">
        <v>45</v>
      </c>
      <c r="D541" s="3">
        <v>85473</v>
      </c>
      <c r="E541">
        <v>68</v>
      </c>
      <c r="F541">
        <v>1</v>
      </c>
      <c r="G541">
        <v>16</v>
      </c>
      <c r="H541" t="s">
        <v>15</v>
      </c>
      <c r="I541">
        <v>806.55</v>
      </c>
      <c r="J541" t="str">
        <f t="shared" si="8"/>
        <v>High</v>
      </c>
    </row>
    <row r="542" spans="1:10" x14ac:dyDescent="0.25">
      <c r="A542">
        <v>35</v>
      </c>
      <c r="B542">
        <v>45</v>
      </c>
      <c r="C542" t="s">
        <v>45</v>
      </c>
      <c r="D542" s="3">
        <v>43138</v>
      </c>
      <c r="E542">
        <v>54</v>
      </c>
      <c r="F542">
        <v>10</v>
      </c>
      <c r="G542">
        <v>48</v>
      </c>
      <c r="H542" t="s">
        <v>15</v>
      </c>
      <c r="I542">
        <v>639.22</v>
      </c>
      <c r="J542" t="str">
        <f t="shared" si="8"/>
        <v>Medium</v>
      </c>
    </row>
    <row r="543" spans="1:10" x14ac:dyDescent="0.25">
      <c r="A543">
        <v>49</v>
      </c>
      <c r="B543">
        <v>19</v>
      </c>
      <c r="C543" t="s">
        <v>45</v>
      </c>
      <c r="D543" s="3">
        <v>85309</v>
      </c>
      <c r="E543">
        <v>65</v>
      </c>
      <c r="F543">
        <v>5</v>
      </c>
      <c r="G543">
        <v>10</v>
      </c>
      <c r="H543" t="s">
        <v>15</v>
      </c>
      <c r="I543">
        <v>28.55</v>
      </c>
      <c r="J543" t="str">
        <f t="shared" si="8"/>
        <v>Medium</v>
      </c>
    </row>
    <row r="544" spans="1:10" x14ac:dyDescent="0.25">
      <c r="A544">
        <v>56</v>
      </c>
      <c r="B544">
        <v>42</v>
      </c>
      <c r="C544" t="s">
        <v>45</v>
      </c>
      <c r="D544" s="3">
        <v>73466</v>
      </c>
      <c r="E544">
        <v>50</v>
      </c>
      <c r="F544">
        <v>4</v>
      </c>
      <c r="G544">
        <v>13</v>
      </c>
      <c r="H544" t="s">
        <v>15</v>
      </c>
      <c r="I544">
        <v>903.07</v>
      </c>
      <c r="J544" t="str">
        <f t="shared" si="8"/>
        <v>Medium</v>
      </c>
    </row>
    <row r="545" spans="1:10" x14ac:dyDescent="0.25">
      <c r="A545">
        <v>65</v>
      </c>
      <c r="B545">
        <v>27</v>
      </c>
      <c r="C545" t="s">
        <v>45</v>
      </c>
      <c r="D545" s="3">
        <v>90557</v>
      </c>
      <c r="E545">
        <v>36</v>
      </c>
      <c r="F545">
        <v>2</v>
      </c>
      <c r="G545">
        <v>2</v>
      </c>
      <c r="H545" t="s">
        <v>15</v>
      </c>
      <c r="I545">
        <v>494.55</v>
      </c>
      <c r="J545" t="str">
        <f t="shared" si="8"/>
        <v>Medium</v>
      </c>
    </row>
    <row r="546" spans="1:10" x14ac:dyDescent="0.25">
      <c r="A546">
        <v>70</v>
      </c>
      <c r="B546">
        <v>49</v>
      </c>
      <c r="C546" t="s">
        <v>45</v>
      </c>
      <c r="D546" s="3">
        <v>40936</v>
      </c>
      <c r="E546">
        <v>32</v>
      </c>
      <c r="F546">
        <v>9</v>
      </c>
      <c r="G546">
        <v>49</v>
      </c>
      <c r="H546" t="s">
        <v>15</v>
      </c>
      <c r="I546">
        <v>495.62</v>
      </c>
      <c r="J546" t="str">
        <f t="shared" si="8"/>
        <v>Low</v>
      </c>
    </row>
    <row r="547" spans="1:10" x14ac:dyDescent="0.25">
      <c r="A547">
        <v>95</v>
      </c>
      <c r="B547">
        <v>30</v>
      </c>
      <c r="C547" t="s">
        <v>45</v>
      </c>
      <c r="D547" s="3">
        <v>75926</v>
      </c>
      <c r="E547">
        <v>97</v>
      </c>
      <c r="F547">
        <v>10</v>
      </c>
      <c r="G547">
        <v>19</v>
      </c>
      <c r="H547" t="s">
        <v>15</v>
      </c>
      <c r="I547">
        <v>670.87</v>
      </c>
      <c r="J547" t="str">
        <f t="shared" si="8"/>
        <v>High</v>
      </c>
    </row>
    <row r="548" spans="1:10" x14ac:dyDescent="0.25">
      <c r="A548">
        <v>99</v>
      </c>
      <c r="B548">
        <v>21</v>
      </c>
      <c r="C548" t="s">
        <v>45</v>
      </c>
      <c r="D548" s="3">
        <v>105024</v>
      </c>
      <c r="E548">
        <v>45</v>
      </c>
      <c r="F548">
        <v>3</v>
      </c>
      <c r="G548">
        <v>32</v>
      </c>
      <c r="H548" t="s">
        <v>15</v>
      </c>
      <c r="I548">
        <v>795.84</v>
      </c>
      <c r="J548" t="str">
        <f t="shared" si="8"/>
        <v>Medium</v>
      </c>
    </row>
    <row r="549" spans="1:10" x14ac:dyDescent="0.25">
      <c r="A549">
        <v>107</v>
      </c>
      <c r="B549">
        <v>19</v>
      </c>
      <c r="C549" t="s">
        <v>45</v>
      </c>
      <c r="D549" s="3">
        <v>37993</v>
      </c>
      <c r="E549">
        <v>59</v>
      </c>
      <c r="F549">
        <v>6</v>
      </c>
      <c r="G549">
        <v>30</v>
      </c>
      <c r="H549" t="s">
        <v>15</v>
      </c>
      <c r="I549">
        <v>873.8</v>
      </c>
      <c r="J549" t="str">
        <f t="shared" si="8"/>
        <v>Medium</v>
      </c>
    </row>
    <row r="550" spans="1:10" x14ac:dyDescent="0.25">
      <c r="A550">
        <v>123</v>
      </c>
      <c r="B550">
        <v>26</v>
      </c>
      <c r="C550" t="s">
        <v>45</v>
      </c>
      <c r="D550" s="3">
        <v>55515</v>
      </c>
      <c r="E550">
        <v>29</v>
      </c>
      <c r="F550">
        <v>9</v>
      </c>
      <c r="G550">
        <v>37</v>
      </c>
      <c r="H550" t="s">
        <v>15</v>
      </c>
      <c r="I550">
        <v>50.57</v>
      </c>
      <c r="J550" t="str">
        <f t="shared" si="8"/>
        <v>Low</v>
      </c>
    </row>
    <row r="551" spans="1:10" x14ac:dyDescent="0.25">
      <c r="A551">
        <v>129</v>
      </c>
      <c r="B551">
        <v>67</v>
      </c>
      <c r="C551" t="s">
        <v>45</v>
      </c>
      <c r="D551" s="3">
        <v>40385</v>
      </c>
      <c r="E551">
        <v>64</v>
      </c>
      <c r="F551">
        <v>1</v>
      </c>
      <c r="G551">
        <v>17</v>
      </c>
      <c r="H551" t="s">
        <v>15</v>
      </c>
      <c r="I551">
        <v>957.06</v>
      </c>
      <c r="J551" t="str">
        <f t="shared" si="8"/>
        <v>Medium</v>
      </c>
    </row>
    <row r="552" spans="1:10" x14ac:dyDescent="0.25">
      <c r="A552">
        <v>162</v>
      </c>
      <c r="B552">
        <v>64</v>
      </c>
      <c r="C552" t="s">
        <v>45</v>
      </c>
      <c r="D552" s="3">
        <v>122472</v>
      </c>
      <c r="E552">
        <v>75</v>
      </c>
      <c r="F552">
        <v>1</v>
      </c>
      <c r="G552">
        <v>17</v>
      </c>
      <c r="H552" t="s">
        <v>15</v>
      </c>
      <c r="I552">
        <v>771.33</v>
      </c>
      <c r="J552" t="str">
        <f t="shared" si="8"/>
        <v>High</v>
      </c>
    </row>
    <row r="553" spans="1:10" x14ac:dyDescent="0.25">
      <c r="A553">
        <v>164</v>
      </c>
      <c r="B553">
        <v>60</v>
      </c>
      <c r="C553" t="s">
        <v>45</v>
      </c>
      <c r="D553" s="3">
        <v>98771</v>
      </c>
      <c r="E553">
        <v>37</v>
      </c>
      <c r="F553">
        <v>8</v>
      </c>
      <c r="G553">
        <v>42</v>
      </c>
      <c r="H553" t="s">
        <v>15</v>
      </c>
      <c r="I553">
        <v>520.37</v>
      </c>
      <c r="J553" t="str">
        <f t="shared" si="8"/>
        <v>Medium</v>
      </c>
    </row>
    <row r="554" spans="1:10" x14ac:dyDescent="0.25">
      <c r="A554">
        <v>236</v>
      </c>
      <c r="B554">
        <v>42</v>
      </c>
      <c r="C554" t="s">
        <v>45</v>
      </c>
      <c r="D554" s="3">
        <v>66495</v>
      </c>
      <c r="E554">
        <v>79</v>
      </c>
      <c r="F554">
        <v>9</v>
      </c>
      <c r="G554">
        <v>31</v>
      </c>
      <c r="H554" t="s">
        <v>15</v>
      </c>
      <c r="I554">
        <v>537.66</v>
      </c>
      <c r="J554" t="str">
        <f t="shared" si="8"/>
        <v>High</v>
      </c>
    </row>
    <row r="555" spans="1:10" x14ac:dyDescent="0.25">
      <c r="A555">
        <v>247</v>
      </c>
      <c r="B555">
        <v>54</v>
      </c>
      <c r="C555" t="s">
        <v>45</v>
      </c>
      <c r="D555" s="3">
        <v>48896</v>
      </c>
      <c r="E555">
        <v>28</v>
      </c>
      <c r="F555">
        <v>9</v>
      </c>
      <c r="G555">
        <v>25</v>
      </c>
      <c r="H555" t="s">
        <v>15</v>
      </c>
      <c r="I555">
        <v>244.79</v>
      </c>
      <c r="J555" t="str">
        <f t="shared" si="8"/>
        <v>Low</v>
      </c>
    </row>
    <row r="556" spans="1:10" x14ac:dyDescent="0.25">
      <c r="A556">
        <v>248</v>
      </c>
      <c r="B556">
        <v>28</v>
      </c>
      <c r="C556" t="s">
        <v>45</v>
      </c>
      <c r="D556" s="3">
        <v>48383</v>
      </c>
      <c r="E556">
        <v>57</v>
      </c>
      <c r="F556">
        <v>8</v>
      </c>
      <c r="G556">
        <v>35</v>
      </c>
      <c r="H556" t="s">
        <v>15</v>
      </c>
      <c r="I556">
        <v>17.97</v>
      </c>
      <c r="J556" t="str">
        <f t="shared" si="8"/>
        <v>Medium</v>
      </c>
    </row>
    <row r="557" spans="1:10" x14ac:dyDescent="0.25">
      <c r="A557">
        <v>261</v>
      </c>
      <c r="B557">
        <v>39</v>
      </c>
      <c r="C557" t="s">
        <v>45</v>
      </c>
      <c r="D557" s="3">
        <v>117432</v>
      </c>
      <c r="E557">
        <v>96</v>
      </c>
      <c r="F557">
        <v>7</v>
      </c>
      <c r="G557">
        <v>41</v>
      </c>
      <c r="H557" t="s">
        <v>15</v>
      </c>
      <c r="I557">
        <v>25.44</v>
      </c>
      <c r="J557" t="str">
        <f t="shared" si="8"/>
        <v>High</v>
      </c>
    </row>
    <row r="558" spans="1:10" x14ac:dyDescent="0.25">
      <c r="A558">
        <v>293</v>
      </c>
      <c r="B558">
        <v>45</v>
      </c>
      <c r="C558" t="s">
        <v>45</v>
      </c>
      <c r="D558" s="3">
        <v>54819</v>
      </c>
      <c r="E558">
        <v>72</v>
      </c>
      <c r="F558">
        <v>3</v>
      </c>
      <c r="G558">
        <v>47</v>
      </c>
      <c r="H558" t="s">
        <v>15</v>
      </c>
      <c r="I558">
        <v>553.44000000000005</v>
      </c>
      <c r="J558" t="str">
        <f t="shared" si="8"/>
        <v>High</v>
      </c>
    </row>
    <row r="559" spans="1:10" x14ac:dyDescent="0.25">
      <c r="A559">
        <v>296</v>
      </c>
      <c r="B559">
        <v>56</v>
      </c>
      <c r="C559" t="s">
        <v>45</v>
      </c>
      <c r="D559" s="3">
        <v>129611</v>
      </c>
      <c r="E559">
        <v>23</v>
      </c>
      <c r="F559">
        <v>3</v>
      </c>
      <c r="G559">
        <v>48</v>
      </c>
      <c r="H559" t="s">
        <v>15</v>
      </c>
      <c r="I559">
        <v>98.85</v>
      </c>
      <c r="J559" t="str">
        <f t="shared" si="8"/>
        <v>Low</v>
      </c>
    </row>
    <row r="560" spans="1:10" x14ac:dyDescent="0.25">
      <c r="A560">
        <v>332</v>
      </c>
      <c r="B560">
        <v>38</v>
      </c>
      <c r="C560" t="s">
        <v>45</v>
      </c>
      <c r="D560" s="3">
        <v>50518</v>
      </c>
      <c r="E560">
        <v>70</v>
      </c>
      <c r="F560">
        <v>1</v>
      </c>
      <c r="G560">
        <v>38</v>
      </c>
      <c r="H560" t="s">
        <v>15</v>
      </c>
      <c r="I560">
        <v>816.09</v>
      </c>
      <c r="J560" t="str">
        <f t="shared" si="8"/>
        <v>High</v>
      </c>
    </row>
    <row r="561" spans="1:10" x14ac:dyDescent="0.25">
      <c r="A561">
        <v>333</v>
      </c>
      <c r="B561">
        <v>21</v>
      </c>
      <c r="C561" t="s">
        <v>45</v>
      </c>
      <c r="D561" s="3">
        <v>126598</v>
      </c>
      <c r="E561">
        <v>14</v>
      </c>
      <c r="F561">
        <v>3</v>
      </c>
      <c r="G561">
        <v>1</v>
      </c>
      <c r="H561" t="s">
        <v>15</v>
      </c>
      <c r="I561">
        <v>505.98</v>
      </c>
      <c r="J561" t="str">
        <f t="shared" si="8"/>
        <v>Low</v>
      </c>
    </row>
    <row r="562" spans="1:10" x14ac:dyDescent="0.25">
      <c r="A562">
        <v>354</v>
      </c>
      <c r="B562">
        <v>63</v>
      </c>
      <c r="C562" t="s">
        <v>45</v>
      </c>
      <c r="D562" s="3">
        <v>37003</v>
      </c>
      <c r="E562">
        <v>57</v>
      </c>
      <c r="F562">
        <v>4</v>
      </c>
      <c r="G562">
        <v>25</v>
      </c>
      <c r="H562" t="s">
        <v>15</v>
      </c>
      <c r="I562">
        <v>857.68</v>
      </c>
      <c r="J562" t="str">
        <f t="shared" si="8"/>
        <v>Medium</v>
      </c>
    </row>
    <row r="563" spans="1:10" x14ac:dyDescent="0.25">
      <c r="A563">
        <v>355</v>
      </c>
      <c r="B563">
        <v>38</v>
      </c>
      <c r="C563" t="s">
        <v>45</v>
      </c>
      <c r="D563" s="3">
        <v>81837</v>
      </c>
      <c r="E563">
        <v>68</v>
      </c>
      <c r="F563">
        <v>5</v>
      </c>
      <c r="G563">
        <v>6</v>
      </c>
      <c r="H563" t="s">
        <v>15</v>
      </c>
      <c r="I563">
        <v>349.35</v>
      </c>
      <c r="J563" t="str">
        <f t="shared" si="8"/>
        <v>High</v>
      </c>
    </row>
    <row r="564" spans="1:10" x14ac:dyDescent="0.25">
      <c r="A564">
        <v>364</v>
      </c>
      <c r="B564">
        <v>63</v>
      </c>
      <c r="C564" t="s">
        <v>45</v>
      </c>
      <c r="D564" s="3">
        <v>145117</v>
      </c>
      <c r="E564">
        <v>66</v>
      </c>
      <c r="F564">
        <v>7</v>
      </c>
      <c r="G564">
        <v>12</v>
      </c>
      <c r="H564" t="s">
        <v>15</v>
      </c>
      <c r="I564">
        <v>971.02</v>
      </c>
      <c r="J564" t="str">
        <f t="shared" si="8"/>
        <v>High</v>
      </c>
    </row>
    <row r="565" spans="1:10" x14ac:dyDescent="0.25">
      <c r="A565">
        <v>369</v>
      </c>
      <c r="B565">
        <v>63</v>
      </c>
      <c r="C565" t="s">
        <v>45</v>
      </c>
      <c r="D565" s="3">
        <v>77411</v>
      </c>
      <c r="E565">
        <v>20</v>
      </c>
      <c r="F565">
        <v>2</v>
      </c>
      <c r="G565">
        <v>37</v>
      </c>
      <c r="H565" t="s">
        <v>15</v>
      </c>
      <c r="I565">
        <v>648.38</v>
      </c>
      <c r="J565" t="str">
        <f t="shared" si="8"/>
        <v>Low</v>
      </c>
    </row>
    <row r="566" spans="1:10" x14ac:dyDescent="0.25">
      <c r="A566">
        <v>374</v>
      </c>
      <c r="B566">
        <v>64</v>
      </c>
      <c r="C566" t="s">
        <v>45</v>
      </c>
      <c r="D566" s="3">
        <v>84380</v>
      </c>
      <c r="E566">
        <v>69</v>
      </c>
      <c r="F566">
        <v>10</v>
      </c>
      <c r="G566">
        <v>28</v>
      </c>
      <c r="H566" t="s">
        <v>15</v>
      </c>
      <c r="I566">
        <v>212.08</v>
      </c>
      <c r="J566" t="str">
        <f t="shared" si="8"/>
        <v>High</v>
      </c>
    </row>
    <row r="567" spans="1:10" x14ac:dyDescent="0.25">
      <c r="A567">
        <v>380</v>
      </c>
      <c r="B567">
        <v>59</v>
      </c>
      <c r="C567" t="s">
        <v>45</v>
      </c>
      <c r="D567" s="3">
        <v>140349</v>
      </c>
      <c r="E567">
        <v>75</v>
      </c>
      <c r="F567">
        <v>2</v>
      </c>
      <c r="G567">
        <v>6</v>
      </c>
      <c r="H567" t="s">
        <v>15</v>
      </c>
      <c r="I567">
        <v>383.64</v>
      </c>
      <c r="J567" t="str">
        <f t="shared" si="8"/>
        <v>High</v>
      </c>
    </row>
    <row r="568" spans="1:10" x14ac:dyDescent="0.25">
      <c r="A568">
        <v>389</v>
      </c>
      <c r="B568">
        <v>34</v>
      </c>
      <c r="C568" t="s">
        <v>45</v>
      </c>
      <c r="D568" s="3">
        <v>118622</v>
      </c>
      <c r="E568">
        <v>99</v>
      </c>
      <c r="F568">
        <v>4</v>
      </c>
      <c r="G568">
        <v>47</v>
      </c>
      <c r="H568" t="s">
        <v>15</v>
      </c>
      <c r="I568">
        <v>122.21</v>
      </c>
      <c r="J568" t="str">
        <f t="shared" si="8"/>
        <v>High</v>
      </c>
    </row>
    <row r="569" spans="1:10" x14ac:dyDescent="0.25">
      <c r="A569">
        <v>416</v>
      </c>
      <c r="B569">
        <v>38</v>
      </c>
      <c r="C569" t="s">
        <v>45</v>
      </c>
      <c r="D569" s="3">
        <v>51327</v>
      </c>
      <c r="E569">
        <v>62</v>
      </c>
      <c r="F569">
        <v>5</v>
      </c>
      <c r="G569">
        <v>24</v>
      </c>
      <c r="H569" t="s">
        <v>15</v>
      </c>
      <c r="I569">
        <v>645.42999999999995</v>
      </c>
      <c r="J569" t="str">
        <f t="shared" si="8"/>
        <v>Medium</v>
      </c>
    </row>
    <row r="570" spans="1:10" x14ac:dyDescent="0.25">
      <c r="A570">
        <v>436</v>
      </c>
      <c r="B570">
        <v>52</v>
      </c>
      <c r="C570" t="s">
        <v>45</v>
      </c>
      <c r="D570" s="3">
        <v>136827</v>
      </c>
      <c r="E570">
        <v>87</v>
      </c>
      <c r="F570">
        <v>5</v>
      </c>
      <c r="G570">
        <v>20</v>
      </c>
      <c r="H570" t="s">
        <v>15</v>
      </c>
      <c r="I570">
        <v>322.29000000000002</v>
      </c>
      <c r="J570" t="str">
        <f t="shared" si="8"/>
        <v>High</v>
      </c>
    </row>
    <row r="571" spans="1:10" x14ac:dyDescent="0.25">
      <c r="A571">
        <v>508</v>
      </c>
      <c r="B571">
        <v>48</v>
      </c>
      <c r="C571" t="s">
        <v>45</v>
      </c>
      <c r="D571" s="3">
        <v>72108</v>
      </c>
      <c r="E571">
        <v>85</v>
      </c>
      <c r="F571">
        <v>8</v>
      </c>
      <c r="G571">
        <v>13</v>
      </c>
      <c r="H571" t="s">
        <v>15</v>
      </c>
      <c r="I571">
        <v>486.58</v>
      </c>
      <c r="J571" t="str">
        <f t="shared" si="8"/>
        <v>High</v>
      </c>
    </row>
    <row r="572" spans="1:10" x14ac:dyDescent="0.25">
      <c r="A572">
        <v>509</v>
      </c>
      <c r="B572">
        <v>68</v>
      </c>
      <c r="C572" t="s">
        <v>45</v>
      </c>
      <c r="D572" s="3">
        <v>113760</v>
      </c>
      <c r="E572">
        <v>64</v>
      </c>
      <c r="F572">
        <v>2</v>
      </c>
      <c r="G572">
        <v>37</v>
      </c>
      <c r="H572" t="s">
        <v>15</v>
      </c>
      <c r="I572">
        <v>462.62</v>
      </c>
      <c r="J572" t="str">
        <f t="shared" si="8"/>
        <v>Medium</v>
      </c>
    </row>
    <row r="573" spans="1:10" x14ac:dyDescent="0.25">
      <c r="A573">
        <v>511</v>
      </c>
      <c r="B573">
        <v>24</v>
      </c>
      <c r="C573" t="s">
        <v>45</v>
      </c>
      <c r="D573" s="3">
        <v>109039</v>
      </c>
      <c r="E573">
        <v>71</v>
      </c>
      <c r="F573">
        <v>9</v>
      </c>
      <c r="G573">
        <v>41</v>
      </c>
      <c r="H573" t="s">
        <v>15</v>
      </c>
      <c r="I573">
        <v>606.17999999999995</v>
      </c>
      <c r="J573" t="str">
        <f t="shared" si="8"/>
        <v>High</v>
      </c>
    </row>
    <row r="574" spans="1:10" x14ac:dyDescent="0.25">
      <c r="A574">
        <v>533</v>
      </c>
      <c r="B574">
        <v>36</v>
      </c>
      <c r="C574" t="s">
        <v>45</v>
      </c>
      <c r="D574" s="3">
        <v>113794</v>
      </c>
      <c r="E574">
        <v>74</v>
      </c>
      <c r="F574">
        <v>1</v>
      </c>
      <c r="G574">
        <v>27</v>
      </c>
      <c r="H574" t="s">
        <v>15</v>
      </c>
      <c r="I574">
        <v>377.75</v>
      </c>
      <c r="J574" t="str">
        <f t="shared" si="8"/>
        <v>High</v>
      </c>
    </row>
    <row r="575" spans="1:10" x14ac:dyDescent="0.25">
      <c r="A575">
        <v>535</v>
      </c>
      <c r="B575">
        <v>46</v>
      </c>
      <c r="C575" t="s">
        <v>45</v>
      </c>
      <c r="D575" s="3">
        <v>61090</v>
      </c>
      <c r="E575">
        <v>3</v>
      </c>
      <c r="F575">
        <v>4</v>
      </c>
      <c r="G575">
        <v>3</v>
      </c>
      <c r="H575" t="s">
        <v>15</v>
      </c>
      <c r="I575">
        <v>213.68</v>
      </c>
      <c r="J575" t="str">
        <f t="shared" si="8"/>
        <v>Low</v>
      </c>
    </row>
    <row r="576" spans="1:10" x14ac:dyDescent="0.25">
      <c r="A576">
        <v>555</v>
      </c>
      <c r="B576">
        <v>66</v>
      </c>
      <c r="C576" t="s">
        <v>45</v>
      </c>
      <c r="D576" s="3">
        <v>53345</v>
      </c>
      <c r="E576">
        <v>100</v>
      </c>
      <c r="F576">
        <v>4</v>
      </c>
      <c r="G576">
        <v>22</v>
      </c>
      <c r="H576" t="s">
        <v>15</v>
      </c>
      <c r="I576">
        <v>221.75</v>
      </c>
      <c r="J576" t="str">
        <f t="shared" si="8"/>
        <v>High</v>
      </c>
    </row>
    <row r="577" spans="1:10" x14ac:dyDescent="0.25">
      <c r="A577">
        <v>594</v>
      </c>
      <c r="B577">
        <v>29</v>
      </c>
      <c r="C577" t="s">
        <v>45</v>
      </c>
      <c r="D577" s="3">
        <v>98150</v>
      </c>
      <c r="E577">
        <v>42</v>
      </c>
      <c r="F577">
        <v>9</v>
      </c>
      <c r="G577">
        <v>34</v>
      </c>
      <c r="H577" t="s">
        <v>15</v>
      </c>
      <c r="I577">
        <v>324.11</v>
      </c>
      <c r="J577" t="str">
        <f t="shared" si="8"/>
        <v>Medium</v>
      </c>
    </row>
    <row r="578" spans="1:10" x14ac:dyDescent="0.25">
      <c r="A578">
        <v>618</v>
      </c>
      <c r="B578">
        <v>53</v>
      </c>
      <c r="C578" t="s">
        <v>45</v>
      </c>
      <c r="D578" s="3">
        <v>62024</v>
      </c>
      <c r="E578">
        <v>13</v>
      </c>
      <c r="F578">
        <v>2</v>
      </c>
      <c r="G578">
        <v>39</v>
      </c>
      <c r="H578" t="s">
        <v>15</v>
      </c>
      <c r="I578">
        <v>66.599999999999994</v>
      </c>
      <c r="J578" t="str">
        <f t="shared" ref="J578:J641" si="9">IF(E578&lt;33,"Low",IF(E578&lt;66,"Medium","High"))</f>
        <v>Low</v>
      </c>
    </row>
    <row r="579" spans="1:10" x14ac:dyDescent="0.25">
      <c r="A579">
        <v>620</v>
      </c>
      <c r="B579">
        <v>53</v>
      </c>
      <c r="C579" t="s">
        <v>45</v>
      </c>
      <c r="D579" s="3">
        <v>50215</v>
      </c>
      <c r="E579">
        <v>92</v>
      </c>
      <c r="F579">
        <v>6</v>
      </c>
      <c r="G579">
        <v>48</v>
      </c>
      <c r="H579" t="s">
        <v>15</v>
      </c>
      <c r="I579">
        <v>814.52</v>
      </c>
      <c r="J579" t="str">
        <f t="shared" si="9"/>
        <v>High</v>
      </c>
    </row>
    <row r="580" spans="1:10" x14ac:dyDescent="0.25">
      <c r="A580">
        <v>622</v>
      </c>
      <c r="B580">
        <v>33</v>
      </c>
      <c r="C580" t="s">
        <v>45</v>
      </c>
      <c r="D580" s="3">
        <v>102269</v>
      </c>
      <c r="E580">
        <v>26</v>
      </c>
      <c r="F580">
        <v>8</v>
      </c>
      <c r="G580">
        <v>47</v>
      </c>
      <c r="H580" t="s">
        <v>15</v>
      </c>
      <c r="I580">
        <v>356.67</v>
      </c>
      <c r="J580" t="str">
        <f t="shared" si="9"/>
        <v>Low</v>
      </c>
    </row>
    <row r="581" spans="1:10" x14ac:dyDescent="0.25">
      <c r="A581">
        <v>628</v>
      </c>
      <c r="B581">
        <v>39</v>
      </c>
      <c r="C581" t="s">
        <v>45</v>
      </c>
      <c r="D581" s="3">
        <v>108744</v>
      </c>
      <c r="E581">
        <v>63</v>
      </c>
      <c r="F581">
        <v>2</v>
      </c>
      <c r="G581">
        <v>23</v>
      </c>
      <c r="H581" t="s">
        <v>15</v>
      </c>
      <c r="I581">
        <v>411.86</v>
      </c>
      <c r="J581" t="str">
        <f t="shared" si="9"/>
        <v>Medium</v>
      </c>
    </row>
    <row r="582" spans="1:10" x14ac:dyDescent="0.25">
      <c r="A582">
        <v>641</v>
      </c>
      <c r="B582">
        <v>59</v>
      </c>
      <c r="C582" t="s">
        <v>45</v>
      </c>
      <c r="D582" s="3">
        <v>141667</v>
      </c>
      <c r="E582">
        <v>28</v>
      </c>
      <c r="F582">
        <v>4</v>
      </c>
      <c r="G582">
        <v>5</v>
      </c>
      <c r="H582" t="s">
        <v>15</v>
      </c>
      <c r="I582">
        <v>204.25</v>
      </c>
      <c r="J582" t="str">
        <f t="shared" si="9"/>
        <v>Low</v>
      </c>
    </row>
    <row r="583" spans="1:10" x14ac:dyDescent="0.25">
      <c r="A583">
        <v>666</v>
      </c>
      <c r="B583">
        <v>31</v>
      </c>
      <c r="C583" t="s">
        <v>45</v>
      </c>
      <c r="D583" s="3">
        <v>85972</v>
      </c>
      <c r="E583">
        <v>62</v>
      </c>
      <c r="F583">
        <v>9</v>
      </c>
      <c r="G583">
        <v>25</v>
      </c>
      <c r="H583" t="s">
        <v>15</v>
      </c>
      <c r="I583">
        <v>914.63</v>
      </c>
      <c r="J583" t="str">
        <f t="shared" si="9"/>
        <v>Medium</v>
      </c>
    </row>
    <row r="584" spans="1:10" x14ac:dyDescent="0.25">
      <c r="A584">
        <v>711</v>
      </c>
      <c r="B584">
        <v>43</v>
      </c>
      <c r="C584" t="s">
        <v>45</v>
      </c>
      <c r="D584" s="3">
        <v>51398</v>
      </c>
      <c r="E584">
        <v>12</v>
      </c>
      <c r="F584">
        <v>4</v>
      </c>
      <c r="G584">
        <v>26</v>
      </c>
      <c r="H584" t="s">
        <v>15</v>
      </c>
      <c r="I584">
        <v>117.85</v>
      </c>
      <c r="J584" t="str">
        <f t="shared" si="9"/>
        <v>Low</v>
      </c>
    </row>
    <row r="585" spans="1:10" x14ac:dyDescent="0.25">
      <c r="A585">
        <v>724</v>
      </c>
      <c r="B585">
        <v>21</v>
      </c>
      <c r="C585" t="s">
        <v>45</v>
      </c>
      <c r="D585" s="3">
        <v>114762</v>
      </c>
      <c r="E585">
        <v>28</v>
      </c>
      <c r="F585">
        <v>3</v>
      </c>
      <c r="G585">
        <v>7</v>
      </c>
      <c r="H585" t="s">
        <v>15</v>
      </c>
      <c r="I585">
        <v>397.54</v>
      </c>
      <c r="J585" t="str">
        <f t="shared" si="9"/>
        <v>Low</v>
      </c>
    </row>
    <row r="586" spans="1:10" x14ac:dyDescent="0.25">
      <c r="A586">
        <v>777</v>
      </c>
      <c r="B586">
        <v>19</v>
      </c>
      <c r="C586" t="s">
        <v>45</v>
      </c>
      <c r="D586" s="3">
        <v>45781</v>
      </c>
      <c r="E586">
        <v>93</v>
      </c>
      <c r="F586">
        <v>6</v>
      </c>
      <c r="G586">
        <v>43</v>
      </c>
      <c r="H586" t="s">
        <v>15</v>
      </c>
      <c r="I586">
        <v>412.99</v>
      </c>
      <c r="J586" t="str">
        <f t="shared" si="9"/>
        <v>High</v>
      </c>
    </row>
    <row r="587" spans="1:10" x14ac:dyDescent="0.25">
      <c r="A587">
        <v>780</v>
      </c>
      <c r="B587">
        <v>65</v>
      </c>
      <c r="C587" t="s">
        <v>45</v>
      </c>
      <c r="D587" s="3">
        <v>80686</v>
      </c>
      <c r="E587">
        <v>2</v>
      </c>
      <c r="F587">
        <v>8</v>
      </c>
      <c r="G587">
        <v>30</v>
      </c>
      <c r="H587" t="s">
        <v>15</v>
      </c>
      <c r="I587">
        <v>491.8</v>
      </c>
      <c r="J587" t="str">
        <f t="shared" si="9"/>
        <v>Low</v>
      </c>
    </row>
    <row r="588" spans="1:10" x14ac:dyDescent="0.25">
      <c r="A588">
        <v>792</v>
      </c>
      <c r="B588">
        <v>18</v>
      </c>
      <c r="C588" t="s">
        <v>45</v>
      </c>
      <c r="D588" s="3">
        <v>140475</v>
      </c>
      <c r="E588">
        <v>38</v>
      </c>
      <c r="F588">
        <v>8</v>
      </c>
      <c r="G588">
        <v>7</v>
      </c>
      <c r="H588" t="s">
        <v>15</v>
      </c>
      <c r="I588">
        <v>442.42</v>
      </c>
      <c r="J588" t="str">
        <f t="shared" si="9"/>
        <v>Medium</v>
      </c>
    </row>
    <row r="589" spans="1:10" x14ac:dyDescent="0.25">
      <c r="A589">
        <v>798</v>
      </c>
      <c r="B589">
        <v>68</v>
      </c>
      <c r="C589" t="s">
        <v>45</v>
      </c>
      <c r="D589" s="3">
        <v>44597</v>
      </c>
      <c r="E589">
        <v>3</v>
      </c>
      <c r="F589">
        <v>1</v>
      </c>
      <c r="G589">
        <v>36</v>
      </c>
      <c r="H589" t="s">
        <v>15</v>
      </c>
      <c r="I589">
        <v>743.73</v>
      </c>
      <c r="J589" t="str">
        <f t="shared" si="9"/>
        <v>Low</v>
      </c>
    </row>
    <row r="590" spans="1:10" x14ac:dyDescent="0.25">
      <c r="A590">
        <v>800</v>
      </c>
      <c r="B590">
        <v>35</v>
      </c>
      <c r="C590" t="s">
        <v>45</v>
      </c>
      <c r="D590" s="3">
        <v>114874</v>
      </c>
      <c r="E590">
        <v>40</v>
      </c>
      <c r="F590">
        <v>3</v>
      </c>
      <c r="G590">
        <v>15</v>
      </c>
      <c r="H590" t="s">
        <v>15</v>
      </c>
      <c r="I590">
        <v>333.55</v>
      </c>
      <c r="J590" t="str">
        <f t="shared" si="9"/>
        <v>Medium</v>
      </c>
    </row>
    <row r="591" spans="1:10" x14ac:dyDescent="0.25">
      <c r="A591">
        <v>801</v>
      </c>
      <c r="B591">
        <v>61</v>
      </c>
      <c r="C591" t="s">
        <v>45</v>
      </c>
      <c r="D591" s="3">
        <v>69791</v>
      </c>
      <c r="E591">
        <v>33</v>
      </c>
      <c r="F591">
        <v>8</v>
      </c>
      <c r="G591">
        <v>1</v>
      </c>
      <c r="H591" t="s">
        <v>15</v>
      </c>
      <c r="I591">
        <v>165.39</v>
      </c>
      <c r="J591" t="str">
        <f t="shared" si="9"/>
        <v>Medium</v>
      </c>
    </row>
    <row r="592" spans="1:10" x14ac:dyDescent="0.25">
      <c r="A592">
        <v>820</v>
      </c>
      <c r="B592">
        <v>52</v>
      </c>
      <c r="C592" t="s">
        <v>45</v>
      </c>
      <c r="D592" s="3">
        <v>73723</v>
      </c>
      <c r="E592">
        <v>69</v>
      </c>
      <c r="F592">
        <v>10</v>
      </c>
      <c r="G592">
        <v>19</v>
      </c>
      <c r="H592" t="s">
        <v>15</v>
      </c>
      <c r="I592">
        <v>321.92</v>
      </c>
      <c r="J592" t="str">
        <f t="shared" si="9"/>
        <v>High</v>
      </c>
    </row>
    <row r="593" spans="1:10" x14ac:dyDescent="0.25">
      <c r="A593">
        <v>827</v>
      </c>
      <c r="B593">
        <v>62</v>
      </c>
      <c r="C593" t="s">
        <v>45</v>
      </c>
      <c r="D593" s="3">
        <v>88975</v>
      </c>
      <c r="E593">
        <v>58</v>
      </c>
      <c r="F593">
        <v>6</v>
      </c>
      <c r="G593">
        <v>24</v>
      </c>
      <c r="H593" t="s">
        <v>15</v>
      </c>
      <c r="I593">
        <v>921.21</v>
      </c>
      <c r="J593" t="str">
        <f t="shared" si="9"/>
        <v>Medium</v>
      </c>
    </row>
    <row r="594" spans="1:10" x14ac:dyDescent="0.25">
      <c r="A594">
        <v>867</v>
      </c>
      <c r="B594">
        <v>68</v>
      </c>
      <c r="C594" t="s">
        <v>45</v>
      </c>
      <c r="D594" s="3">
        <v>35122</v>
      </c>
      <c r="E594">
        <v>72</v>
      </c>
      <c r="F594">
        <v>6</v>
      </c>
      <c r="G594">
        <v>33</v>
      </c>
      <c r="H594" t="s">
        <v>15</v>
      </c>
      <c r="I594">
        <v>983.84</v>
      </c>
      <c r="J594" t="str">
        <f t="shared" si="9"/>
        <v>High</v>
      </c>
    </row>
    <row r="595" spans="1:10" x14ac:dyDescent="0.25">
      <c r="A595">
        <v>876</v>
      </c>
      <c r="B595">
        <v>60</v>
      </c>
      <c r="C595" t="s">
        <v>45</v>
      </c>
      <c r="D595" s="3">
        <v>120195</v>
      </c>
      <c r="E595">
        <v>68</v>
      </c>
      <c r="F595">
        <v>9</v>
      </c>
      <c r="G595">
        <v>26</v>
      </c>
      <c r="H595" t="s">
        <v>15</v>
      </c>
      <c r="I595">
        <v>600.21</v>
      </c>
      <c r="J595" t="str">
        <f t="shared" si="9"/>
        <v>High</v>
      </c>
    </row>
    <row r="596" spans="1:10" x14ac:dyDescent="0.25">
      <c r="A596">
        <v>886</v>
      </c>
      <c r="B596">
        <v>26</v>
      </c>
      <c r="C596" t="s">
        <v>45</v>
      </c>
      <c r="D596" s="3">
        <v>113532</v>
      </c>
      <c r="E596">
        <v>70</v>
      </c>
      <c r="F596">
        <v>7</v>
      </c>
      <c r="G596">
        <v>28</v>
      </c>
      <c r="H596" t="s">
        <v>15</v>
      </c>
      <c r="I596">
        <v>679.69</v>
      </c>
      <c r="J596" t="str">
        <f t="shared" si="9"/>
        <v>High</v>
      </c>
    </row>
    <row r="597" spans="1:10" x14ac:dyDescent="0.25">
      <c r="A597">
        <v>889</v>
      </c>
      <c r="B597">
        <v>33</v>
      </c>
      <c r="C597" t="s">
        <v>45</v>
      </c>
      <c r="D597" s="3">
        <v>146269</v>
      </c>
      <c r="E597">
        <v>92</v>
      </c>
      <c r="F597">
        <v>6</v>
      </c>
      <c r="G597">
        <v>10</v>
      </c>
      <c r="H597" t="s">
        <v>15</v>
      </c>
      <c r="I597">
        <v>486.86</v>
      </c>
      <c r="J597" t="str">
        <f t="shared" si="9"/>
        <v>High</v>
      </c>
    </row>
    <row r="598" spans="1:10" x14ac:dyDescent="0.25">
      <c r="A598">
        <v>891</v>
      </c>
      <c r="B598">
        <v>22</v>
      </c>
      <c r="C598" t="s">
        <v>45</v>
      </c>
      <c r="D598" s="3">
        <v>87909</v>
      </c>
      <c r="E598">
        <v>19</v>
      </c>
      <c r="F598">
        <v>7</v>
      </c>
      <c r="G598">
        <v>39</v>
      </c>
      <c r="H598" t="s">
        <v>15</v>
      </c>
      <c r="I598">
        <v>20.52</v>
      </c>
      <c r="J598" t="str">
        <f t="shared" si="9"/>
        <v>Low</v>
      </c>
    </row>
    <row r="599" spans="1:10" x14ac:dyDescent="0.25">
      <c r="A599">
        <v>892</v>
      </c>
      <c r="B599">
        <v>66</v>
      </c>
      <c r="C599" t="s">
        <v>45</v>
      </c>
      <c r="D599" s="3">
        <v>40932</v>
      </c>
      <c r="E599">
        <v>5</v>
      </c>
      <c r="F599">
        <v>1</v>
      </c>
      <c r="G599">
        <v>48</v>
      </c>
      <c r="H599" t="s">
        <v>15</v>
      </c>
      <c r="I599">
        <v>546.05999999999995</v>
      </c>
      <c r="J599" t="str">
        <f t="shared" si="9"/>
        <v>Low</v>
      </c>
    </row>
    <row r="600" spans="1:10" x14ac:dyDescent="0.25">
      <c r="A600">
        <v>894</v>
      </c>
      <c r="B600">
        <v>63</v>
      </c>
      <c r="C600" t="s">
        <v>45</v>
      </c>
      <c r="D600" s="3">
        <v>119492</v>
      </c>
      <c r="E600">
        <v>25</v>
      </c>
      <c r="F600">
        <v>8</v>
      </c>
      <c r="G600">
        <v>40</v>
      </c>
      <c r="H600" t="s">
        <v>15</v>
      </c>
      <c r="I600">
        <v>758.1</v>
      </c>
      <c r="J600" t="str">
        <f t="shared" si="9"/>
        <v>Low</v>
      </c>
    </row>
    <row r="601" spans="1:10" x14ac:dyDescent="0.25">
      <c r="A601">
        <v>903</v>
      </c>
      <c r="B601">
        <v>33</v>
      </c>
      <c r="C601" t="s">
        <v>45</v>
      </c>
      <c r="D601" s="3">
        <v>106771</v>
      </c>
      <c r="E601">
        <v>23</v>
      </c>
      <c r="F601">
        <v>7</v>
      </c>
      <c r="G601">
        <v>3</v>
      </c>
      <c r="H601" t="s">
        <v>15</v>
      </c>
      <c r="I601">
        <v>609.79999999999995</v>
      </c>
      <c r="J601" t="str">
        <f t="shared" si="9"/>
        <v>Low</v>
      </c>
    </row>
    <row r="602" spans="1:10" x14ac:dyDescent="0.25">
      <c r="A602">
        <v>908</v>
      </c>
      <c r="B602">
        <v>59</v>
      </c>
      <c r="C602" t="s">
        <v>45</v>
      </c>
      <c r="D602" s="3">
        <v>141567</v>
      </c>
      <c r="E602">
        <v>27</v>
      </c>
      <c r="F602">
        <v>8</v>
      </c>
      <c r="G602">
        <v>30</v>
      </c>
      <c r="H602" t="s">
        <v>15</v>
      </c>
      <c r="I602">
        <v>95.96</v>
      </c>
      <c r="J602" t="str">
        <f t="shared" si="9"/>
        <v>Low</v>
      </c>
    </row>
    <row r="603" spans="1:10" x14ac:dyDescent="0.25">
      <c r="A603">
        <v>915</v>
      </c>
      <c r="B603">
        <v>18</v>
      </c>
      <c r="C603" t="s">
        <v>45</v>
      </c>
      <c r="D603" s="3">
        <v>69502</v>
      </c>
      <c r="E603">
        <v>83</v>
      </c>
      <c r="F603">
        <v>6</v>
      </c>
      <c r="G603">
        <v>32</v>
      </c>
      <c r="H603" t="s">
        <v>15</v>
      </c>
      <c r="I603">
        <v>236.83</v>
      </c>
      <c r="J603" t="str">
        <f t="shared" si="9"/>
        <v>High</v>
      </c>
    </row>
    <row r="604" spans="1:10" x14ac:dyDescent="0.25">
      <c r="A604">
        <v>932</v>
      </c>
      <c r="B604">
        <v>31</v>
      </c>
      <c r="C604" t="s">
        <v>45</v>
      </c>
      <c r="D604" s="3">
        <v>30969</v>
      </c>
      <c r="E604">
        <v>32</v>
      </c>
      <c r="F604">
        <v>9</v>
      </c>
      <c r="G604">
        <v>11</v>
      </c>
      <c r="H604" t="s">
        <v>15</v>
      </c>
      <c r="I604">
        <v>562.47</v>
      </c>
      <c r="J604" t="str">
        <f t="shared" si="9"/>
        <v>Low</v>
      </c>
    </row>
    <row r="605" spans="1:10" x14ac:dyDescent="0.25">
      <c r="A605">
        <v>948</v>
      </c>
      <c r="B605">
        <v>21</v>
      </c>
      <c r="C605" t="s">
        <v>45</v>
      </c>
      <c r="D605" s="3">
        <v>117520</v>
      </c>
      <c r="E605">
        <v>34</v>
      </c>
      <c r="F605">
        <v>3</v>
      </c>
      <c r="G605">
        <v>32</v>
      </c>
      <c r="H605" t="s">
        <v>15</v>
      </c>
      <c r="I605">
        <v>256.98</v>
      </c>
      <c r="J605" t="str">
        <f t="shared" si="9"/>
        <v>Medium</v>
      </c>
    </row>
    <row r="606" spans="1:10" x14ac:dyDescent="0.25">
      <c r="A606">
        <v>949</v>
      </c>
      <c r="B606">
        <v>62</v>
      </c>
      <c r="C606" t="s">
        <v>45</v>
      </c>
      <c r="D606" s="3">
        <v>128667</v>
      </c>
      <c r="E606">
        <v>37</v>
      </c>
      <c r="F606">
        <v>5</v>
      </c>
      <c r="G606">
        <v>17</v>
      </c>
      <c r="H606" t="s">
        <v>15</v>
      </c>
      <c r="I606">
        <v>150.62</v>
      </c>
      <c r="J606" t="str">
        <f t="shared" si="9"/>
        <v>Medium</v>
      </c>
    </row>
    <row r="607" spans="1:10" x14ac:dyDescent="0.25">
      <c r="A607">
        <v>964</v>
      </c>
      <c r="B607">
        <v>26</v>
      </c>
      <c r="C607" t="s">
        <v>45</v>
      </c>
      <c r="D607" s="3">
        <v>109221</v>
      </c>
      <c r="E607">
        <v>91</v>
      </c>
      <c r="F607">
        <v>2</v>
      </c>
      <c r="G607">
        <v>44</v>
      </c>
      <c r="H607" t="s">
        <v>15</v>
      </c>
      <c r="I607">
        <v>660.05</v>
      </c>
      <c r="J607" t="str">
        <f t="shared" si="9"/>
        <v>High</v>
      </c>
    </row>
    <row r="608" spans="1:10" x14ac:dyDescent="0.25">
      <c r="A608">
        <v>969</v>
      </c>
      <c r="B608">
        <v>61</v>
      </c>
      <c r="C608" t="s">
        <v>45</v>
      </c>
      <c r="D608" s="3">
        <v>38209</v>
      </c>
      <c r="E608">
        <v>79</v>
      </c>
      <c r="F608">
        <v>8</v>
      </c>
      <c r="G608">
        <v>40</v>
      </c>
      <c r="H608" t="s">
        <v>15</v>
      </c>
      <c r="I608">
        <v>724.23</v>
      </c>
      <c r="J608" t="str">
        <f t="shared" si="9"/>
        <v>High</v>
      </c>
    </row>
    <row r="609" spans="1:10" x14ac:dyDescent="0.25">
      <c r="A609">
        <v>985</v>
      </c>
      <c r="B609">
        <v>35</v>
      </c>
      <c r="C609" t="s">
        <v>45</v>
      </c>
      <c r="D609" s="3">
        <v>82057</v>
      </c>
      <c r="E609">
        <v>66</v>
      </c>
      <c r="F609">
        <v>4</v>
      </c>
      <c r="G609">
        <v>9</v>
      </c>
      <c r="H609" t="s">
        <v>15</v>
      </c>
      <c r="I609">
        <v>683.93</v>
      </c>
      <c r="J609" t="str">
        <f t="shared" si="9"/>
        <v>High</v>
      </c>
    </row>
    <row r="610" spans="1:10" x14ac:dyDescent="0.25">
      <c r="A610">
        <v>991</v>
      </c>
      <c r="B610">
        <v>21</v>
      </c>
      <c r="C610" t="s">
        <v>45</v>
      </c>
      <c r="D610" s="3">
        <v>80264</v>
      </c>
      <c r="E610">
        <v>41</v>
      </c>
      <c r="F610">
        <v>4</v>
      </c>
      <c r="G610">
        <v>26</v>
      </c>
      <c r="H610" t="s">
        <v>15</v>
      </c>
      <c r="I610">
        <v>458.93</v>
      </c>
      <c r="J610" t="str">
        <f t="shared" si="9"/>
        <v>Medium</v>
      </c>
    </row>
    <row r="611" spans="1:10" x14ac:dyDescent="0.25">
      <c r="A611">
        <v>992</v>
      </c>
      <c r="B611">
        <v>53</v>
      </c>
      <c r="C611" t="s">
        <v>45</v>
      </c>
      <c r="D611" s="3">
        <v>83578</v>
      </c>
      <c r="E611">
        <v>97</v>
      </c>
      <c r="F611">
        <v>5</v>
      </c>
      <c r="G611">
        <v>50</v>
      </c>
      <c r="H611" t="s">
        <v>15</v>
      </c>
      <c r="I611">
        <v>917.08</v>
      </c>
      <c r="J611" t="str">
        <f t="shared" si="9"/>
        <v>High</v>
      </c>
    </row>
    <row r="612" spans="1:10" x14ac:dyDescent="0.25">
      <c r="A612">
        <v>38</v>
      </c>
      <c r="B612">
        <v>48</v>
      </c>
      <c r="C612" t="s">
        <v>45</v>
      </c>
      <c r="D612" s="3">
        <v>81794</v>
      </c>
      <c r="E612">
        <v>89</v>
      </c>
      <c r="F612">
        <v>7</v>
      </c>
      <c r="G612">
        <v>50</v>
      </c>
      <c r="H612" t="s">
        <v>14</v>
      </c>
      <c r="I612">
        <v>967.99</v>
      </c>
      <c r="J612" t="str">
        <f t="shared" si="9"/>
        <v>High</v>
      </c>
    </row>
    <row r="613" spans="1:10" x14ac:dyDescent="0.25">
      <c r="A613">
        <v>57</v>
      </c>
      <c r="B613">
        <v>63</v>
      </c>
      <c r="C613" t="s">
        <v>45</v>
      </c>
      <c r="D613" s="3">
        <v>49607</v>
      </c>
      <c r="E613">
        <v>7</v>
      </c>
      <c r="F613">
        <v>9</v>
      </c>
      <c r="G613">
        <v>20</v>
      </c>
      <c r="H613" t="s">
        <v>14</v>
      </c>
      <c r="I613">
        <v>195.34</v>
      </c>
      <c r="J613" t="str">
        <f t="shared" si="9"/>
        <v>Low</v>
      </c>
    </row>
    <row r="614" spans="1:10" x14ac:dyDescent="0.25">
      <c r="A614">
        <v>80</v>
      </c>
      <c r="B614">
        <v>68</v>
      </c>
      <c r="C614" t="s">
        <v>45</v>
      </c>
      <c r="D614" s="3">
        <v>45092</v>
      </c>
      <c r="E614">
        <v>54</v>
      </c>
      <c r="F614">
        <v>4</v>
      </c>
      <c r="G614">
        <v>40</v>
      </c>
      <c r="H614" t="s">
        <v>14</v>
      </c>
      <c r="I614">
        <v>738.6</v>
      </c>
      <c r="J614" t="str">
        <f t="shared" si="9"/>
        <v>Medium</v>
      </c>
    </row>
    <row r="615" spans="1:10" x14ac:dyDescent="0.25">
      <c r="A615">
        <v>81</v>
      </c>
      <c r="B615">
        <v>65</v>
      </c>
      <c r="C615" t="s">
        <v>45</v>
      </c>
      <c r="D615" s="3">
        <v>117157</v>
      </c>
      <c r="E615">
        <v>90</v>
      </c>
      <c r="F615">
        <v>9</v>
      </c>
      <c r="G615">
        <v>39</v>
      </c>
      <c r="H615" t="s">
        <v>14</v>
      </c>
      <c r="I615">
        <v>812.36</v>
      </c>
      <c r="J615" t="str">
        <f t="shared" si="9"/>
        <v>High</v>
      </c>
    </row>
    <row r="616" spans="1:10" x14ac:dyDescent="0.25">
      <c r="A616">
        <v>97</v>
      </c>
      <c r="B616">
        <v>63</v>
      </c>
      <c r="C616" t="s">
        <v>45</v>
      </c>
      <c r="D616" s="3">
        <v>102834</v>
      </c>
      <c r="E616">
        <v>31</v>
      </c>
      <c r="F616">
        <v>7</v>
      </c>
      <c r="G616">
        <v>20</v>
      </c>
      <c r="H616" t="s">
        <v>14</v>
      </c>
      <c r="I616">
        <v>582.57000000000005</v>
      </c>
      <c r="J616" t="str">
        <f t="shared" si="9"/>
        <v>Low</v>
      </c>
    </row>
    <row r="617" spans="1:10" x14ac:dyDescent="0.25">
      <c r="A617">
        <v>128</v>
      </c>
      <c r="B617">
        <v>40</v>
      </c>
      <c r="C617" t="s">
        <v>45</v>
      </c>
      <c r="D617" s="3">
        <v>81037</v>
      </c>
      <c r="E617">
        <v>70</v>
      </c>
      <c r="F617">
        <v>10</v>
      </c>
      <c r="G617">
        <v>45</v>
      </c>
      <c r="H617" t="s">
        <v>14</v>
      </c>
      <c r="I617">
        <v>370.75</v>
      </c>
      <c r="J617" t="str">
        <f t="shared" si="9"/>
        <v>High</v>
      </c>
    </row>
    <row r="618" spans="1:10" x14ac:dyDescent="0.25">
      <c r="A618">
        <v>141</v>
      </c>
      <c r="B618">
        <v>23</v>
      </c>
      <c r="C618" t="s">
        <v>45</v>
      </c>
      <c r="D618" s="3">
        <v>67237</v>
      </c>
      <c r="E618">
        <v>85</v>
      </c>
      <c r="F618">
        <v>9</v>
      </c>
      <c r="G618">
        <v>40</v>
      </c>
      <c r="H618" t="s">
        <v>14</v>
      </c>
      <c r="I618">
        <v>673.02</v>
      </c>
      <c r="J618" t="str">
        <f t="shared" si="9"/>
        <v>High</v>
      </c>
    </row>
    <row r="619" spans="1:10" x14ac:dyDescent="0.25">
      <c r="A619">
        <v>145</v>
      </c>
      <c r="B619">
        <v>44</v>
      </c>
      <c r="C619" t="s">
        <v>45</v>
      </c>
      <c r="D619" s="3">
        <v>122987</v>
      </c>
      <c r="E619">
        <v>29</v>
      </c>
      <c r="F619">
        <v>10</v>
      </c>
      <c r="G619">
        <v>25</v>
      </c>
      <c r="H619" t="s">
        <v>14</v>
      </c>
      <c r="I619">
        <v>898.68</v>
      </c>
      <c r="J619" t="str">
        <f t="shared" si="9"/>
        <v>Low</v>
      </c>
    </row>
    <row r="620" spans="1:10" x14ac:dyDescent="0.25">
      <c r="A620">
        <v>146</v>
      </c>
      <c r="B620">
        <v>58</v>
      </c>
      <c r="C620" t="s">
        <v>45</v>
      </c>
      <c r="D620" s="3">
        <v>90389</v>
      </c>
      <c r="E620">
        <v>17</v>
      </c>
      <c r="F620">
        <v>5</v>
      </c>
      <c r="G620">
        <v>12</v>
      </c>
      <c r="H620" t="s">
        <v>14</v>
      </c>
      <c r="I620">
        <v>855.21</v>
      </c>
      <c r="J620" t="str">
        <f t="shared" si="9"/>
        <v>Low</v>
      </c>
    </row>
    <row r="621" spans="1:10" x14ac:dyDescent="0.25">
      <c r="A621">
        <v>151</v>
      </c>
      <c r="B621">
        <v>55</v>
      </c>
      <c r="C621" t="s">
        <v>45</v>
      </c>
      <c r="D621" s="3">
        <v>138064</v>
      </c>
      <c r="E621">
        <v>86</v>
      </c>
      <c r="F621">
        <v>5</v>
      </c>
      <c r="G621">
        <v>22</v>
      </c>
      <c r="H621" t="s">
        <v>14</v>
      </c>
      <c r="I621">
        <v>368.75</v>
      </c>
      <c r="J621" t="str">
        <f t="shared" si="9"/>
        <v>High</v>
      </c>
    </row>
    <row r="622" spans="1:10" x14ac:dyDescent="0.25">
      <c r="A622">
        <v>154</v>
      </c>
      <c r="B622">
        <v>30</v>
      </c>
      <c r="C622" t="s">
        <v>45</v>
      </c>
      <c r="D622" s="3">
        <v>78653</v>
      </c>
      <c r="E622">
        <v>43</v>
      </c>
      <c r="F622">
        <v>4</v>
      </c>
      <c r="G622">
        <v>2</v>
      </c>
      <c r="H622" t="s">
        <v>14</v>
      </c>
      <c r="I622">
        <v>933.73</v>
      </c>
      <c r="J622" t="str">
        <f t="shared" si="9"/>
        <v>Medium</v>
      </c>
    </row>
    <row r="623" spans="1:10" x14ac:dyDescent="0.25">
      <c r="A623">
        <v>155</v>
      </c>
      <c r="B623">
        <v>53</v>
      </c>
      <c r="C623" t="s">
        <v>45</v>
      </c>
      <c r="D623" s="3">
        <v>146312</v>
      </c>
      <c r="E623">
        <v>58</v>
      </c>
      <c r="F623">
        <v>2</v>
      </c>
      <c r="G623">
        <v>32</v>
      </c>
      <c r="H623" t="s">
        <v>14</v>
      </c>
      <c r="I623">
        <v>880.78</v>
      </c>
      <c r="J623" t="str">
        <f t="shared" si="9"/>
        <v>Medium</v>
      </c>
    </row>
    <row r="624" spans="1:10" x14ac:dyDescent="0.25">
      <c r="A624">
        <v>177</v>
      </c>
      <c r="B624">
        <v>65</v>
      </c>
      <c r="C624" t="s">
        <v>45</v>
      </c>
      <c r="D624" s="3">
        <v>123680</v>
      </c>
      <c r="E624">
        <v>30</v>
      </c>
      <c r="F624">
        <v>2</v>
      </c>
      <c r="G624">
        <v>35</v>
      </c>
      <c r="H624" t="s">
        <v>14</v>
      </c>
      <c r="I624">
        <v>218.74</v>
      </c>
      <c r="J624" t="str">
        <f t="shared" si="9"/>
        <v>Low</v>
      </c>
    </row>
    <row r="625" spans="1:10" x14ac:dyDescent="0.25">
      <c r="A625">
        <v>190</v>
      </c>
      <c r="B625">
        <v>41</v>
      </c>
      <c r="C625" t="s">
        <v>45</v>
      </c>
      <c r="D625" s="3">
        <v>59408</v>
      </c>
      <c r="E625">
        <v>68</v>
      </c>
      <c r="F625">
        <v>1</v>
      </c>
      <c r="G625">
        <v>16</v>
      </c>
      <c r="H625" t="s">
        <v>14</v>
      </c>
      <c r="I625">
        <v>504.16</v>
      </c>
      <c r="J625" t="str">
        <f t="shared" si="9"/>
        <v>High</v>
      </c>
    </row>
    <row r="626" spans="1:10" x14ac:dyDescent="0.25">
      <c r="A626">
        <v>192</v>
      </c>
      <c r="B626">
        <v>63</v>
      </c>
      <c r="C626" t="s">
        <v>45</v>
      </c>
      <c r="D626" s="3">
        <v>109506</v>
      </c>
      <c r="E626">
        <v>48</v>
      </c>
      <c r="F626">
        <v>10</v>
      </c>
      <c r="G626">
        <v>50</v>
      </c>
      <c r="H626" t="s">
        <v>14</v>
      </c>
      <c r="I626">
        <v>26.85</v>
      </c>
      <c r="J626" t="str">
        <f t="shared" si="9"/>
        <v>Medium</v>
      </c>
    </row>
    <row r="627" spans="1:10" x14ac:dyDescent="0.25">
      <c r="A627">
        <v>195</v>
      </c>
      <c r="B627">
        <v>67</v>
      </c>
      <c r="C627" t="s">
        <v>45</v>
      </c>
      <c r="D627" s="3">
        <v>31806</v>
      </c>
      <c r="E627">
        <v>79</v>
      </c>
      <c r="F627">
        <v>8</v>
      </c>
      <c r="G627">
        <v>13</v>
      </c>
      <c r="H627" t="s">
        <v>14</v>
      </c>
      <c r="I627">
        <v>261.07</v>
      </c>
      <c r="J627" t="str">
        <f t="shared" si="9"/>
        <v>High</v>
      </c>
    </row>
    <row r="628" spans="1:10" x14ac:dyDescent="0.25">
      <c r="A628">
        <v>210</v>
      </c>
      <c r="B628">
        <v>47</v>
      </c>
      <c r="C628" t="s">
        <v>45</v>
      </c>
      <c r="D628" s="3">
        <v>93783</v>
      </c>
      <c r="E628">
        <v>24</v>
      </c>
      <c r="F628">
        <v>10</v>
      </c>
      <c r="G628">
        <v>3</v>
      </c>
      <c r="H628" t="s">
        <v>14</v>
      </c>
      <c r="I628">
        <v>406.56</v>
      </c>
      <c r="J628" t="str">
        <f t="shared" si="9"/>
        <v>Low</v>
      </c>
    </row>
    <row r="629" spans="1:10" x14ac:dyDescent="0.25">
      <c r="A629">
        <v>215</v>
      </c>
      <c r="B629">
        <v>69</v>
      </c>
      <c r="C629" t="s">
        <v>45</v>
      </c>
      <c r="D629" s="3">
        <v>127086</v>
      </c>
      <c r="E629">
        <v>93</v>
      </c>
      <c r="F629">
        <v>4</v>
      </c>
      <c r="G629">
        <v>45</v>
      </c>
      <c r="H629" t="s">
        <v>14</v>
      </c>
      <c r="I629">
        <v>339.9</v>
      </c>
      <c r="J629" t="str">
        <f t="shared" si="9"/>
        <v>High</v>
      </c>
    </row>
    <row r="630" spans="1:10" x14ac:dyDescent="0.25">
      <c r="A630">
        <v>216</v>
      </c>
      <c r="B630">
        <v>26</v>
      </c>
      <c r="C630" t="s">
        <v>45</v>
      </c>
      <c r="D630" s="3">
        <v>133538</v>
      </c>
      <c r="E630">
        <v>27</v>
      </c>
      <c r="F630">
        <v>5</v>
      </c>
      <c r="G630">
        <v>46</v>
      </c>
      <c r="H630" t="s">
        <v>14</v>
      </c>
      <c r="I630">
        <v>761.08</v>
      </c>
      <c r="J630" t="str">
        <f t="shared" si="9"/>
        <v>Low</v>
      </c>
    </row>
    <row r="631" spans="1:10" x14ac:dyDescent="0.25">
      <c r="A631">
        <v>237</v>
      </c>
      <c r="B631">
        <v>62</v>
      </c>
      <c r="C631" t="s">
        <v>45</v>
      </c>
      <c r="D631" s="3">
        <v>52480</v>
      </c>
      <c r="E631">
        <v>22</v>
      </c>
      <c r="F631">
        <v>3</v>
      </c>
      <c r="G631">
        <v>14</v>
      </c>
      <c r="H631" t="s">
        <v>14</v>
      </c>
      <c r="I631">
        <v>821.42</v>
      </c>
      <c r="J631" t="str">
        <f t="shared" si="9"/>
        <v>Low</v>
      </c>
    </row>
    <row r="632" spans="1:10" x14ac:dyDescent="0.25">
      <c r="A632">
        <v>243</v>
      </c>
      <c r="B632">
        <v>25</v>
      </c>
      <c r="C632" t="s">
        <v>45</v>
      </c>
      <c r="D632" s="3">
        <v>109583</v>
      </c>
      <c r="E632">
        <v>6</v>
      </c>
      <c r="F632">
        <v>4</v>
      </c>
      <c r="G632">
        <v>30</v>
      </c>
      <c r="H632" t="s">
        <v>14</v>
      </c>
      <c r="I632">
        <v>923.64</v>
      </c>
      <c r="J632" t="str">
        <f t="shared" si="9"/>
        <v>Low</v>
      </c>
    </row>
    <row r="633" spans="1:10" x14ac:dyDescent="0.25">
      <c r="A633">
        <v>258</v>
      </c>
      <c r="B633">
        <v>37</v>
      </c>
      <c r="C633" t="s">
        <v>45</v>
      </c>
      <c r="D633" s="3">
        <v>86856</v>
      </c>
      <c r="E633">
        <v>74</v>
      </c>
      <c r="F633">
        <v>3</v>
      </c>
      <c r="G633">
        <v>10</v>
      </c>
      <c r="H633" t="s">
        <v>14</v>
      </c>
      <c r="I633">
        <v>624.29</v>
      </c>
      <c r="J633" t="str">
        <f t="shared" si="9"/>
        <v>High</v>
      </c>
    </row>
    <row r="634" spans="1:10" x14ac:dyDescent="0.25">
      <c r="A634">
        <v>262</v>
      </c>
      <c r="B634">
        <v>60</v>
      </c>
      <c r="C634" t="s">
        <v>45</v>
      </c>
      <c r="D634" s="3">
        <v>45827</v>
      </c>
      <c r="E634">
        <v>18</v>
      </c>
      <c r="F634">
        <v>2</v>
      </c>
      <c r="G634">
        <v>47</v>
      </c>
      <c r="H634" t="s">
        <v>14</v>
      </c>
      <c r="I634">
        <v>599.66</v>
      </c>
      <c r="J634" t="str">
        <f t="shared" si="9"/>
        <v>Low</v>
      </c>
    </row>
    <row r="635" spans="1:10" x14ac:dyDescent="0.25">
      <c r="A635">
        <v>263</v>
      </c>
      <c r="B635">
        <v>64</v>
      </c>
      <c r="C635" t="s">
        <v>45</v>
      </c>
      <c r="D635" s="3">
        <v>115366</v>
      </c>
      <c r="E635">
        <v>68</v>
      </c>
      <c r="F635">
        <v>9</v>
      </c>
      <c r="G635">
        <v>28</v>
      </c>
      <c r="H635" t="s">
        <v>14</v>
      </c>
      <c r="I635">
        <v>934.88</v>
      </c>
      <c r="J635" t="str">
        <f t="shared" si="9"/>
        <v>High</v>
      </c>
    </row>
    <row r="636" spans="1:10" x14ac:dyDescent="0.25">
      <c r="A636">
        <v>279</v>
      </c>
      <c r="B636">
        <v>47</v>
      </c>
      <c r="C636" t="s">
        <v>45</v>
      </c>
      <c r="D636" s="3">
        <v>95656</v>
      </c>
      <c r="E636">
        <v>63</v>
      </c>
      <c r="F636">
        <v>2</v>
      </c>
      <c r="G636">
        <v>30</v>
      </c>
      <c r="H636" t="s">
        <v>14</v>
      </c>
      <c r="I636">
        <v>634.19000000000005</v>
      </c>
      <c r="J636" t="str">
        <f t="shared" si="9"/>
        <v>Medium</v>
      </c>
    </row>
    <row r="637" spans="1:10" x14ac:dyDescent="0.25">
      <c r="A637">
        <v>295</v>
      </c>
      <c r="B637">
        <v>18</v>
      </c>
      <c r="C637" t="s">
        <v>45</v>
      </c>
      <c r="D637" s="3">
        <v>135713</v>
      </c>
      <c r="E637">
        <v>79</v>
      </c>
      <c r="F637">
        <v>7</v>
      </c>
      <c r="G637">
        <v>18</v>
      </c>
      <c r="H637" t="s">
        <v>14</v>
      </c>
      <c r="I637">
        <v>871.12</v>
      </c>
      <c r="J637" t="str">
        <f t="shared" si="9"/>
        <v>High</v>
      </c>
    </row>
    <row r="638" spans="1:10" x14ac:dyDescent="0.25">
      <c r="A638">
        <v>313</v>
      </c>
      <c r="B638">
        <v>69</v>
      </c>
      <c r="C638" t="s">
        <v>45</v>
      </c>
      <c r="D638" s="3">
        <v>35218</v>
      </c>
      <c r="E638">
        <v>47</v>
      </c>
      <c r="F638">
        <v>4</v>
      </c>
      <c r="G638">
        <v>33</v>
      </c>
      <c r="H638" t="s">
        <v>14</v>
      </c>
      <c r="I638">
        <v>315.49</v>
      </c>
      <c r="J638" t="str">
        <f t="shared" si="9"/>
        <v>Medium</v>
      </c>
    </row>
    <row r="639" spans="1:10" x14ac:dyDescent="0.25">
      <c r="A639">
        <v>317</v>
      </c>
      <c r="B639">
        <v>18</v>
      </c>
      <c r="C639" t="s">
        <v>45</v>
      </c>
      <c r="D639" s="3">
        <v>92363</v>
      </c>
      <c r="E639">
        <v>84</v>
      </c>
      <c r="F639">
        <v>1</v>
      </c>
      <c r="G639">
        <v>10</v>
      </c>
      <c r="H639" t="s">
        <v>14</v>
      </c>
      <c r="I639">
        <v>539.74</v>
      </c>
      <c r="J639" t="str">
        <f t="shared" si="9"/>
        <v>High</v>
      </c>
    </row>
    <row r="640" spans="1:10" x14ac:dyDescent="0.25">
      <c r="A640">
        <v>318</v>
      </c>
      <c r="B640">
        <v>23</v>
      </c>
      <c r="C640" t="s">
        <v>45</v>
      </c>
      <c r="D640" s="3">
        <v>84664</v>
      </c>
      <c r="E640">
        <v>45</v>
      </c>
      <c r="F640">
        <v>5</v>
      </c>
      <c r="G640">
        <v>12</v>
      </c>
      <c r="H640" t="s">
        <v>14</v>
      </c>
      <c r="I640">
        <v>592.72</v>
      </c>
      <c r="J640" t="str">
        <f t="shared" si="9"/>
        <v>Medium</v>
      </c>
    </row>
    <row r="641" spans="1:10" x14ac:dyDescent="0.25">
      <c r="A641">
        <v>341</v>
      </c>
      <c r="B641">
        <v>31</v>
      </c>
      <c r="C641" t="s">
        <v>45</v>
      </c>
      <c r="D641" s="3">
        <v>35406</v>
      </c>
      <c r="E641">
        <v>45</v>
      </c>
      <c r="F641">
        <v>10</v>
      </c>
      <c r="G641">
        <v>9</v>
      </c>
      <c r="H641" t="s">
        <v>14</v>
      </c>
      <c r="I641">
        <v>637.02</v>
      </c>
      <c r="J641" t="str">
        <f t="shared" si="9"/>
        <v>Medium</v>
      </c>
    </row>
    <row r="642" spans="1:10" x14ac:dyDescent="0.25">
      <c r="A642">
        <v>373</v>
      </c>
      <c r="B642">
        <v>30</v>
      </c>
      <c r="C642" t="s">
        <v>45</v>
      </c>
      <c r="D642" s="3">
        <v>80320</v>
      </c>
      <c r="E642">
        <v>91</v>
      </c>
      <c r="F642">
        <v>1</v>
      </c>
      <c r="G642">
        <v>31</v>
      </c>
      <c r="H642" t="s">
        <v>14</v>
      </c>
      <c r="I642">
        <v>930.97</v>
      </c>
      <c r="J642" t="str">
        <f t="shared" ref="J642:J705" si="10">IF(E642&lt;33,"Low",IF(E642&lt;66,"Medium","High"))</f>
        <v>High</v>
      </c>
    </row>
    <row r="643" spans="1:10" x14ac:dyDescent="0.25">
      <c r="A643">
        <v>382</v>
      </c>
      <c r="B643">
        <v>68</v>
      </c>
      <c r="C643" t="s">
        <v>45</v>
      </c>
      <c r="D643" s="3">
        <v>93926</v>
      </c>
      <c r="E643">
        <v>45</v>
      </c>
      <c r="F643">
        <v>5</v>
      </c>
      <c r="G643">
        <v>22</v>
      </c>
      <c r="H643" t="s">
        <v>14</v>
      </c>
      <c r="I643">
        <v>19.14</v>
      </c>
      <c r="J643" t="str">
        <f t="shared" si="10"/>
        <v>Medium</v>
      </c>
    </row>
    <row r="644" spans="1:10" x14ac:dyDescent="0.25">
      <c r="A644">
        <v>397</v>
      </c>
      <c r="B644">
        <v>23</v>
      </c>
      <c r="C644" t="s">
        <v>45</v>
      </c>
      <c r="D644" s="3">
        <v>37713</v>
      </c>
      <c r="E644">
        <v>11</v>
      </c>
      <c r="F644">
        <v>8</v>
      </c>
      <c r="G644">
        <v>31</v>
      </c>
      <c r="H644" t="s">
        <v>14</v>
      </c>
      <c r="I644">
        <v>481.24</v>
      </c>
      <c r="J644" t="str">
        <f t="shared" si="10"/>
        <v>Low</v>
      </c>
    </row>
    <row r="645" spans="1:10" x14ac:dyDescent="0.25">
      <c r="A645">
        <v>401</v>
      </c>
      <c r="B645">
        <v>32</v>
      </c>
      <c r="C645" t="s">
        <v>45</v>
      </c>
      <c r="D645" s="3">
        <v>86268</v>
      </c>
      <c r="E645">
        <v>96</v>
      </c>
      <c r="F645">
        <v>3</v>
      </c>
      <c r="G645">
        <v>21</v>
      </c>
      <c r="H645" t="s">
        <v>14</v>
      </c>
      <c r="I645">
        <v>643.36</v>
      </c>
      <c r="J645" t="str">
        <f t="shared" si="10"/>
        <v>High</v>
      </c>
    </row>
    <row r="646" spans="1:10" x14ac:dyDescent="0.25">
      <c r="A646">
        <v>426</v>
      </c>
      <c r="B646">
        <v>40</v>
      </c>
      <c r="C646" t="s">
        <v>45</v>
      </c>
      <c r="D646" s="3">
        <v>142251</v>
      </c>
      <c r="E646">
        <v>90</v>
      </c>
      <c r="F646">
        <v>10</v>
      </c>
      <c r="G646">
        <v>14</v>
      </c>
      <c r="H646" t="s">
        <v>14</v>
      </c>
      <c r="I646">
        <v>866.52</v>
      </c>
      <c r="J646" t="str">
        <f t="shared" si="10"/>
        <v>High</v>
      </c>
    </row>
    <row r="647" spans="1:10" x14ac:dyDescent="0.25">
      <c r="A647">
        <v>443</v>
      </c>
      <c r="B647">
        <v>47</v>
      </c>
      <c r="C647" t="s">
        <v>45</v>
      </c>
      <c r="D647" s="3">
        <v>138199</v>
      </c>
      <c r="E647">
        <v>79</v>
      </c>
      <c r="F647">
        <v>10</v>
      </c>
      <c r="G647">
        <v>43</v>
      </c>
      <c r="H647" t="s">
        <v>14</v>
      </c>
      <c r="I647">
        <v>171.38</v>
      </c>
      <c r="J647" t="str">
        <f t="shared" si="10"/>
        <v>High</v>
      </c>
    </row>
    <row r="648" spans="1:10" x14ac:dyDescent="0.25">
      <c r="A648">
        <v>455</v>
      </c>
      <c r="B648">
        <v>28</v>
      </c>
      <c r="C648" t="s">
        <v>45</v>
      </c>
      <c r="D648" s="3">
        <v>126571</v>
      </c>
      <c r="E648">
        <v>82</v>
      </c>
      <c r="F648">
        <v>10</v>
      </c>
      <c r="G648">
        <v>8</v>
      </c>
      <c r="H648" t="s">
        <v>14</v>
      </c>
      <c r="I648">
        <v>26.12</v>
      </c>
      <c r="J648" t="str">
        <f t="shared" si="10"/>
        <v>High</v>
      </c>
    </row>
    <row r="649" spans="1:10" x14ac:dyDescent="0.25">
      <c r="A649">
        <v>457</v>
      </c>
      <c r="B649">
        <v>30</v>
      </c>
      <c r="C649" t="s">
        <v>45</v>
      </c>
      <c r="D649" s="3">
        <v>120083</v>
      </c>
      <c r="E649">
        <v>47</v>
      </c>
      <c r="F649">
        <v>1</v>
      </c>
      <c r="G649">
        <v>49</v>
      </c>
      <c r="H649" t="s">
        <v>14</v>
      </c>
      <c r="I649">
        <v>443.12</v>
      </c>
      <c r="J649" t="str">
        <f t="shared" si="10"/>
        <v>Medium</v>
      </c>
    </row>
    <row r="650" spans="1:10" x14ac:dyDescent="0.25">
      <c r="A650">
        <v>472</v>
      </c>
      <c r="B650">
        <v>35</v>
      </c>
      <c r="C650" t="s">
        <v>45</v>
      </c>
      <c r="D650" s="3">
        <v>42390</v>
      </c>
      <c r="E650">
        <v>27</v>
      </c>
      <c r="F650">
        <v>3</v>
      </c>
      <c r="G650">
        <v>41</v>
      </c>
      <c r="H650" t="s">
        <v>14</v>
      </c>
      <c r="I650">
        <v>781.31</v>
      </c>
      <c r="J650" t="str">
        <f t="shared" si="10"/>
        <v>Low</v>
      </c>
    </row>
    <row r="651" spans="1:10" x14ac:dyDescent="0.25">
      <c r="A651">
        <v>504</v>
      </c>
      <c r="B651">
        <v>18</v>
      </c>
      <c r="C651" t="s">
        <v>45</v>
      </c>
      <c r="D651" s="3">
        <v>142641</v>
      </c>
      <c r="E651">
        <v>40</v>
      </c>
      <c r="F651">
        <v>7</v>
      </c>
      <c r="G651">
        <v>31</v>
      </c>
      <c r="H651" t="s">
        <v>14</v>
      </c>
      <c r="I651">
        <v>240.64</v>
      </c>
      <c r="J651" t="str">
        <f t="shared" si="10"/>
        <v>Medium</v>
      </c>
    </row>
    <row r="652" spans="1:10" x14ac:dyDescent="0.25">
      <c r="A652">
        <v>516</v>
      </c>
      <c r="B652">
        <v>32</v>
      </c>
      <c r="C652" t="s">
        <v>45</v>
      </c>
      <c r="D652" s="3">
        <v>137280</v>
      </c>
      <c r="E652">
        <v>95</v>
      </c>
      <c r="F652">
        <v>6</v>
      </c>
      <c r="G652">
        <v>3</v>
      </c>
      <c r="H652" t="s">
        <v>14</v>
      </c>
      <c r="I652">
        <v>31.72</v>
      </c>
      <c r="J652" t="str">
        <f t="shared" si="10"/>
        <v>High</v>
      </c>
    </row>
    <row r="653" spans="1:10" x14ac:dyDescent="0.25">
      <c r="A653">
        <v>524</v>
      </c>
      <c r="B653">
        <v>47</v>
      </c>
      <c r="C653" t="s">
        <v>45</v>
      </c>
      <c r="D653" s="3">
        <v>100338</v>
      </c>
      <c r="E653">
        <v>13</v>
      </c>
      <c r="F653">
        <v>9</v>
      </c>
      <c r="G653">
        <v>40</v>
      </c>
      <c r="H653" t="s">
        <v>14</v>
      </c>
      <c r="I653">
        <v>48.65</v>
      </c>
      <c r="J653" t="str">
        <f t="shared" si="10"/>
        <v>Low</v>
      </c>
    </row>
    <row r="654" spans="1:10" x14ac:dyDescent="0.25">
      <c r="A654">
        <v>547</v>
      </c>
      <c r="B654">
        <v>60</v>
      </c>
      <c r="C654" t="s">
        <v>45</v>
      </c>
      <c r="D654" s="3">
        <v>108533</v>
      </c>
      <c r="E654">
        <v>23</v>
      </c>
      <c r="F654">
        <v>9</v>
      </c>
      <c r="G654">
        <v>24</v>
      </c>
      <c r="H654" t="s">
        <v>14</v>
      </c>
      <c r="I654">
        <v>506.98</v>
      </c>
      <c r="J654" t="str">
        <f t="shared" si="10"/>
        <v>Low</v>
      </c>
    </row>
    <row r="655" spans="1:10" x14ac:dyDescent="0.25">
      <c r="A655">
        <v>564</v>
      </c>
      <c r="B655">
        <v>56</v>
      </c>
      <c r="C655" t="s">
        <v>45</v>
      </c>
      <c r="D655" s="3">
        <v>134923</v>
      </c>
      <c r="E655">
        <v>18</v>
      </c>
      <c r="F655">
        <v>3</v>
      </c>
      <c r="G655">
        <v>31</v>
      </c>
      <c r="H655" t="s">
        <v>14</v>
      </c>
      <c r="I655">
        <v>515.16</v>
      </c>
      <c r="J655" t="str">
        <f t="shared" si="10"/>
        <v>Low</v>
      </c>
    </row>
    <row r="656" spans="1:10" x14ac:dyDescent="0.25">
      <c r="A656">
        <v>565</v>
      </c>
      <c r="B656">
        <v>68</v>
      </c>
      <c r="C656" t="s">
        <v>45</v>
      </c>
      <c r="D656" s="3">
        <v>106635</v>
      </c>
      <c r="E656">
        <v>85</v>
      </c>
      <c r="F656">
        <v>10</v>
      </c>
      <c r="G656">
        <v>30</v>
      </c>
      <c r="H656" t="s">
        <v>14</v>
      </c>
      <c r="I656">
        <v>854.95</v>
      </c>
      <c r="J656" t="str">
        <f t="shared" si="10"/>
        <v>High</v>
      </c>
    </row>
    <row r="657" spans="1:10" x14ac:dyDescent="0.25">
      <c r="A657">
        <v>567</v>
      </c>
      <c r="B657">
        <v>22</v>
      </c>
      <c r="C657" t="s">
        <v>45</v>
      </c>
      <c r="D657" s="3">
        <v>92601</v>
      </c>
      <c r="E657">
        <v>75</v>
      </c>
      <c r="F657">
        <v>7</v>
      </c>
      <c r="G657">
        <v>49</v>
      </c>
      <c r="H657" t="s">
        <v>14</v>
      </c>
      <c r="I657">
        <v>120.76</v>
      </c>
      <c r="J657" t="str">
        <f t="shared" si="10"/>
        <v>High</v>
      </c>
    </row>
    <row r="658" spans="1:10" x14ac:dyDescent="0.25">
      <c r="A658">
        <v>586</v>
      </c>
      <c r="B658">
        <v>62</v>
      </c>
      <c r="C658" t="s">
        <v>45</v>
      </c>
      <c r="D658" s="3">
        <v>147903</v>
      </c>
      <c r="E658">
        <v>79</v>
      </c>
      <c r="F658">
        <v>5</v>
      </c>
      <c r="G658">
        <v>22</v>
      </c>
      <c r="H658" t="s">
        <v>14</v>
      </c>
      <c r="I658">
        <v>203.15</v>
      </c>
      <c r="J658" t="str">
        <f t="shared" si="10"/>
        <v>High</v>
      </c>
    </row>
    <row r="659" spans="1:10" x14ac:dyDescent="0.25">
      <c r="A659">
        <v>598</v>
      </c>
      <c r="B659">
        <v>56</v>
      </c>
      <c r="C659" t="s">
        <v>45</v>
      </c>
      <c r="D659" s="3">
        <v>55695</v>
      </c>
      <c r="E659">
        <v>58</v>
      </c>
      <c r="F659">
        <v>7</v>
      </c>
      <c r="G659">
        <v>30</v>
      </c>
      <c r="H659" t="s">
        <v>14</v>
      </c>
      <c r="I659">
        <v>435.76</v>
      </c>
      <c r="J659" t="str">
        <f t="shared" si="10"/>
        <v>Medium</v>
      </c>
    </row>
    <row r="660" spans="1:10" x14ac:dyDescent="0.25">
      <c r="A660">
        <v>609</v>
      </c>
      <c r="B660">
        <v>53</v>
      </c>
      <c r="C660" t="s">
        <v>45</v>
      </c>
      <c r="D660" s="3">
        <v>96499</v>
      </c>
      <c r="E660">
        <v>29</v>
      </c>
      <c r="F660">
        <v>4</v>
      </c>
      <c r="G660">
        <v>5</v>
      </c>
      <c r="H660" t="s">
        <v>14</v>
      </c>
      <c r="I660">
        <v>744.11</v>
      </c>
      <c r="J660" t="str">
        <f t="shared" si="10"/>
        <v>Low</v>
      </c>
    </row>
    <row r="661" spans="1:10" x14ac:dyDescent="0.25">
      <c r="A661">
        <v>634</v>
      </c>
      <c r="B661">
        <v>51</v>
      </c>
      <c r="C661" t="s">
        <v>45</v>
      </c>
      <c r="D661" s="3">
        <v>143678</v>
      </c>
      <c r="E661">
        <v>50</v>
      </c>
      <c r="F661">
        <v>8</v>
      </c>
      <c r="G661">
        <v>23</v>
      </c>
      <c r="H661" t="s">
        <v>14</v>
      </c>
      <c r="I661">
        <v>916.04</v>
      </c>
      <c r="J661" t="str">
        <f t="shared" si="10"/>
        <v>Medium</v>
      </c>
    </row>
    <row r="662" spans="1:10" x14ac:dyDescent="0.25">
      <c r="A662">
        <v>647</v>
      </c>
      <c r="B662">
        <v>24</v>
      </c>
      <c r="C662" t="s">
        <v>45</v>
      </c>
      <c r="D662" s="3">
        <v>122371</v>
      </c>
      <c r="E662">
        <v>11</v>
      </c>
      <c r="F662">
        <v>2</v>
      </c>
      <c r="G662">
        <v>4</v>
      </c>
      <c r="H662" t="s">
        <v>14</v>
      </c>
      <c r="I662">
        <v>838.19</v>
      </c>
      <c r="J662" t="str">
        <f t="shared" si="10"/>
        <v>Low</v>
      </c>
    </row>
    <row r="663" spans="1:10" x14ac:dyDescent="0.25">
      <c r="A663">
        <v>652</v>
      </c>
      <c r="B663">
        <v>32</v>
      </c>
      <c r="C663" t="s">
        <v>45</v>
      </c>
      <c r="D663" s="3">
        <v>95862</v>
      </c>
      <c r="E663">
        <v>34</v>
      </c>
      <c r="F663">
        <v>6</v>
      </c>
      <c r="G663">
        <v>41</v>
      </c>
      <c r="H663" t="s">
        <v>14</v>
      </c>
      <c r="I663">
        <v>65.150000000000006</v>
      </c>
      <c r="J663" t="str">
        <f t="shared" si="10"/>
        <v>Medium</v>
      </c>
    </row>
    <row r="664" spans="1:10" x14ac:dyDescent="0.25">
      <c r="A664">
        <v>674</v>
      </c>
      <c r="B664">
        <v>32</v>
      </c>
      <c r="C664" t="s">
        <v>45</v>
      </c>
      <c r="D664" s="3">
        <v>41072</v>
      </c>
      <c r="E664">
        <v>14</v>
      </c>
      <c r="F664">
        <v>5</v>
      </c>
      <c r="G664">
        <v>39</v>
      </c>
      <c r="H664" t="s">
        <v>14</v>
      </c>
      <c r="I664">
        <v>981.04</v>
      </c>
      <c r="J664" t="str">
        <f t="shared" si="10"/>
        <v>Low</v>
      </c>
    </row>
    <row r="665" spans="1:10" x14ac:dyDescent="0.25">
      <c r="A665">
        <v>681</v>
      </c>
      <c r="B665">
        <v>49</v>
      </c>
      <c r="C665" t="s">
        <v>45</v>
      </c>
      <c r="D665" s="3">
        <v>115974</v>
      </c>
      <c r="E665">
        <v>95</v>
      </c>
      <c r="F665">
        <v>8</v>
      </c>
      <c r="G665">
        <v>22</v>
      </c>
      <c r="H665" t="s">
        <v>14</v>
      </c>
      <c r="I665">
        <v>143</v>
      </c>
      <c r="J665" t="str">
        <f t="shared" si="10"/>
        <v>High</v>
      </c>
    </row>
    <row r="666" spans="1:10" x14ac:dyDescent="0.25">
      <c r="A666">
        <v>698</v>
      </c>
      <c r="B666">
        <v>33</v>
      </c>
      <c r="C666" t="s">
        <v>45</v>
      </c>
      <c r="D666" s="3">
        <v>36577</v>
      </c>
      <c r="E666">
        <v>28</v>
      </c>
      <c r="F666">
        <v>4</v>
      </c>
      <c r="G666">
        <v>1</v>
      </c>
      <c r="H666" t="s">
        <v>14</v>
      </c>
      <c r="I666">
        <v>612.54</v>
      </c>
      <c r="J666" t="str">
        <f t="shared" si="10"/>
        <v>Low</v>
      </c>
    </row>
    <row r="667" spans="1:10" x14ac:dyDescent="0.25">
      <c r="A667">
        <v>715</v>
      </c>
      <c r="B667">
        <v>43</v>
      </c>
      <c r="C667" t="s">
        <v>45</v>
      </c>
      <c r="D667" s="3">
        <v>67912</v>
      </c>
      <c r="E667">
        <v>71</v>
      </c>
      <c r="F667">
        <v>10</v>
      </c>
      <c r="G667">
        <v>35</v>
      </c>
      <c r="H667" t="s">
        <v>14</v>
      </c>
      <c r="I667">
        <v>698.03</v>
      </c>
      <c r="J667" t="str">
        <f t="shared" si="10"/>
        <v>High</v>
      </c>
    </row>
    <row r="668" spans="1:10" x14ac:dyDescent="0.25">
      <c r="A668">
        <v>720</v>
      </c>
      <c r="B668">
        <v>69</v>
      </c>
      <c r="C668" t="s">
        <v>45</v>
      </c>
      <c r="D668" s="3">
        <v>72651</v>
      </c>
      <c r="E668">
        <v>58</v>
      </c>
      <c r="F668">
        <v>5</v>
      </c>
      <c r="G668">
        <v>30</v>
      </c>
      <c r="H668" t="s">
        <v>14</v>
      </c>
      <c r="I668">
        <v>103.11</v>
      </c>
      <c r="J668" t="str">
        <f t="shared" si="10"/>
        <v>Medium</v>
      </c>
    </row>
    <row r="669" spans="1:10" x14ac:dyDescent="0.25">
      <c r="A669">
        <v>732</v>
      </c>
      <c r="B669">
        <v>29</v>
      </c>
      <c r="C669" t="s">
        <v>45</v>
      </c>
      <c r="D669" s="3">
        <v>66264</v>
      </c>
      <c r="E669">
        <v>85</v>
      </c>
      <c r="F669">
        <v>2</v>
      </c>
      <c r="G669">
        <v>8</v>
      </c>
      <c r="H669" t="s">
        <v>14</v>
      </c>
      <c r="I669">
        <v>743.3</v>
      </c>
      <c r="J669" t="str">
        <f t="shared" si="10"/>
        <v>High</v>
      </c>
    </row>
    <row r="670" spans="1:10" x14ac:dyDescent="0.25">
      <c r="A670">
        <v>734</v>
      </c>
      <c r="B670">
        <v>23</v>
      </c>
      <c r="C670" t="s">
        <v>45</v>
      </c>
      <c r="D670" s="3">
        <v>66886</v>
      </c>
      <c r="E670">
        <v>7</v>
      </c>
      <c r="F670">
        <v>6</v>
      </c>
      <c r="G670">
        <v>40</v>
      </c>
      <c r="H670" t="s">
        <v>14</v>
      </c>
      <c r="I670">
        <v>322.64</v>
      </c>
      <c r="J670" t="str">
        <f t="shared" si="10"/>
        <v>Low</v>
      </c>
    </row>
    <row r="671" spans="1:10" x14ac:dyDescent="0.25">
      <c r="A671">
        <v>750</v>
      </c>
      <c r="B671">
        <v>41</v>
      </c>
      <c r="C671" t="s">
        <v>45</v>
      </c>
      <c r="D671" s="3">
        <v>74985</v>
      </c>
      <c r="E671">
        <v>68</v>
      </c>
      <c r="F671">
        <v>8</v>
      </c>
      <c r="G671">
        <v>21</v>
      </c>
      <c r="H671" t="s">
        <v>14</v>
      </c>
      <c r="I671">
        <v>123.96</v>
      </c>
      <c r="J671" t="str">
        <f t="shared" si="10"/>
        <v>High</v>
      </c>
    </row>
    <row r="672" spans="1:10" x14ac:dyDescent="0.25">
      <c r="A672">
        <v>753</v>
      </c>
      <c r="B672">
        <v>28</v>
      </c>
      <c r="C672" t="s">
        <v>45</v>
      </c>
      <c r="D672" s="3">
        <v>129367</v>
      </c>
      <c r="E672">
        <v>4</v>
      </c>
      <c r="F672">
        <v>1</v>
      </c>
      <c r="G672">
        <v>44</v>
      </c>
      <c r="H672" t="s">
        <v>14</v>
      </c>
      <c r="I672">
        <v>559.61</v>
      </c>
      <c r="J672" t="str">
        <f t="shared" si="10"/>
        <v>Low</v>
      </c>
    </row>
    <row r="673" spans="1:10" x14ac:dyDescent="0.25">
      <c r="A673">
        <v>765</v>
      </c>
      <c r="B673">
        <v>40</v>
      </c>
      <c r="C673" t="s">
        <v>45</v>
      </c>
      <c r="D673" s="3">
        <v>108344</v>
      </c>
      <c r="E673">
        <v>87</v>
      </c>
      <c r="F673">
        <v>2</v>
      </c>
      <c r="G673">
        <v>13</v>
      </c>
      <c r="H673" t="s">
        <v>14</v>
      </c>
      <c r="I673">
        <v>892.28</v>
      </c>
      <c r="J673" t="str">
        <f t="shared" si="10"/>
        <v>High</v>
      </c>
    </row>
    <row r="674" spans="1:10" x14ac:dyDescent="0.25">
      <c r="A674">
        <v>779</v>
      </c>
      <c r="B674">
        <v>56</v>
      </c>
      <c r="C674" t="s">
        <v>45</v>
      </c>
      <c r="D674" s="3">
        <v>43031</v>
      </c>
      <c r="E674">
        <v>56</v>
      </c>
      <c r="F674">
        <v>2</v>
      </c>
      <c r="G674">
        <v>15</v>
      </c>
      <c r="H674" t="s">
        <v>14</v>
      </c>
      <c r="I674">
        <v>830.79</v>
      </c>
      <c r="J674" t="str">
        <f t="shared" si="10"/>
        <v>Medium</v>
      </c>
    </row>
    <row r="675" spans="1:10" x14ac:dyDescent="0.25">
      <c r="A675">
        <v>809</v>
      </c>
      <c r="B675">
        <v>46</v>
      </c>
      <c r="C675" t="s">
        <v>45</v>
      </c>
      <c r="D675" s="3">
        <v>91845</v>
      </c>
      <c r="E675">
        <v>35</v>
      </c>
      <c r="F675">
        <v>8</v>
      </c>
      <c r="G675">
        <v>49</v>
      </c>
      <c r="H675" t="s">
        <v>14</v>
      </c>
      <c r="I675">
        <v>537.23</v>
      </c>
      <c r="J675" t="str">
        <f t="shared" si="10"/>
        <v>Medium</v>
      </c>
    </row>
    <row r="676" spans="1:10" x14ac:dyDescent="0.25">
      <c r="A676">
        <v>846</v>
      </c>
      <c r="B676">
        <v>60</v>
      </c>
      <c r="C676" t="s">
        <v>45</v>
      </c>
      <c r="D676" s="3">
        <v>61376</v>
      </c>
      <c r="E676">
        <v>97</v>
      </c>
      <c r="F676">
        <v>8</v>
      </c>
      <c r="G676">
        <v>9</v>
      </c>
      <c r="H676" t="s">
        <v>14</v>
      </c>
      <c r="I676">
        <v>793.84</v>
      </c>
      <c r="J676" t="str">
        <f t="shared" si="10"/>
        <v>High</v>
      </c>
    </row>
    <row r="677" spans="1:10" x14ac:dyDescent="0.25">
      <c r="A677">
        <v>885</v>
      </c>
      <c r="B677">
        <v>58</v>
      </c>
      <c r="C677" t="s">
        <v>45</v>
      </c>
      <c r="D677" s="3">
        <v>149723</v>
      </c>
      <c r="E677">
        <v>70</v>
      </c>
      <c r="F677">
        <v>9</v>
      </c>
      <c r="G677">
        <v>23</v>
      </c>
      <c r="H677" t="s">
        <v>14</v>
      </c>
      <c r="I677">
        <v>374.59</v>
      </c>
      <c r="J677" t="str">
        <f t="shared" si="10"/>
        <v>High</v>
      </c>
    </row>
    <row r="678" spans="1:10" x14ac:dyDescent="0.25">
      <c r="A678">
        <v>917</v>
      </c>
      <c r="B678">
        <v>49</v>
      </c>
      <c r="C678" t="s">
        <v>45</v>
      </c>
      <c r="D678" s="3">
        <v>30523</v>
      </c>
      <c r="E678">
        <v>83</v>
      </c>
      <c r="F678">
        <v>4</v>
      </c>
      <c r="G678">
        <v>38</v>
      </c>
      <c r="H678" t="s">
        <v>14</v>
      </c>
      <c r="I678">
        <v>564.48</v>
      </c>
      <c r="J678" t="str">
        <f t="shared" si="10"/>
        <v>High</v>
      </c>
    </row>
    <row r="679" spans="1:10" x14ac:dyDescent="0.25">
      <c r="A679">
        <v>920</v>
      </c>
      <c r="B679">
        <v>60</v>
      </c>
      <c r="C679" t="s">
        <v>45</v>
      </c>
      <c r="D679" s="3">
        <v>44555</v>
      </c>
      <c r="E679">
        <v>84</v>
      </c>
      <c r="F679">
        <v>7</v>
      </c>
      <c r="G679">
        <v>28</v>
      </c>
      <c r="H679" t="s">
        <v>14</v>
      </c>
      <c r="I679">
        <v>678.42</v>
      </c>
      <c r="J679" t="str">
        <f t="shared" si="10"/>
        <v>High</v>
      </c>
    </row>
    <row r="680" spans="1:10" x14ac:dyDescent="0.25">
      <c r="A680">
        <v>944</v>
      </c>
      <c r="B680">
        <v>47</v>
      </c>
      <c r="C680" t="s">
        <v>45</v>
      </c>
      <c r="D680" s="3">
        <v>37014</v>
      </c>
      <c r="E680">
        <v>76</v>
      </c>
      <c r="F680">
        <v>5</v>
      </c>
      <c r="G680">
        <v>34</v>
      </c>
      <c r="H680" t="s">
        <v>14</v>
      </c>
      <c r="I680">
        <v>880.18</v>
      </c>
      <c r="J680" t="str">
        <f t="shared" si="10"/>
        <v>High</v>
      </c>
    </row>
    <row r="681" spans="1:10" x14ac:dyDescent="0.25">
      <c r="A681">
        <v>951</v>
      </c>
      <c r="B681">
        <v>41</v>
      </c>
      <c r="C681" t="s">
        <v>45</v>
      </c>
      <c r="D681" s="3">
        <v>134487</v>
      </c>
      <c r="E681">
        <v>7</v>
      </c>
      <c r="F681">
        <v>10</v>
      </c>
      <c r="G681">
        <v>50</v>
      </c>
      <c r="H681" t="s">
        <v>14</v>
      </c>
      <c r="I681">
        <v>556.1</v>
      </c>
      <c r="J681" t="str">
        <f t="shared" si="10"/>
        <v>Low</v>
      </c>
    </row>
    <row r="682" spans="1:10" x14ac:dyDescent="0.25">
      <c r="A682">
        <v>965</v>
      </c>
      <c r="B682">
        <v>49</v>
      </c>
      <c r="C682" t="s">
        <v>45</v>
      </c>
      <c r="D682" s="3">
        <v>94218</v>
      </c>
      <c r="E682">
        <v>4</v>
      </c>
      <c r="F682">
        <v>10</v>
      </c>
      <c r="G682">
        <v>5</v>
      </c>
      <c r="H682" t="s">
        <v>14</v>
      </c>
      <c r="I682">
        <v>287.36</v>
      </c>
      <c r="J682" t="str">
        <f t="shared" si="10"/>
        <v>Low</v>
      </c>
    </row>
    <row r="683" spans="1:10" x14ac:dyDescent="0.25">
      <c r="A683">
        <v>974</v>
      </c>
      <c r="B683">
        <v>48</v>
      </c>
      <c r="C683" t="s">
        <v>45</v>
      </c>
      <c r="D683" s="3">
        <v>75118</v>
      </c>
      <c r="E683">
        <v>84</v>
      </c>
      <c r="F683">
        <v>6</v>
      </c>
      <c r="G683">
        <v>41</v>
      </c>
      <c r="H683" t="s">
        <v>14</v>
      </c>
      <c r="I683">
        <v>711.37</v>
      </c>
      <c r="J683" t="str">
        <f t="shared" si="10"/>
        <v>High</v>
      </c>
    </row>
    <row r="684" spans="1:10" x14ac:dyDescent="0.25">
      <c r="A684">
        <v>984</v>
      </c>
      <c r="B684">
        <v>51</v>
      </c>
      <c r="C684" t="s">
        <v>45</v>
      </c>
      <c r="D684" s="3">
        <v>91682</v>
      </c>
      <c r="E684">
        <v>27</v>
      </c>
      <c r="F684">
        <v>9</v>
      </c>
      <c r="G684">
        <v>49</v>
      </c>
      <c r="H684" t="s">
        <v>14</v>
      </c>
      <c r="I684">
        <v>990.87</v>
      </c>
      <c r="J684" t="str">
        <f t="shared" si="10"/>
        <v>Low</v>
      </c>
    </row>
    <row r="685" spans="1:10" x14ac:dyDescent="0.25">
      <c r="A685">
        <v>990</v>
      </c>
      <c r="B685">
        <v>31</v>
      </c>
      <c r="C685" t="s">
        <v>45</v>
      </c>
      <c r="D685" s="3">
        <v>45695</v>
      </c>
      <c r="E685">
        <v>36</v>
      </c>
      <c r="F685">
        <v>2</v>
      </c>
      <c r="G685">
        <v>31</v>
      </c>
      <c r="H685" t="s">
        <v>14</v>
      </c>
      <c r="I685">
        <v>864.67</v>
      </c>
      <c r="J685" t="str">
        <f t="shared" si="10"/>
        <v>Medium</v>
      </c>
    </row>
    <row r="686" spans="1:10" x14ac:dyDescent="0.25">
      <c r="A686">
        <v>13</v>
      </c>
      <c r="B686">
        <v>29</v>
      </c>
      <c r="C686" t="s">
        <v>18</v>
      </c>
      <c r="D686" s="3">
        <v>87461</v>
      </c>
      <c r="E686">
        <v>81</v>
      </c>
      <c r="F686">
        <v>3</v>
      </c>
      <c r="G686">
        <v>27</v>
      </c>
      <c r="H686" t="s">
        <v>13</v>
      </c>
      <c r="I686">
        <v>101.07</v>
      </c>
      <c r="J686" t="str">
        <f t="shared" si="10"/>
        <v>High</v>
      </c>
    </row>
    <row r="687" spans="1:10" x14ac:dyDescent="0.25">
      <c r="A687">
        <v>21</v>
      </c>
      <c r="B687">
        <v>19</v>
      </c>
      <c r="C687" t="s">
        <v>18</v>
      </c>
      <c r="D687" s="3">
        <v>82519</v>
      </c>
      <c r="E687">
        <v>13</v>
      </c>
      <c r="F687">
        <v>4</v>
      </c>
      <c r="G687">
        <v>4</v>
      </c>
      <c r="H687" t="s">
        <v>13</v>
      </c>
      <c r="I687">
        <v>742.39</v>
      </c>
      <c r="J687" t="str">
        <f t="shared" si="10"/>
        <v>Low</v>
      </c>
    </row>
    <row r="688" spans="1:10" x14ac:dyDescent="0.25">
      <c r="A688">
        <v>29</v>
      </c>
      <c r="B688">
        <v>18</v>
      </c>
      <c r="C688" t="s">
        <v>18</v>
      </c>
      <c r="D688" s="3">
        <v>70721</v>
      </c>
      <c r="E688">
        <v>78</v>
      </c>
      <c r="F688">
        <v>7</v>
      </c>
      <c r="G688">
        <v>1</v>
      </c>
      <c r="H688" t="s">
        <v>13</v>
      </c>
      <c r="I688">
        <v>191.9</v>
      </c>
      <c r="J688" t="str">
        <f t="shared" si="10"/>
        <v>High</v>
      </c>
    </row>
    <row r="689" spans="1:10" x14ac:dyDescent="0.25">
      <c r="A689">
        <v>54</v>
      </c>
      <c r="B689">
        <v>33</v>
      </c>
      <c r="C689" t="s">
        <v>18</v>
      </c>
      <c r="D689" s="3">
        <v>45136</v>
      </c>
      <c r="E689">
        <v>84</v>
      </c>
      <c r="F689">
        <v>9</v>
      </c>
      <c r="G689">
        <v>38</v>
      </c>
      <c r="H689" t="s">
        <v>13</v>
      </c>
      <c r="I689">
        <v>332.34</v>
      </c>
      <c r="J689" t="str">
        <f t="shared" si="10"/>
        <v>High</v>
      </c>
    </row>
    <row r="690" spans="1:10" x14ac:dyDescent="0.25">
      <c r="A690">
        <v>74</v>
      </c>
      <c r="B690">
        <v>38</v>
      </c>
      <c r="C690" t="s">
        <v>18</v>
      </c>
      <c r="D690" s="3">
        <v>102944</v>
      </c>
      <c r="E690">
        <v>63</v>
      </c>
      <c r="F690">
        <v>8</v>
      </c>
      <c r="G690">
        <v>9</v>
      </c>
      <c r="H690" t="s">
        <v>13</v>
      </c>
      <c r="I690">
        <v>92.69</v>
      </c>
      <c r="J690" t="str">
        <f t="shared" si="10"/>
        <v>Medium</v>
      </c>
    </row>
    <row r="691" spans="1:10" x14ac:dyDescent="0.25">
      <c r="A691">
        <v>76</v>
      </c>
      <c r="B691">
        <v>60</v>
      </c>
      <c r="C691" t="s">
        <v>18</v>
      </c>
      <c r="D691" s="3">
        <v>131101</v>
      </c>
      <c r="E691">
        <v>68</v>
      </c>
      <c r="F691">
        <v>8</v>
      </c>
      <c r="G691">
        <v>28</v>
      </c>
      <c r="H691" t="s">
        <v>13</v>
      </c>
      <c r="I691">
        <v>522.95000000000005</v>
      </c>
      <c r="J691" t="str">
        <f t="shared" si="10"/>
        <v>High</v>
      </c>
    </row>
    <row r="692" spans="1:10" x14ac:dyDescent="0.25">
      <c r="A692">
        <v>110</v>
      </c>
      <c r="B692">
        <v>56</v>
      </c>
      <c r="C692" t="s">
        <v>18</v>
      </c>
      <c r="D692" s="3">
        <v>40676</v>
      </c>
      <c r="E692">
        <v>86</v>
      </c>
      <c r="F692">
        <v>7</v>
      </c>
      <c r="G692">
        <v>38</v>
      </c>
      <c r="H692" t="s">
        <v>13</v>
      </c>
      <c r="I692">
        <v>627.65</v>
      </c>
      <c r="J692" t="str">
        <f t="shared" si="10"/>
        <v>High</v>
      </c>
    </row>
    <row r="693" spans="1:10" x14ac:dyDescent="0.25">
      <c r="A693">
        <v>132</v>
      </c>
      <c r="B693">
        <v>67</v>
      </c>
      <c r="C693" t="s">
        <v>18</v>
      </c>
      <c r="D693" s="3">
        <v>116124</v>
      </c>
      <c r="E693">
        <v>78</v>
      </c>
      <c r="F693">
        <v>10</v>
      </c>
      <c r="G693">
        <v>28</v>
      </c>
      <c r="H693" t="s">
        <v>13</v>
      </c>
      <c r="I693">
        <v>11.29</v>
      </c>
      <c r="J693" t="str">
        <f t="shared" si="10"/>
        <v>High</v>
      </c>
    </row>
    <row r="694" spans="1:10" x14ac:dyDescent="0.25">
      <c r="A694">
        <v>144</v>
      </c>
      <c r="B694">
        <v>41</v>
      </c>
      <c r="C694" t="s">
        <v>18</v>
      </c>
      <c r="D694" s="3">
        <v>82613</v>
      </c>
      <c r="E694">
        <v>49</v>
      </c>
      <c r="F694">
        <v>3</v>
      </c>
      <c r="G694">
        <v>10</v>
      </c>
      <c r="H694" t="s">
        <v>13</v>
      </c>
      <c r="I694">
        <v>421.24</v>
      </c>
      <c r="J694" t="str">
        <f t="shared" si="10"/>
        <v>Medium</v>
      </c>
    </row>
    <row r="695" spans="1:10" x14ac:dyDescent="0.25">
      <c r="A695">
        <v>148</v>
      </c>
      <c r="B695">
        <v>47</v>
      </c>
      <c r="C695" t="s">
        <v>18</v>
      </c>
      <c r="D695" s="3">
        <v>104517</v>
      </c>
      <c r="E695">
        <v>91</v>
      </c>
      <c r="F695">
        <v>2</v>
      </c>
      <c r="G695">
        <v>6</v>
      </c>
      <c r="H695" t="s">
        <v>13</v>
      </c>
      <c r="I695">
        <v>979.41</v>
      </c>
      <c r="J695" t="str">
        <f t="shared" si="10"/>
        <v>High</v>
      </c>
    </row>
    <row r="696" spans="1:10" x14ac:dyDescent="0.25">
      <c r="A696">
        <v>152</v>
      </c>
      <c r="B696">
        <v>45</v>
      </c>
      <c r="C696" t="s">
        <v>18</v>
      </c>
      <c r="D696" s="3">
        <v>79721</v>
      </c>
      <c r="E696">
        <v>20</v>
      </c>
      <c r="F696">
        <v>1</v>
      </c>
      <c r="G696">
        <v>1</v>
      </c>
      <c r="H696" t="s">
        <v>13</v>
      </c>
      <c r="I696">
        <v>215.41</v>
      </c>
      <c r="J696" t="str">
        <f t="shared" si="10"/>
        <v>Low</v>
      </c>
    </row>
    <row r="697" spans="1:10" x14ac:dyDescent="0.25">
      <c r="A697">
        <v>156</v>
      </c>
      <c r="B697">
        <v>24</v>
      </c>
      <c r="C697" t="s">
        <v>18</v>
      </c>
      <c r="D697" s="3">
        <v>103766</v>
      </c>
      <c r="E697">
        <v>77</v>
      </c>
      <c r="F697">
        <v>4</v>
      </c>
      <c r="G697">
        <v>25</v>
      </c>
      <c r="H697" t="s">
        <v>13</v>
      </c>
      <c r="I697">
        <v>663.21</v>
      </c>
      <c r="J697" t="str">
        <f t="shared" si="10"/>
        <v>High</v>
      </c>
    </row>
    <row r="698" spans="1:10" x14ac:dyDescent="0.25">
      <c r="A698">
        <v>173</v>
      </c>
      <c r="B698">
        <v>56</v>
      </c>
      <c r="C698" t="s">
        <v>18</v>
      </c>
      <c r="D698" s="3">
        <v>111754</v>
      </c>
      <c r="E698">
        <v>96</v>
      </c>
      <c r="F698">
        <v>8</v>
      </c>
      <c r="G698">
        <v>38</v>
      </c>
      <c r="H698" t="s">
        <v>13</v>
      </c>
      <c r="I698">
        <v>631.05999999999995</v>
      </c>
      <c r="J698" t="str">
        <f t="shared" si="10"/>
        <v>High</v>
      </c>
    </row>
    <row r="699" spans="1:10" x14ac:dyDescent="0.25">
      <c r="A699">
        <v>183</v>
      </c>
      <c r="B699">
        <v>43</v>
      </c>
      <c r="C699" t="s">
        <v>18</v>
      </c>
      <c r="D699" s="3">
        <v>32512</v>
      </c>
      <c r="E699">
        <v>95</v>
      </c>
      <c r="F699">
        <v>4</v>
      </c>
      <c r="G699">
        <v>49</v>
      </c>
      <c r="H699" t="s">
        <v>13</v>
      </c>
      <c r="I699">
        <v>223.39</v>
      </c>
      <c r="J699" t="str">
        <f t="shared" si="10"/>
        <v>High</v>
      </c>
    </row>
    <row r="700" spans="1:10" x14ac:dyDescent="0.25">
      <c r="A700">
        <v>185</v>
      </c>
      <c r="B700">
        <v>41</v>
      </c>
      <c r="C700" t="s">
        <v>18</v>
      </c>
      <c r="D700" s="3">
        <v>104337</v>
      </c>
      <c r="E700">
        <v>91</v>
      </c>
      <c r="F700">
        <v>6</v>
      </c>
      <c r="G700">
        <v>27</v>
      </c>
      <c r="H700" t="s">
        <v>13</v>
      </c>
      <c r="I700">
        <v>401.63</v>
      </c>
      <c r="J700" t="str">
        <f t="shared" si="10"/>
        <v>High</v>
      </c>
    </row>
    <row r="701" spans="1:10" x14ac:dyDescent="0.25">
      <c r="A701">
        <v>197</v>
      </c>
      <c r="B701">
        <v>34</v>
      </c>
      <c r="C701" t="s">
        <v>18</v>
      </c>
      <c r="D701" s="3">
        <v>56125</v>
      </c>
      <c r="E701">
        <v>66</v>
      </c>
      <c r="F701">
        <v>10</v>
      </c>
      <c r="G701">
        <v>26</v>
      </c>
      <c r="H701" t="s">
        <v>13</v>
      </c>
      <c r="I701">
        <v>610.66</v>
      </c>
      <c r="J701" t="str">
        <f t="shared" si="10"/>
        <v>High</v>
      </c>
    </row>
    <row r="702" spans="1:10" x14ac:dyDescent="0.25">
      <c r="A702">
        <v>209</v>
      </c>
      <c r="B702">
        <v>60</v>
      </c>
      <c r="C702" t="s">
        <v>18</v>
      </c>
      <c r="D702" s="3">
        <v>124416</v>
      </c>
      <c r="E702">
        <v>24</v>
      </c>
      <c r="F702">
        <v>5</v>
      </c>
      <c r="G702">
        <v>39</v>
      </c>
      <c r="H702" t="s">
        <v>13</v>
      </c>
      <c r="I702">
        <v>544.04</v>
      </c>
      <c r="J702" t="str">
        <f t="shared" si="10"/>
        <v>Low</v>
      </c>
    </row>
    <row r="703" spans="1:10" x14ac:dyDescent="0.25">
      <c r="A703">
        <v>226</v>
      </c>
      <c r="B703">
        <v>19</v>
      </c>
      <c r="C703" t="s">
        <v>18</v>
      </c>
      <c r="D703" s="3">
        <v>51355</v>
      </c>
      <c r="E703">
        <v>48</v>
      </c>
      <c r="F703">
        <v>8</v>
      </c>
      <c r="G703">
        <v>28</v>
      </c>
      <c r="H703" t="s">
        <v>13</v>
      </c>
      <c r="I703">
        <v>278.20999999999998</v>
      </c>
      <c r="J703" t="str">
        <f t="shared" si="10"/>
        <v>Medium</v>
      </c>
    </row>
    <row r="704" spans="1:10" x14ac:dyDescent="0.25">
      <c r="A704">
        <v>244</v>
      </c>
      <c r="B704">
        <v>47</v>
      </c>
      <c r="C704" t="s">
        <v>18</v>
      </c>
      <c r="D704" s="3">
        <v>108356</v>
      </c>
      <c r="E704">
        <v>84</v>
      </c>
      <c r="F704">
        <v>6</v>
      </c>
      <c r="G704">
        <v>19</v>
      </c>
      <c r="H704" t="s">
        <v>13</v>
      </c>
      <c r="I704">
        <v>911</v>
      </c>
      <c r="J704" t="str">
        <f t="shared" si="10"/>
        <v>High</v>
      </c>
    </row>
    <row r="705" spans="1:10" x14ac:dyDescent="0.25">
      <c r="A705">
        <v>267</v>
      </c>
      <c r="B705">
        <v>57</v>
      </c>
      <c r="C705" t="s">
        <v>18</v>
      </c>
      <c r="D705" s="3">
        <v>114972</v>
      </c>
      <c r="E705">
        <v>42</v>
      </c>
      <c r="F705">
        <v>9</v>
      </c>
      <c r="G705">
        <v>12</v>
      </c>
      <c r="H705" t="s">
        <v>13</v>
      </c>
      <c r="I705">
        <v>999.74</v>
      </c>
      <c r="J705" t="str">
        <f t="shared" si="10"/>
        <v>Medium</v>
      </c>
    </row>
    <row r="706" spans="1:10" x14ac:dyDescent="0.25">
      <c r="A706">
        <v>348</v>
      </c>
      <c r="B706">
        <v>39</v>
      </c>
      <c r="C706" t="s">
        <v>18</v>
      </c>
      <c r="D706" s="3">
        <v>136141</v>
      </c>
      <c r="E706">
        <v>58</v>
      </c>
      <c r="F706">
        <v>6</v>
      </c>
      <c r="G706">
        <v>30</v>
      </c>
      <c r="H706" t="s">
        <v>13</v>
      </c>
      <c r="I706">
        <v>211.56</v>
      </c>
      <c r="J706" t="str">
        <f t="shared" ref="J706:J769" si="11">IF(E706&lt;33,"Low",IF(E706&lt;66,"Medium","High"))</f>
        <v>Medium</v>
      </c>
    </row>
    <row r="707" spans="1:10" x14ac:dyDescent="0.25">
      <c r="A707">
        <v>368</v>
      </c>
      <c r="B707">
        <v>53</v>
      </c>
      <c r="C707" t="s">
        <v>18</v>
      </c>
      <c r="D707" s="3">
        <v>130474</v>
      </c>
      <c r="E707">
        <v>74</v>
      </c>
      <c r="F707">
        <v>10</v>
      </c>
      <c r="G707">
        <v>39</v>
      </c>
      <c r="H707" t="s">
        <v>13</v>
      </c>
      <c r="I707">
        <v>217.92</v>
      </c>
      <c r="J707" t="str">
        <f t="shared" si="11"/>
        <v>High</v>
      </c>
    </row>
    <row r="708" spans="1:10" x14ac:dyDescent="0.25">
      <c r="A708">
        <v>378</v>
      </c>
      <c r="B708">
        <v>45</v>
      </c>
      <c r="C708" t="s">
        <v>18</v>
      </c>
      <c r="D708" s="3">
        <v>110174</v>
      </c>
      <c r="E708">
        <v>87</v>
      </c>
      <c r="F708">
        <v>5</v>
      </c>
      <c r="G708">
        <v>32</v>
      </c>
      <c r="H708" t="s">
        <v>13</v>
      </c>
      <c r="I708">
        <v>388.15</v>
      </c>
      <c r="J708" t="str">
        <f t="shared" si="11"/>
        <v>High</v>
      </c>
    </row>
    <row r="709" spans="1:10" x14ac:dyDescent="0.25">
      <c r="A709">
        <v>395</v>
      </c>
      <c r="B709">
        <v>69</v>
      </c>
      <c r="C709" t="s">
        <v>18</v>
      </c>
      <c r="D709" s="3">
        <v>119075</v>
      </c>
      <c r="E709">
        <v>40</v>
      </c>
      <c r="F709">
        <v>8</v>
      </c>
      <c r="G709">
        <v>44</v>
      </c>
      <c r="H709" t="s">
        <v>13</v>
      </c>
      <c r="I709">
        <v>866.72</v>
      </c>
      <c r="J709" t="str">
        <f t="shared" si="11"/>
        <v>Medium</v>
      </c>
    </row>
    <row r="710" spans="1:10" x14ac:dyDescent="0.25">
      <c r="A710">
        <v>409</v>
      </c>
      <c r="B710">
        <v>63</v>
      </c>
      <c r="C710" t="s">
        <v>18</v>
      </c>
      <c r="D710" s="3">
        <v>70967</v>
      </c>
      <c r="E710">
        <v>59</v>
      </c>
      <c r="F710">
        <v>6</v>
      </c>
      <c r="G710">
        <v>10</v>
      </c>
      <c r="H710" t="s">
        <v>13</v>
      </c>
      <c r="I710">
        <v>954.05</v>
      </c>
      <c r="J710" t="str">
        <f t="shared" si="11"/>
        <v>Medium</v>
      </c>
    </row>
    <row r="711" spans="1:10" x14ac:dyDescent="0.25">
      <c r="A711">
        <v>410</v>
      </c>
      <c r="B711">
        <v>20</v>
      </c>
      <c r="C711" t="s">
        <v>18</v>
      </c>
      <c r="D711" s="3">
        <v>98213</v>
      </c>
      <c r="E711">
        <v>12</v>
      </c>
      <c r="F711">
        <v>5</v>
      </c>
      <c r="G711">
        <v>37</v>
      </c>
      <c r="H711" t="s">
        <v>13</v>
      </c>
      <c r="I711">
        <v>902.24</v>
      </c>
      <c r="J711" t="str">
        <f t="shared" si="11"/>
        <v>Low</v>
      </c>
    </row>
    <row r="712" spans="1:10" x14ac:dyDescent="0.25">
      <c r="A712">
        <v>413</v>
      </c>
      <c r="B712">
        <v>19</v>
      </c>
      <c r="C712" t="s">
        <v>18</v>
      </c>
      <c r="D712" s="3">
        <v>105731</v>
      </c>
      <c r="E712">
        <v>9</v>
      </c>
      <c r="F712">
        <v>7</v>
      </c>
      <c r="G712">
        <v>10</v>
      </c>
      <c r="H712" t="s">
        <v>13</v>
      </c>
      <c r="I712">
        <v>421.08</v>
      </c>
      <c r="J712" t="str">
        <f t="shared" si="11"/>
        <v>Low</v>
      </c>
    </row>
    <row r="713" spans="1:10" x14ac:dyDescent="0.25">
      <c r="A713">
        <v>435</v>
      </c>
      <c r="B713">
        <v>32</v>
      </c>
      <c r="C713" t="s">
        <v>18</v>
      </c>
      <c r="D713" s="3">
        <v>69782</v>
      </c>
      <c r="E713">
        <v>76</v>
      </c>
      <c r="F713">
        <v>1</v>
      </c>
      <c r="G713">
        <v>9</v>
      </c>
      <c r="H713" t="s">
        <v>13</v>
      </c>
      <c r="I713">
        <v>803.28</v>
      </c>
      <c r="J713" t="str">
        <f t="shared" si="11"/>
        <v>High</v>
      </c>
    </row>
    <row r="714" spans="1:10" x14ac:dyDescent="0.25">
      <c r="A714">
        <v>473</v>
      </c>
      <c r="B714">
        <v>53</v>
      </c>
      <c r="C714" t="s">
        <v>18</v>
      </c>
      <c r="D714" s="3">
        <v>104435</v>
      </c>
      <c r="E714">
        <v>42</v>
      </c>
      <c r="F714">
        <v>4</v>
      </c>
      <c r="G714">
        <v>34</v>
      </c>
      <c r="H714" t="s">
        <v>13</v>
      </c>
      <c r="I714">
        <v>795.81</v>
      </c>
      <c r="J714" t="str">
        <f t="shared" si="11"/>
        <v>Medium</v>
      </c>
    </row>
    <row r="715" spans="1:10" x14ac:dyDescent="0.25">
      <c r="A715">
        <v>487</v>
      </c>
      <c r="B715">
        <v>22</v>
      </c>
      <c r="C715" t="s">
        <v>18</v>
      </c>
      <c r="D715" s="3">
        <v>104781</v>
      </c>
      <c r="E715">
        <v>64</v>
      </c>
      <c r="F715">
        <v>8</v>
      </c>
      <c r="G715">
        <v>38</v>
      </c>
      <c r="H715" t="s">
        <v>13</v>
      </c>
      <c r="I715">
        <v>151.47999999999999</v>
      </c>
      <c r="J715" t="str">
        <f t="shared" si="11"/>
        <v>Medium</v>
      </c>
    </row>
    <row r="716" spans="1:10" x14ac:dyDescent="0.25">
      <c r="A716">
        <v>489</v>
      </c>
      <c r="B716">
        <v>26</v>
      </c>
      <c r="C716" t="s">
        <v>18</v>
      </c>
      <c r="D716" s="3">
        <v>96845</v>
      </c>
      <c r="E716">
        <v>19</v>
      </c>
      <c r="F716">
        <v>1</v>
      </c>
      <c r="G716">
        <v>5</v>
      </c>
      <c r="H716" t="s">
        <v>13</v>
      </c>
      <c r="I716">
        <v>154.88999999999999</v>
      </c>
      <c r="J716" t="str">
        <f t="shared" si="11"/>
        <v>Low</v>
      </c>
    </row>
    <row r="717" spans="1:10" x14ac:dyDescent="0.25">
      <c r="A717">
        <v>514</v>
      </c>
      <c r="B717">
        <v>69</v>
      </c>
      <c r="C717" t="s">
        <v>18</v>
      </c>
      <c r="D717" s="3">
        <v>58668</v>
      </c>
      <c r="E717">
        <v>40</v>
      </c>
      <c r="F717">
        <v>2</v>
      </c>
      <c r="G717">
        <v>15</v>
      </c>
      <c r="H717" t="s">
        <v>13</v>
      </c>
      <c r="I717">
        <v>626.35</v>
      </c>
      <c r="J717" t="str">
        <f t="shared" si="11"/>
        <v>Medium</v>
      </c>
    </row>
    <row r="718" spans="1:10" x14ac:dyDescent="0.25">
      <c r="A718">
        <v>522</v>
      </c>
      <c r="B718">
        <v>29</v>
      </c>
      <c r="C718" t="s">
        <v>18</v>
      </c>
      <c r="D718" s="3">
        <v>51471</v>
      </c>
      <c r="E718">
        <v>96</v>
      </c>
      <c r="F718">
        <v>3</v>
      </c>
      <c r="G718">
        <v>13</v>
      </c>
      <c r="H718" t="s">
        <v>13</v>
      </c>
      <c r="I718">
        <v>668.21</v>
      </c>
      <c r="J718" t="str">
        <f t="shared" si="11"/>
        <v>High</v>
      </c>
    </row>
    <row r="719" spans="1:10" x14ac:dyDescent="0.25">
      <c r="A719">
        <v>537</v>
      </c>
      <c r="B719">
        <v>48</v>
      </c>
      <c r="C719" t="s">
        <v>18</v>
      </c>
      <c r="D719" s="3">
        <v>57932</v>
      </c>
      <c r="E719">
        <v>70</v>
      </c>
      <c r="F719">
        <v>9</v>
      </c>
      <c r="G719">
        <v>44</v>
      </c>
      <c r="H719" t="s">
        <v>13</v>
      </c>
      <c r="I719">
        <v>192.46</v>
      </c>
      <c r="J719" t="str">
        <f t="shared" si="11"/>
        <v>High</v>
      </c>
    </row>
    <row r="720" spans="1:10" x14ac:dyDescent="0.25">
      <c r="A720">
        <v>548</v>
      </c>
      <c r="B720">
        <v>22</v>
      </c>
      <c r="C720" t="s">
        <v>18</v>
      </c>
      <c r="D720" s="3">
        <v>93861</v>
      </c>
      <c r="E720">
        <v>42</v>
      </c>
      <c r="F720">
        <v>6</v>
      </c>
      <c r="G720">
        <v>6</v>
      </c>
      <c r="H720" t="s">
        <v>13</v>
      </c>
      <c r="I720">
        <v>73.13</v>
      </c>
      <c r="J720" t="str">
        <f t="shared" si="11"/>
        <v>Medium</v>
      </c>
    </row>
    <row r="721" spans="1:10" x14ac:dyDescent="0.25">
      <c r="A721">
        <v>554</v>
      </c>
      <c r="B721">
        <v>61</v>
      </c>
      <c r="C721" t="s">
        <v>18</v>
      </c>
      <c r="D721" s="3">
        <v>54256</v>
      </c>
      <c r="E721">
        <v>78</v>
      </c>
      <c r="F721">
        <v>3</v>
      </c>
      <c r="G721">
        <v>3</v>
      </c>
      <c r="H721" t="s">
        <v>13</v>
      </c>
      <c r="I721">
        <v>886.44</v>
      </c>
      <c r="J721" t="str">
        <f t="shared" si="11"/>
        <v>High</v>
      </c>
    </row>
    <row r="722" spans="1:10" x14ac:dyDescent="0.25">
      <c r="A722">
        <v>568</v>
      </c>
      <c r="B722">
        <v>45</v>
      </c>
      <c r="C722" t="s">
        <v>18</v>
      </c>
      <c r="D722" s="3">
        <v>41917</v>
      </c>
      <c r="E722">
        <v>58</v>
      </c>
      <c r="F722">
        <v>8</v>
      </c>
      <c r="G722">
        <v>5</v>
      </c>
      <c r="H722" t="s">
        <v>13</v>
      </c>
      <c r="I722">
        <v>870.38</v>
      </c>
      <c r="J722" t="str">
        <f t="shared" si="11"/>
        <v>Medium</v>
      </c>
    </row>
    <row r="723" spans="1:10" x14ac:dyDescent="0.25">
      <c r="A723">
        <v>610</v>
      </c>
      <c r="B723">
        <v>23</v>
      </c>
      <c r="C723" t="s">
        <v>18</v>
      </c>
      <c r="D723" s="3">
        <v>83912</v>
      </c>
      <c r="E723">
        <v>28</v>
      </c>
      <c r="F723">
        <v>6</v>
      </c>
      <c r="G723">
        <v>31</v>
      </c>
      <c r="H723" t="s">
        <v>13</v>
      </c>
      <c r="I723">
        <v>98.32</v>
      </c>
      <c r="J723" t="str">
        <f t="shared" si="11"/>
        <v>Low</v>
      </c>
    </row>
    <row r="724" spans="1:10" x14ac:dyDescent="0.25">
      <c r="A724">
        <v>611</v>
      </c>
      <c r="B724">
        <v>42</v>
      </c>
      <c r="C724" t="s">
        <v>18</v>
      </c>
      <c r="D724" s="3">
        <v>63444</v>
      </c>
      <c r="E724">
        <v>72</v>
      </c>
      <c r="F724">
        <v>4</v>
      </c>
      <c r="G724">
        <v>40</v>
      </c>
      <c r="H724" t="s">
        <v>13</v>
      </c>
      <c r="I724">
        <v>166.45</v>
      </c>
      <c r="J724" t="str">
        <f t="shared" si="11"/>
        <v>High</v>
      </c>
    </row>
    <row r="725" spans="1:10" x14ac:dyDescent="0.25">
      <c r="A725">
        <v>630</v>
      </c>
      <c r="B725">
        <v>64</v>
      </c>
      <c r="C725" t="s">
        <v>18</v>
      </c>
      <c r="D725" s="3">
        <v>145746</v>
      </c>
      <c r="E725">
        <v>76</v>
      </c>
      <c r="F725">
        <v>2</v>
      </c>
      <c r="G725">
        <v>48</v>
      </c>
      <c r="H725" t="s">
        <v>13</v>
      </c>
      <c r="I725">
        <v>49.06</v>
      </c>
      <c r="J725" t="str">
        <f t="shared" si="11"/>
        <v>High</v>
      </c>
    </row>
    <row r="726" spans="1:10" x14ac:dyDescent="0.25">
      <c r="A726">
        <v>638</v>
      </c>
      <c r="B726">
        <v>34</v>
      </c>
      <c r="C726" t="s">
        <v>18</v>
      </c>
      <c r="D726" s="3">
        <v>60489</v>
      </c>
      <c r="E726">
        <v>95</v>
      </c>
      <c r="F726">
        <v>3</v>
      </c>
      <c r="G726">
        <v>38</v>
      </c>
      <c r="H726" t="s">
        <v>13</v>
      </c>
      <c r="I726">
        <v>304.86</v>
      </c>
      <c r="J726" t="str">
        <f t="shared" si="11"/>
        <v>High</v>
      </c>
    </row>
    <row r="727" spans="1:10" x14ac:dyDescent="0.25">
      <c r="A727">
        <v>675</v>
      </c>
      <c r="B727">
        <v>64</v>
      </c>
      <c r="C727" t="s">
        <v>18</v>
      </c>
      <c r="D727" s="3">
        <v>67704</v>
      </c>
      <c r="E727">
        <v>12</v>
      </c>
      <c r="F727">
        <v>6</v>
      </c>
      <c r="G727">
        <v>17</v>
      </c>
      <c r="H727" t="s">
        <v>13</v>
      </c>
      <c r="I727">
        <v>126.15</v>
      </c>
      <c r="J727" t="str">
        <f t="shared" si="11"/>
        <v>Low</v>
      </c>
    </row>
    <row r="728" spans="1:10" x14ac:dyDescent="0.25">
      <c r="A728">
        <v>683</v>
      </c>
      <c r="B728">
        <v>27</v>
      </c>
      <c r="C728" t="s">
        <v>18</v>
      </c>
      <c r="D728" s="3">
        <v>89855</v>
      </c>
      <c r="E728">
        <v>54</v>
      </c>
      <c r="F728">
        <v>10</v>
      </c>
      <c r="G728">
        <v>37</v>
      </c>
      <c r="H728" t="s">
        <v>13</v>
      </c>
      <c r="I728">
        <v>750.51</v>
      </c>
      <c r="J728" t="str">
        <f t="shared" si="11"/>
        <v>Medium</v>
      </c>
    </row>
    <row r="729" spans="1:10" x14ac:dyDescent="0.25">
      <c r="A729">
        <v>703</v>
      </c>
      <c r="B729">
        <v>26</v>
      </c>
      <c r="C729" t="s">
        <v>18</v>
      </c>
      <c r="D729" s="3">
        <v>56466</v>
      </c>
      <c r="E729">
        <v>61</v>
      </c>
      <c r="F729">
        <v>3</v>
      </c>
      <c r="G729">
        <v>12</v>
      </c>
      <c r="H729" t="s">
        <v>13</v>
      </c>
      <c r="I729">
        <v>358.22</v>
      </c>
      <c r="J729" t="str">
        <f t="shared" si="11"/>
        <v>Medium</v>
      </c>
    </row>
    <row r="730" spans="1:10" x14ac:dyDescent="0.25">
      <c r="A730">
        <v>718</v>
      </c>
      <c r="B730">
        <v>57</v>
      </c>
      <c r="C730" t="s">
        <v>18</v>
      </c>
      <c r="D730" s="3">
        <v>108833</v>
      </c>
      <c r="E730">
        <v>77</v>
      </c>
      <c r="F730">
        <v>3</v>
      </c>
      <c r="G730">
        <v>37</v>
      </c>
      <c r="H730" t="s">
        <v>13</v>
      </c>
      <c r="I730">
        <v>623.78</v>
      </c>
      <c r="J730" t="str">
        <f t="shared" si="11"/>
        <v>High</v>
      </c>
    </row>
    <row r="731" spans="1:10" x14ac:dyDescent="0.25">
      <c r="A731">
        <v>757</v>
      </c>
      <c r="B731">
        <v>19</v>
      </c>
      <c r="C731" t="s">
        <v>18</v>
      </c>
      <c r="D731" s="3">
        <v>129687</v>
      </c>
      <c r="E731">
        <v>78</v>
      </c>
      <c r="F731">
        <v>3</v>
      </c>
      <c r="G731">
        <v>43</v>
      </c>
      <c r="H731" t="s">
        <v>13</v>
      </c>
      <c r="I731">
        <v>679.67</v>
      </c>
      <c r="J731" t="str">
        <f t="shared" si="11"/>
        <v>High</v>
      </c>
    </row>
    <row r="732" spans="1:10" x14ac:dyDescent="0.25">
      <c r="A732">
        <v>791</v>
      </c>
      <c r="B732">
        <v>59</v>
      </c>
      <c r="C732" t="s">
        <v>18</v>
      </c>
      <c r="D732" s="3">
        <v>97756</v>
      </c>
      <c r="E732">
        <v>89</v>
      </c>
      <c r="F732">
        <v>6</v>
      </c>
      <c r="G732">
        <v>3</v>
      </c>
      <c r="H732" t="s">
        <v>13</v>
      </c>
      <c r="I732">
        <v>318.74</v>
      </c>
      <c r="J732" t="str">
        <f t="shared" si="11"/>
        <v>High</v>
      </c>
    </row>
    <row r="733" spans="1:10" x14ac:dyDescent="0.25">
      <c r="A733">
        <v>793</v>
      </c>
      <c r="B733">
        <v>63</v>
      </c>
      <c r="C733" t="s">
        <v>18</v>
      </c>
      <c r="D733" s="3">
        <v>123481</v>
      </c>
      <c r="E733">
        <v>26</v>
      </c>
      <c r="F733">
        <v>1</v>
      </c>
      <c r="G733">
        <v>26</v>
      </c>
      <c r="H733" t="s">
        <v>13</v>
      </c>
      <c r="I733">
        <v>386.51</v>
      </c>
      <c r="J733" t="str">
        <f t="shared" si="11"/>
        <v>Low</v>
      </c>
    </row>
    <row r="734" spans="1:10" x14ac:dyDescent="0.25">
      <c r="A734">
        <v>811</v>
      </c>
      <c r="B734">
        <v>27</v>
      </c>
      <c r="C734" t="s">
        <v>18</v>
      </c>
      <c r="D734" s="3">
        <v>78001</v>
      </c>
      <c r="E734">
        <v>50</v>
      </c>
      <c r="F734">
        <v>5</v>
      </c>
      <c r="G734">
        <v>17</v>
      </c>
      <c r="H734" t="s">
        <v>13</v>
      </c>
      <c r="I734">
        <v>117.03</v>
      </c>
      <c r="J734" t="str">
        <f t="shared" si="11"/>
        <v>Medium</v>
      </c>
    </row>
    <row r="735" spans="1:10" x14ac:dyDescent="0.25">
      <c r="A735">
        <v>815</v>
      </c>
      <c r="B735">
        <v>53</v>
      </c>
      <c r="C735" t="s">
        <v>18</v>
      </c>
      <c r="D735" s="3">
        <v>58486</v>
      </c>
      <c r="E735">
        <v>87</v>
      </c>
      <c r="F735">
        <v>8</v>
      </c>
      <c r="G735">
        <v>23</v>
      </c>
      <c r="H735" t="s">
        <v>13</v>
      </c>
      <c r="I735">
        <v>409.35</v>
      </c>
      <c r="J735" t="str">
        <f t="shared" si="11"/>
        <v>High</v>
      </c>
    </row>
    <row r="736" spans="1:10" x14ac:dyDescent="0.25">
      <c r="A736">
        <v>824</v>
      </c>
      <c r="B736">
        <v>38</v>
      </c>
      <c r="C736" t="s">
        <v>18</v>
      </c>
      <c r="D736" s="3">
        <v>81244</v>
      </c>
      <c r="E736">
        <v>57</v>
      </c>
      <c r="F736">
        <v>5</v>
      </c>
      <c r="G736">
        <v>3</v>
      </c>
      <c r="H736" t="s">
        <v>13</v>
      </c>
      <c r="I736">
        <v>301.58999999999997</v>
      </c>
      <c r="J736" t="str">
        <f t="shared" si="11"/>
        <v>Medium</v>
      </c>
    </row>
    <row r="737" spans="1:10" x14ac:dyDescent="0.25">
      <c r="A737">
        <v>831</v>
      </c>
      <c r="B737">
        <v>43</v>
      </c>
      <c r="C737" t="s">
        <v>18</v>
      </c>
      <c r="D737" s="3">
        <v>76811</v>
      </c>
      <c r="E737">
        <v>26</v>
      </c>
      <c r="F737">
        <v>1</v>
      </c>
      <c r="G737">
        <v>33</v>
      </c>
      <c r="H737" t="s">
        <v>13</v>
      </c>
      <c r="I737">
        <v>836.5</v>
      </c>
      <c r="J737" t="str">
        <f t="shared" si="11"/>
        <v>Low</v>
      </c>
    </row>
    <row r="738" spans="1:10" x14ac:dyDescent="0.25">
      <c r="A738">
        <v>857</v>
      </c>
      <c r="B738">
        <v>19</v>
      </c>
      <c r="C738" t="s">
        <v>18</v>
      </c>
      <c r="D738" s="3">
        <v>90561</v>
      </c>
      <c r="E738">
        <v>75</v>
      </c>
      <c r="F738">
        <v>10</v>
      </c>
      <c r="G738">
        <v>23</v>
      </c>
      <c r="H738" t="s">
        <v>13</v>
      </c>
      <c r="I738">
        <v>866.23</v>
      </c>
      <c r="J738" t="str">
        <f t="shared" si="11"/>
        <v>High</v>
      </c>
    </row>
    <row r="739" spans="1:10" x14ac:dyDescent="0.25">
      <c r="A739">
        <v>869</v>
      </c>
      <c r="B739">
        <v>49</v>
      </c>
      <c r="C739" t="s">
        <v>18</v>
      </c>
      <c r="D739" s="3">
        <v>61376</v>
      </c>
      <c r="E739">
        <v>47</v>
      </c>
      <c r="F739">
        <v>5</v>
      </c>
      <c r="G739">
        <v>16</v>
      </c>
      <c r="H739" t="s">
        <v>13</v>
      </c>
      <c r="I739">
        <v>241.25</v>
      </c>
      <c r="J739" t="str">
        <f t="shared" si="11"/>
        <v>Medium</v>
      </c>
    </row>
    <row r="740" spans="1:10" x14ac:dyDescent="0.25">
      <c r="A740">
        <v>871</v>
      </c>
      <c r="B740">
        <v>57</v>
      </c>
      <c r="C740" t="s">
        <v>18</v>
      </c>
      <c r="D740" s="3">
        <v>128481</v>
      </c>
      <c r="E740">
        <v>86</v>
      </c>
      <c r="F740">
        <v>10</v>
      </c>
      <c r="G740">
        <v>40</v>
      </c>
      <c r="H740" t="s">
        <v>13</v>
      </c>
      <c r="I740">
        <v>727.15</v>
      </c>
      <c r="J740" t="str">
        <f t="shared" si="11"/>
        <v>High</v>
      </c>
    </row>
    <row r="741" spans="1:10" x14ac:dyDescent="0.25">
      <c r="A741">
        <v>875</v>
      </c>
      <c r="B741">
        <v>25</v>
      </c>
      <c r="C741" t="s">
        <v>18</v>
      </c>
      <c r="D741" s="3">
        <v>76606</v>
      </c>
      <c r="E741">
        <v>99</v>
      </c>
      <c r="F741">
        <v>10</v>
      </c>
      <c r="G741">
        <v>32</v>
      </c>
      <c r="H741" t="s">
        <v>13</v>
      </c>
      <c r="I741">
        <v>472.4</v>
      </c>
      <c r="J741" t="str">
        <f t="shared" si="11"/>
        <v>High</v>
      </c>
    </row>
    <row r="742" spans="1:10" x14ac:dyDescent="0.25">
      <c r="A742">
        <v>877</v>
      </c>
      <c r="B742">
        <v>51</v>
      </c>
      <c r="C742" t="s">
        <v>18</v>
      </c>
      <c r="D742" s="3">
        <v>127950</v>
      </c>
      <c r="E742">
        <v>27</v>
      </c>
      <c r="F742">
        <v>3</v>
      </c>
      <c r="G742">
        <v>45</v>
      </c>
      <c r="H742" t="s">
        <v>13</v>
      </c>
      <c r="I742">
        <v>412.76</v>
      </c>
      <c r="J742" t="str">
        <f t="shared" si="11"/>
        <v>Low</v>
      </c>
    </row>
    <row r="743" spans="1:10" x14ac:dyDescent="0.25">
      <c r="A743">
        <v>878</v>
      </c>
      <c r="B743">
        <v>45</v>
      </c>
      <c r="C743" t="s">
        <v>18</v>
      </c>
      <c r="D743" s="3">
        <v>51646</v>
      </c>
      <c r="E743">
        <v>61</v>
      </c>
      <c r="F743">
        <v>5</v>
      </c>
      <c r="G743">
        <v>41</v>
      </c>
      <c r="H743" t="s">
        <v>13</v>
      </c>
      <c r="I743">
        <v>246.41</v>
      </c>
      <c r="J743" t="str">
        <f t="shared" si="11"/>
        <v>Medium</v>
      </c>
    </row>
    <row r="744" spans="1:10" x14ac:dyDescent="0.25">
      <c r="A744">
        <v>893</v>
      </c>
      <c r="B744">
        <v>24</v>
      </c>
      <c r="C744" t="s">
        <v>18</v>
      </c>
      <c r="D744" s="3">
        <v>60763</v>
      </c>
      <c r="E744">
        <v>92</v>
      </c>
      <c r="F744">
        <v>5</v>
      </c>
      <c r="G744">
        <v>29</v>
      </c>
      <c r="H744" t="s">
        <v>13</v>
      </c>
      <c r="I744">
        <v>320.7</v>
      </c>
      <c r="J744" t="str">
        <f t="shared" si="11"/>
        <v>High</v>
      </c>
    </row>
    <row r="745" spans="1:10" x14ac:dyDescent="0.25">
      <c r="A745">
        <v>900</v>
      </c>
      <c r="B745">
        <v>52</v>
      </c>
      <c r="C745" t="s">
        <v>18</v>
      </c>
      <c r="D745" s="3">
        <v>41544</v>
      </c>
      <c r="E745">
        <v>1</v>
      </c>
      <c r="F745">
        <v>10</v>
      </c>
      <c r="G745">
        <v>46</v>
      </c>
      <c r="H745" t="s">
        <v>13</v>
      </c>
      <c r="I745">
        <v>720.52</v>
      </c>
      <c r="J745" t="str">
        <f t="shared" si="11"/>
        <v>Low</v>
      </c>
    </row>
    <row r="746" spans="1:10" x14ac:dyDescent="0.25">
      <c r="A746">
        <v>901</v>
      </c>
      <c r="B746">
        <v>57</v>
      </c>
      <c r="C746" t="s">
        <v>18</v>
      </c>
      <c r="D746" s="3">
        <v>135440</v>
      </c>
      <c r="E746">
        <v>46</v>
      </c>
      <c r="F746">
        <v>8</v>
      </c>
      <c r="G746">
        <v>3</v>
      </c>
      <c r="H746" t="s">
        <v>13</v>
      </c>
      <c r="I746">
        <v>442.46</v>
      </c>
      <c r="J746" t="str">
        <f t="shared" si="11"/>
        <v>Medium</v>
      </c>
    </row>
    <row r="747" spans="1:10" x14ac:dyDescent="0.25">
      <c r="A747">
        <v>902</v>
      </c>
      <c r="B747">
        <v>55</v>
      </c>
      <c r="C747" t="s">
        <v>18</v>
      </c>
      <c r="D747" s="3">
        <v>72193</v>
      </c>
      <c r="E747">
        <v>39</v>
      </c>
      <c r="F747">
        <v>2</v>
      </c>
      <c r="G747">
        <v>6</v>
      </c>
      <c r="H747" t="s">
        <v>13</v>
      </c>
      <c r="I747">
        <v>207.44</v>
      </c>
      <c r="J747" t="str">
        <f t="shared" si="11"/>
        <v>Medium</v>
      </c>
    </row>
    <row r="748" spans="1:10" x14ac:dyDescent="0.25">
      <c r="A748">
        <v>937</v>
      </c>
      <c r="B748">
        <v>43</v>
      </c>
      <c r="C748" t="s">
        <v>18</v>
      </c>
      <c r="D748" s="3">
        <v>42201</v>
      </c>
      <c r="E748">
        <v>76</v>
      </c>
      <c r="F748">
        <v>1</v>
      </c>
      <c r="G748">
        <v>50</v>
      </c>
      <c r="H748" t="s">
        <v>13</v>
      </c>
      <c r="I748">
        <v>106.48</v>
      </c>
      <c r="J748" t="str">
        <f t="shared" si="11"/>
        <v>High</v>
      </c>
    </row>
    <row r="749" spans="1:10" x14ac:dyDescent="0.25">
      <c r="A749">
        <v>940</v>
      </c>
      <c r="B749">
        <v>56</v>
      </c>
      <c r="C749" t="s">
        <v>18</v>
      </c>
      <c r="D749" s="3">
        <v>51736</v>
      </c>
      <c r="E749">
        <v>3</v>
      </c>
      <c r="F749">
        <v>9</v>
      </c>
      <c r="G749">
        <v>25</v>
      </c>
      <c r="H749" t="s">
        <v>13</v>
      </c>
      <c r="I749">
        <v>666.01</v>
      </c>
      <c r="J749" t="str">
        <f t="shared" si="11"/>
        <v>Low</v>
      </c>
    </row>
    <row r="750" spans="1:10" x14ac:dyDescent="0.25">
      <c r="A750">
        <v>961</v>
      </c>
      <c r="B750">
        <v>23</v>
      </c>
      <c r="C750" t="s">
        <v>18</v>
      </c>
      <c r="D750" s="3">
        <v>60808</v>
      </c>
      <c r="E750">
        <v>96</v>
      </c>
      <c r="F750">
        <v>2</v>
      </c>
      <c r="G750">
        <v>12</v>
      </c>
      <c r="H750" t="s">
        <v>13</v>
      </c>
      <c r="I750">
        <v>231.03</v>
      </c>
      <c r="J750" t="str">
        <f t="shared" si="11"/>
        <v>High</v>
      </c>
    </row>
    <row r="751" spans="1:10" x14ac:dyDescent="0.25">
      <c r="A751">
        <v>971</v>
      </c>
      <c r="B751">
        <v>58</v>
      </c>
      <c r="C751" t="s">
        <v>18</v>
      </c>
      <c r="D751" s="3">
        <v>51913</v>
      </c>
      <c r="E751">
        <v>14</v>
      </c>
      <c r="F751">
        <v>4</v>
      </c>
      <c r="G751">
        <v>21</v>
      </c>
      <c r="H751" t="s">
        <v>13</v>
      </c>
      <c r="I751">
        <v>733.63</v>
      </c>
      <c r="J751" t="str">
        <f t="shared" si="11"/>
        <v>Low</v>
      </c>
    </row>
    <row r="752" spans="1:10" x14ac:dyDescent="0.25">
      <c r="A752">
        <v>975</v>
      </c>
      <c r="B752">
        <v>49</v>
      </c>
      <c r="C752" t="s">
        <v>18</v>
      </c>
      <c r="D752" s="3">
        <v>79546</v>
      </c>
      <c r="E752">
        <v>26</v>
      </c>
      <c r="F752">
        <v>5</v>
      </c>
      <c r="G752">
        <v>12</v>
      </c>
      <c r="H752" t="s">
        <v>13</v>
      </c>
      <c r="I752">
        <v>935.73</v>
      </c>
      <c r="J752" t="str">
        <f t="shared" si="11"/>
        <v>Low</v>
      </c>
    </row>
    <row r="753" spans="1:10" x14ac:dyDescent="0.25">
      <c r="A753">
        <v>993</v>
      </c>
      <c r="B753">
        <v>22</v>
      </c>
      <c r="C753" t="s">
        <v>18</v>
      </c>
      <c r="D753" s="3">
        <v>125479</v>
      </c>
      <c r="E753">
        <v>57</v>
      </c>
      <c r="F753">
        <v>8</v>
      </c>
      <c r="G753">
        <v>27</v>
      </c>
      <c r="H753" t="s">
        <v>13</v>
      </c>
      <c r="I753">
        <v>139.75</v>
      </c>
      <c r="J753" t="str">
        <f t="shared" si="11"/>
        <v>Medium</v>
      </c>
    </row>
    <row r="754" spans="1:10" x14ac:dyDescent="0.25">
      <c r="A754">
        <v>1</v>
      </c>
      <c r="B754">
        <v>38</v>
      </c>
      <c r="C754" t="s">
        <v>18</v>
      </c>
      <c r="D754" s="3">
        <v>99342</v>
      </c>
      <c r="E754">
        <v>90</v>
      </c>
      <c r="F754">
        <v>3</v>
      </c>
      <c r="G754">
        <v>24</v>
      </c>
      <c r="H754" t="s">
        <v>16</v>
      </c>
      <c r="I754">
        <v>113.53</v>
      </c>
      <c r="J754" t="str">
        <f t="shared" si="11"/>
        <v>High</v>
      </c>
    </row>
    <row r="755" spans="1:10" x14ac:dyDescent="0.25">
      <c r="A755">
        <v>50</v>
      </c>
      <c r="B755">
        <v>68</v>
      </c>
      <c r="C755" t="s">
        <v>18</v>
      </c>
      <c r="D755" s="3">
        <v>146519</v>
      </c>
      <c r="E755">
        <v>96</v>
      </c>
      <c r="F755">
        <v>2</v>
      </c>
      <c r="G755">
        <v>18</v>
      </c>
      <c r="H755" t="s">
        <v>16</v>
      </c>
      <c r="I755">
        <v>673.79</v>
      </c>
      <c r="J755" t="str">
        <f t="shared" si="11"/>
        <v>High</v>
      </c>
    </row>
    <row r="756" spans="1:10" x14ac:dyDescent="0.25">
      <c r="A756">
        <v>73</v>
      </c>
      <c r="B756">
        <v>31</v>
      </c>
      <c r="C756" t="s">
        <v>18</v>
      </c>
      <c r="D756" s="3">
        <v>112452</v>
      </c>
      <c r="E756">
        <v>21</v>
      </c>
      <c r="F756">
        <v>1</v>
      </c>
      <c r="G756">
        <v>5</v>
      </c>
      <c r="H756" t="s">
        <v>16</v>
      </c>
      <c r="I756">
        <v>552.21</v>
      </c>
      <c r="J756" t="str">
        <f t="shared" si="11"/>
        <v>Low</v>
      </c>
    </row>
    <row r="757" spans="1:10" x14ac:dyDescent="0.25">
      <c r="A757">
        <v>82</v>
      </c>
      <c r="B757">
        <v>36</v>
      </c>
      <c r="C757" t="s">
        <v>18</v>
      </c>
      <c r="D757" s="3">
        <v>148542</v>
      </c>
      <c r="E757">
        <v>60</v>
      </c>
      <c r="F757">
        <v>1</v>
      </c>
      <c r="G757">
        <v>17</v>
      </c>
      <c r="H757" t="s">
        <v>16</v>
      </c>
      <c r="I757">
        <v>15.66</v>
      </c>
      <c r="J757" t="str">
        <f t="shared" si="11"/>
        <v>Medium</v>
      </c>
    </row>
    <row r="758" spans="1:10" x14ac:dyDescent="0.25">
      <c r="A758">
        <v>101</v>
      </c>
      <c r="B758">
        <v>40</v>
      </c>
      <c r="C758" t="s">
        <v>18</v>
      </c>
      <c r="D758" s="3">
        <v>115569</v>
      </c>
      <c r="E758">
        <v>1</v>
      </c>
      <c r="F758">
        <v>2</v>
      </c>
      <c r="G758">
        <v>5</v>
      </c>
      <c r="H758" t="s">
        <v>16</v>
      </c>
      <c r="I758">
        <v>241.91</v>
      </c>
      <c r="J758" t="str">
        <f t="shared" si="11"/>
        <v>Low</v>
      </c>
    </row>
    <row r="759" spans="1:10" x14ac:dyDescent="0.25">
      <c r="A759">
        <v>121</v>
      </c>
      <c r="B759">
        <v>47</v>
      </c>
      <c r="C759" t="s">
        <v>18</v>
      </c>
      <c r="D759" s="3">
        <v>112072</v>
      </c>
      <c r="E759">
        <v>50</v>
      </c>
      <c r="F759">
        <v>5</v>
      </c>
      <c r="G759">
        <v>21</v>
      </c>
      <c r="H759" t="s">
        <v>16</v>
      </c>
      <c r="I759">
        <v>884.19</v>
      </c>
      <c r="J759" t="str">
        <f t="shared" si="11"/>
        <v>Medium</v>
      </c>
    </row>
    <row r="760" spans="1:10" x14ac:dyDescent="0.25">
      <c r="A760">
        <v>139</v>
      </c>
      <c r="B760">
        <v>18</v>
      </c>
      <c r="C760" t="s">
        <v>18</v>
      </c>
      <c r="D760" s="3">
        <v>99638</v>
      </c>
      <c r="E760">
        <v>33</v>
      </c>
      <c r="F760">
        <v>8</v>
      </c>
      <c r="G760">
        <v>23</v>
      </c>
      <c r="H760" t="s">
        <v>16</v>
      </c>
      <c r="I760">
        <v>316.27</v>
      </c>
      <c r="J760" t="str">
        <f t="shared" si="11"/>
        <v>Medium</v>
      </c>
    </row>
    <row r="761" spans="1:10" x14ac:dyDescent="0.25">
      <c r="A761">
        <v>166</v>
      </c>
      <c r="B761">
        <v>41</v>
      </c>
      <c r="C761" t="s">
        <v>18</v>
      </c>
      <c r="D761" s="3">
        <v>48155</v>
      </c>
      <c r="E761">
        <v>19</v>
      </c>
      <c r="F761">
        <v>10</v>
      </c>
      <c r="G761">
        <v>36</v>
      </c>
      <c r="H761" t="s">
        <v>16</v>
      </c>
      <c r="I761">
        <v>566.65</v>
      </c>
      <c r="J761" t="str">
        <f t="shared" si="11"/>
        <v>Low</v>
      </c>
    </row>
    <row r="762" spans="1:10" x14ac:dyDescent="0.25">
      <c r="A762">
        <v>179</v>
      </c>
      <c r="B762">
        <v>45</v>
      </c>
      <c r="C762" t="s">
        <v>18</v>
      </c>
      <c r="D762" s="3">
        <v>102050</v>
      </c>
      <c r="E762">
        <v>57</v>
      </c>
      <c r="F762">
        <v>8</v>
      </c>
      <c r="G762">
        <v>39</v>
      </c>
      <c r="H762" t="s">
        <v>16</v>
      </c>
      <c r="I762">
        <v>263.93</v>
      </c>
      <c r="J762" t="str">
        <f t="shared" si="11"/>
        <v>Medium</v>
      </c>
    </row>
    <row r="763" spans="1:10" x14ac:dyDescent="0.25">
      <c r="A763">
        <v>193</v>
      </c>
      <c r="B763">
        <v>69</v>
      </c>
      <c r="C763" t="s">
        <v>18</v>
      </c>
      <c r="D763" s="3">
        <v>39509</v>
      </c>
      <c r="E763">
        <v>10</v>
      </c>
      <c r="F763">
        <v>6</v>
      </c>
      <c r="G763">
        <v>27</v>
      </c>
      <c r="H763" t="s">
        <v>16</v>
      </c>
      <c r="I763">
        <v>377.66</v>
      </c>
      <c r="J763" t="str">
        <f t="shared" si="11"/>
        <v>Low</v>
      </c>
    </row>
    <row r="764" spans="1:10" x14ac:dyDescent="0.25">
      <c r="A764">
        <v>199</v>
      </c>
      <c r="B764">
        <v>45</v>
      </c>
      <c r="C764" t="s">
        <v>18</v>
      </c>
      <c r="D764" s="3">
        <v>82014</v>
      </c>
      <c r="E764">
        <v>30</v>
      </c>
      <c r="F764">
        <v>10</v>
      </c>
      <c r="G764">
        <v>15</v>
      </c>
      <c r="H764" t="s">
        <v>16</v>
      </c>
      <c r="I764">
        <v>81.91</v>
      </c>
      <c r="J764" t="str">
        <f t="shared" si="11"/>
        <v>Low</v>
      </c>
    </row>
    <row r="765" spans="1:10" x14ac:dyDescent="0.25">
      <c r="A765">
        <v>224</v>
      </c>
      <c r="B765">
        <v>51</v>
      </c>
      <c r="C765" t="s">
        <v>18</v>
      </c>
      <c r="D765" s="3">
        <v>33665</v>
      </c>
      <c r="E765">
        <v>12</v>
      </c>
      <c r="F765">
        <v>2</v>
      </c>
      <c r="G765">
        <v>2</v>
      </c>
      <c r="H765" t="s">
        <v>16</v>
      </c>
      <c r="I765">
        <v>139.07</v>
      </c>
      <c r="J765" t="str">
        <f t="shared" si="11"/>
        <v>Low</v>
      </c>
    </row>
    <row r="766" spans="1:10" x14ac:dyDescent="0.25">
      <c r="A766">
        <v>233</v>
      </c>
      <c r="B766">
        <v>41</v>
      </c>
      <c r="C766" t="s">
        <v>18</v>
      </c>
      <c r="D766" s="3">
        <v>88312</v>
      </c>
      <c r="E766">
        <v>22</v>
      </c>
      <c r="F766">
        <v>6</v>
      </c>
      <c r="G766">
        <v>31</v>
      </c>
      <c r="H766" t="s">
        <v>16</v>
      </c>
      <c r="I766">
        <v>212.53</v>
      </c>
      <c r="J766" t="str">
        <f t="shared" si="11"/>
        <v>Low</v>
      </c>
    </row>
    <row r="767" spans="1:10" x14ac:dyDescent="0.25">
      <c r="A767">
        <v>235</v>
      </c>
      <c r="B767">
        <v>19</v>
      </c>
      <c r="C767" t="s">
        <v>18</v>
      </c>
      <c r="D767" s="3">
        <v>41542</v>
      </c>
      <c r="E767">
        <v>21</v>
      </c>
      <c r="F767">
        <v>1</v>
      </c>
      <c r="G767">
        <v>22</v>
      </c>
      <c r="H767" t="s">
        <v>16</v>
      </c>
      <c r="I767">
        <v>132.88</v>
      </c>
      <c r="J767" t="str">
        <f t="shared" si="11"/>
        <v>Low</v>
      </c>
    </row>
    <row r="768" spans="1:10" x14ac:dyDescent="0.25">
      <c r="A768">
        <v>239</v>
      </c>
      <c r="B768">
        <v>64</v>
      </c>
      <c r="C768" t="s">
        <v>18</v>
      </c>
      <c r="D768" s="3">
        <v>124599</v>
      </c>
      <c r="E768">
        <v>41</v>
      </c>
      <c r="F768">
        <v>9</v>
      </c>
      <c r="G768">
        <v>41</v>
      </c>
      <c r="H768" t="s">
        <v>16</v>
      </c>
      <c r="I768">
        <v>924.18</v>
      </c>
      <c r="J768" t="str">
        <f t="shared" si="11"/>
        <v>Medium</v>
      </c>
    </row>
    <row r="769" spans="1:10" x14ac:dyDescent="0.25">
      <c r="A769">
        <v>240</v>
      </c>
      <c r="B769">
        <v>44</v>
      </c>
      <c r="C769" t="s">
        <v>18</v>
      </c>
      <c r="D769" s="3">
        <v>121975</v>
      </c>
      <c r="E769">
        <v>33</v>
      </c>
      <c r="F769">
        <v>6</v>
      </c>
      <c r="G769">
        <v>27</v>
      </c>
      <c r="H769" t="s">
        <v>16</v>
      </c>
      <c r="I769">
        <v>640.96</v>
      </c>
      <c r="J769" t="str">
        <f t="shared" si="11"/>
        <v>Medium</v>
      </c>
    </row>
    <row r="770" spans="1:10" x14ac:dyDescent="0.25">
      <c r="A770">
        <v>276</v>
      </c>
      <c r="B770">
        <v>39</v>
      </c>
      <c r="C770" t="s">
        <v>18</v>
      </c>
      <c r="D770" s="3">
        <v>39931</v>
      </c>
      <c r="E770">
        <v>43</v>
      </c>
      <c r="F770">
        <v>1</v>
      </c>
      <c r="G770">
        <v>28</v>
      </c>
      <c r="H770" t="s">
        <v>16</v>
      </c>
      <c r="I770">
        <v>261.36</v>
      </c>
      <c r="J770" t="str">
        <f t="shared" ref="J770:J833" si="12">IF(E770&lt;33,"Low",IF(E770&lt;66,"Medium","High"))</f>
        <v>Medium</v>
      </c>
    </row>
    <row r="771" spans="1:10" x14ac:dyDescent="0.25">
      <c r="A771">
        <v>301</v>
      </c>
      <c r="B771">
        <v>52</v>
      </c>
      <c r="C771" t="s">
        <v>18</v>
      </c>
      <c r="D771" s="3">
        <v>106147</v>
      </c>
      <c r="E771">
        <v>2</v>
      </c>
      <c r="F771">
        <v>6</v>
      </c>
      <c r="G771">
        <v>19</v>
      </c>
      <c r="H771" t="s">
        <v>16</v>
      </c>
      <c r="I771">
        <v>412.65</v>
      </c>
      <c r="J771" t="str">
        <f t="shared" si="12"/>
        <v>Low</v>
      </c>
    </row>
    <row r="772" spans="1:10" x14ac:dyDescent="0.25">
      <c r="A772">
        <v>309</v>
      </c>
      <c r="B772">
        <v>64</v>
      </c>
      <c r="C772" t="s">
        <v>18</v>
      </c>
      <c r="D772" s="3">
        <v>96182</v>
      </c>
      <c r="E772">
        <v>44</v>
      </c>
      <c r="F772">
        <v>4</v>
      </c>
      <c r="G772">
        <v>8</v>
      </c>
      <c r="H772" t="s">
        <v>16</v>
      </c>
      <c r="I772">
        <v>509.31</v>
      </c>
      <c r="J772" t="str">
        <f t="shared" si="12"/>
        <v>Medium</v>
      </c>
    </row>
    <row r="773" spans="1:10" x14ac:dyDescent="0.25">
      <c r="A773">
        <v>328</v>
      </c>
      <c r="B773">
        <v>41</v>
      </c>
      <c r="C773" t="s">
        <v>18</v>
      </c>
      <c r="D773" s="3">
        <v>64634</v>
      </c>
      <c r="E773">
        <v>55</v>
      </c>
      <c r="F773">
        <v>9</v>
      </c>
      <c r="G773">
        <v>44</v>
      </c>
      <c r="H773" t="s">
        <v>16</v>
      </c>
      <c r="I773">
        <v>488.07</v>
      </c>
      <c r="J773" t="str">
        <f t="shared" si="12"/>
        <v>Medium</v>
      </c>
    </row>
    <row r="774" spans="1:10" x14ac:dyDescent="0.25">
      <c r="A774">
        <v>375</v>
      </c>
      <c r="B774">
        <v>33</v>
      </c>
      <c r="C774" t="s">
        <v>18</v>
      </c>
      <c r="D774" s="3">
        <v>58367</v>
      </c>
      <c r="E774">
        <v>11</v>
      </c>
      <c r="F774">
        <v>4</v>
      </c>
      <c r="G774">
        <v>29</v>
      </c>
      <c r="H774" t="s">
        <v>16</v>
      </c>
      <c r="I774">
        <v>826.87</v>
      </c>
      <c r="J774" t="str">
        <f t="shared" si="12"/>
        <v>Low</v>
      </c>
    </row>
    <row r="775" spans="1:10" x14ac:dyDescent="0.25">
      <c r="A775">
        <v>399</v>
      </c>
      <c r="B775">
        <v>19</v>
      </c>
      <c r="C775" t="s">
        <v>18</v>
      </c>
      <c r="D775" s="3">
        <v>69790</v>
      </c>
      <c r="E775">
        <v>3</v>
      </c>
      <c r="F775">
        <v>9</v>
      </c>
      <c r="G775">
        <v>38</v>
      </c>
      <c r="H775" t="s">
        <v>16</v>
      </c>
      <c r="I775">
        <v>596.63</v>
      </c>
      <c r="J775" t="str">
        <f t="shared" si="12"/>
        <v>Low</v>
      </c>
    </row>
    <row r="776" spans="1:10" x14ac:dyDescent="0.25">
      <c r="A776">
        <v>414</v>
      </c>
      <c r="B776">
        <v>69</v>
      </c>
      <c r="C776" t="s">
        <v>18</v>
      </c>
      <c r="D776" s="3">
        <v>117737</v>
      </c>
      <c r="E776">
        <v>6</v>
      </c>
      <c r="F776">
        <v>4</v>
      </c>
      <c r="G776">
        <v>9</v>
      </c>
      <c r="H776" t="s">
        <v>16</v>
      </c>
      <c r="I776">
        <v>877.51</v>
      </c>
      <c r="J776" t="str">
        <f t="shared" si="12"/>
        <v>Low</v>
      </c>
    </row>
    <row r="777" spans="1:10" x14ac:dyDescent="0.25">
      <c r="A777">
        <v>445</v>
      </c>
      <c r="B777">
        <v>62</v>
      </c>
      <c r="C777" t="s">
        <v>18</v>
      </c>
      <c r="D777" s="3">
        <v>75974</v>
      </c>
      <c r="E777">
        <v>68</v>
      </c>
      <c r="F777">
        <v>4</v>
      </c>
      <c r="G777">
        <v>46</v>
      </c>
      <c r="H777" t="s">
        <v>16</v>
      </c>
      <c r="I777">
        <v>180.09</v>
      </c>
      <c r="J777" t="str">
        <f t="shared" si="12"/>
        <v>High</v>
      </c>
    </row>
    <row r="778" spans="1:10" x14ac:dyDescent="0.25">
      <c r="A778">
        <v>474</v>
      </c>
      <c r="B778">
        <v>54</v>
      </c>
      <c r="C778" t="s">
        <v>18</v>
      </c>
      <c r="D778" s="3">
        <v>111261</v>
      </c>
      <c r="E778">
        <v>56</v>
      </c>
      <c r="F778">
        <v>1</v>
      </c>
      <c r="G778">
        <v>44</v>
      </c>
      <c r="H778" t="s">
        <v>16</v>
      </c>
      <c r="I778">
        <v>216.09</v>
      </c>
      <c r="J778" t="str">
        <f t="shared" si="12"/>
        <v>Medium</v>
      </c>
    </row>
    <row r="779" spans="1:10" x14ac:dyDescent="0.25">
      <c r="A779">
        <v>483</v>
      </c>
      <c r="B779">
        <v>44</v>
      </c>
      <c r="C779" t="s">
        <v>18</v>
      </c>
      <c r="D779" s="3">
        <v>43069</v>
      </c>
      <c r="E779">
        <v>55</v>
      </c>
      <c r="F779">
        <v>6</v>
      </c>
      <c r="G779">
        <v>33</v>
      </c>
      <c r="H779" t="s">
        <v>16</v>
      </c>
      <c r="I779">
        <v>501.34</v>
      </c>
      <c r="J779" t="str">
        <f t="shared" si="12"/>
        <v>Medium</v>
      </c>
    </row>
    <row r="780" spans="1:10" x14ac:dyDescent="0.25">
      <c r="A780">
        <v>491</v>
      </c>
      <c r="B780">
        <v>22</v>
      </c>
      <c r="C780" t="s">
        <v>18</v>
      </c>
      <c r="D780" s="3">
        <v>46900</v>
      </c>
      <c r="E780">
        <v>70</v>
      </c>
      <c r="F780">
        <v>1</v>
      </c>
      <c r="G780">
        <v>24</v>
      </c>
      <c r="H780" t="s">
        <v>16</v>
      </c>
      <c r="I780">
        <v>325.45999999999998</v>
      </c>
      <c r="J780" t="str">
        <f t="shared" si="12"/>
        <v>High</v>
      </c>
    </row>
    <row r="781" spans="1:10" x14ac:dyDescent="0.25">
      <c r="A781">
        <v>518</v>
      </c>
      <c r="B781">
        <v>45</v>
      </c>
      <c r="C781" t="s">
        <v>18</v>
      </c>
      <c r="D781" s="3">
        <v>110280</v>
      </c>
      <c r="E781">
        <v>85</v>
      </c>
      <c r="F781">
        <v>4</v>
      </c>
      <c r="G781">
        <v>21</v>
      </c>
      <c r="H781" t="s">
        <v>16</v>
      </c>
      <c r="I781">
        <v>944.07</v>
      </c>
      <c r="J781" t="str">
        <f t="shared" si="12"/>
        <v>High</v>
      </c>
    </row>
    <row r="782" spans="1:10" x14ac:dyDescent="0.25">
      <c r="A782">
        <v>543</v>
      </c>
      <c r="B782">
        <v>68</v>
      </c>
      <c r="C782" t="s">
        <v>18</v>
      </c>
      <c r="D782" s="3">
        <v>40478</v>
      </c>
      <c r="E782">
        <v>22</v>
      </c>
      <c r="F782">
        <v>4</v>
      </c>
      <c r="G782">
        <v>46</v>
      </c>
      <c r="H782" t="s">
        <v>16</v>
      </c>
      <c r="I782">
        <v>954.91</v>
      </c>
      <c r="J782" t="str">
        <f t="shared" si="12"/>
        <v>Low</v>
      </c>
    </row>
    <row r="783" spans="1:10" x14ac:dyDescent="0.25">
      <c r="A783">
        <v>556</v>
      </c>
      <c r="B783">
        <v>25</v>
      </c>
      <c r="C783" t="s">
        <v>18</v>
      </c>
      <c r="D783" s="3">
        <v>52403</v>
      </c>
      <c r="E783">
        <v>53</v>
      </c>
      <c r="F783">
        <v>1</v>
      </c>
      <c r="G783">
        <v>14</v>
      </c>
      <c r="H783" t="s">
        <v>16</v>
      </c>
      <c r="I783">
        <v>73.34</v>
      </c>
      <c r="J783" t="str">
        <f t="shared" si="12"/>
        <v>Medium</v>
      </c>
    </row>
    <row r="784" spans="1:10" x14ac:dyDescent="0.25">
      <c r="A784">
        <v>569</v>
      </c>
      <c r="B784">
        <v>29</v>
      </c>
      <c r="C784" t="s">
        <v>18</v>
      </c>
      <c r="D784" s="3">
        <v>59815</v>
      </c>
      <c r="E784">
        <v>43</v>
      </c>
      <c r="F784">
        <v>6</v>
      </c>
      <c r="G784">
        <v>24</v>
      </c>
      <c r="H784" t="s">
        <v>16</v>
      </c>
      <c r="I784">
        <v>105.48</v>
      </c>
      <c r="J784" t="str">
        <f t="shared" si="12"/>
        <v>Medium</v>
      </c>
    </row>
    <row r="785" spans="1:10" x14ac:dyDescent="0.25">
      <c r="A785">
        <v>573</v>
      </c>
      <c r="B785">
        <v>40</v>
      </c>
      <c r="C785" t="s">
        <v>18</v>
      </c>
      <c r="D785" s="3">
        <v>143338</v>
      </c>
      <c r="E785">
        <v>6</v>
      </c>
      <c r="F785">
        <v>8</v>
      </c>
      <c r="G785">
        <v>26</v>
      </c>
      <c r="H785" t="s">
        <v>16</v>
      </c>
      <c r="I785">
        <v>491.07</v>
      </c>
      <c r="J785" t="str">
        <f t="shared" si="12"/>
        <v>Low</v>
      </c>
    </row>
    <row r="786" spans="1:10" x14ac:dyDescent="0.25">
      <c r="A786">
        <v>577</v>
      </c>
      <c r="B786">
        <v>32</v>
      </c>
      <c r="C786" t="s">
        <v>18</v>
      </c>
      <c r="D786" s="3">
        <v>46610</v>
      </c>
      <c r="E786">
        <v>92</v>
      </c>
      <c r="F786">
        <v>5</v>
      </c>
      <c r="G786">
        <v>9</v>
      </c>
      <c r="H786" t="s">
        <v>16</v>
      </c>
      <c r="I786">
        <v>409.85</v>
      </c>
      <c r="J786" t="str">
        <f t="shared" si="12"/>
        <v>High</v>
      </c>
    </row>
    <row r="787" spans="1:10" x14ac:dyDescent="0.25">
      <c r="A787">
        <v>580</v>
      </c>
      <c r="B787">
        <v>51</v>
      </c>
      <c r="C787" t="s">
        <v>18</v>
      </c>
      <c r="D787" s="3">
        <v>149744</v>
      </c>
      <c r="E787">
        <v>99</v>
      </c>
      <c r="F787">
        <v>1</v>
      </c>
      <c r="G787">
        <v>12</v>
      </c>
      <c r="H787" t="s">
        <v>16</v>
      </c>
      <c r="I787">
        <v>215.92</v>
      </c>
      <c r="J787" t="str">
        <f t="shared" si="12"/>
        <v>High</v>
      </c>
    </row>
    <row r="788" spans="1:10" x14ac:dyDescent="0.25">
      <c r="A788">
        <v>601</v>
      </c>
      <c r="B788">
        <v>53</v>
      </c>
      <c r="C788" t="s">
        <v>18</v>
      </c>
      <c r="D788" s="3">
        <v>137854</v>
      </c>
      <c r="E788">
        <v>33</v>
      </c>
      <c r="F788">
        <v>10</v>
      </c>
      <c r="G788">
        <v>47</v>
      </c>
      <c r="H788" t="s">
        <v>16</v>
      </c>
      <c r="I788">
        <v>523.27</v>
      </c>
      <c r="J788" t="str">
        <f t="shared" si="12"/>
        <v>Medium</v>
      </c>
    </row>
    <row r="789" spans="1:10" x14ac:dyDescent="0.25">
      <c r="A789">
        <v>631</v>
      </c>
      <c r="B789">
        <v>47</v>
      </c>
      <c r="C789" t="s">
        <v>18</v>
      </c>
      <c r="D789" s="3">
        <v>108766</v>
      </c>
      <c r="E789">
        <v>37</v>
      </c>
      <c r="F789">
        <v>7</v>
      </c>
      <c r="G789">
        <v>38</v>
      </c>
      <c r="H789" t="s">
        <v>16</v>
      </c>
      <c r="I789">
        <v>640.54999999999995</v>
      </c>
      <c r="J789" t="str">
        <f t="shared" si="12"/>
        <v>Medium</v>
      </c>
    </row>
    <row r="790" spans="1:10" x14ac:dyDescent="0.25">
      <c r="A790">
        <v>648</v>
      </c>
      <c r="B790">
        <v>43</v>
      </c>
      <c r="C790" t="s">
        <v>18</v>
      </c>
      <c r="D790" s="3">
        <v>67979</v>
      </c>
      <c r="E790">
        <v>49</v>
      </c>
      <c r="F790">
        <v>2</v>
      </c>
      <c r="G790">
        <v>6</v>
      </c>
      <c r="H790" t="s">
        <v>16</v>
      </c>
      <c r="I790">
        <v>420.03</v>
      </c>
      <c r="J790" t="str">
        <f t="shared" si="12"/>
        <v>Medium</v>
      </c>
    </row>
    <row r="791" spans="1:10" x14ac:dyDescent="0.25">
      <c r="A791">
        <v>663</v>
      </c>
      <c r="B791">
        <v>30</v>
      </c>
      <c r="C791" t="s">
        <v>18</v>
      </c>
      <c r="D791" s="3">
        <v>76658</v>
      </c>
      <c r="E791">
        <v>70</v>
      </c>
      <c r="F791">
        <v>3</v>
      </c>
      <c r="G791">
        <v>32</v>
      </c>
      <c r="H791" t="s">
        <v>16</v>
      </c>
      <c r="I791">
        <v>760.27</v>
      </c>
      <c r="J791" t="str">
        <f t="shared" si="12"/>
        <v>High</v>
      </c>
    </row>
    <row r="792" spans="1:10" x14ac:dyDescent="0.25">
      <c r="A792">
        <v>676</v>
      </c>
      <c r="B792">
        <v>64</v>
      </c>
      <c r="C792" t="s">
        <v>18</v>
      </c>
      <c r="D792" s="3">
        <v>48169</v>
      </c>
      <c r="E792">
        <v>39</v>
      </c>
      <c r="F792">
        <v>5</v>
      </c>
      <c r="G792">
        <v>33</v>
      </c>
      <c r="H792" t="s">
        <v>16</v>
      </c>
      <c r="I792">
        <v>451.86</v>
      </c>
      <c r="J792" t="str">
        <f t="shared" si="12"/>
        <v>Medium</v>
      </c>
    </row>
    <row r="793" spans="1:10" x14ac:dyDescent="0.25">
      <c r="A793">
        <v>677</v>
      </c>
      <c r="B793">
        <v>51</v>
      </c>
      <c r="C793" t="s">
        <v>18</v>
      </c>
      <c r="D793" s="3">
        <v>146159</v>
      </c>
      <c r="E793">
        <v>99</v>
      </c>
      <c r="F793">
        <v>7</v>
      </c>
      <c r="G793">
        <v>38</v>
      </c>
      <c r="H793" t="s">
        <v>16</v>
      </c>
      <c r="I793">
        <v>808.89</v>
      </c>
      <c r="J793" t="str">
        <f t="shared" si="12"/>
        <v>High</v>
      </c>
    </row>
    <row r="794" spans="1:10" x14ac:dyDescent="0.25">
      <c r="A794">
        <v>693</v>
      </c>
      <c r="B794">
        <v>28</v>
      </c>
      <c r="C794" t="s">
        <v>18</v>
      </c>
      <c r="D794" s="3">
        <v>142450</v>
      </c>
      <c r="E794">
        <v>80</v>
      </c>
      <c r="F794">
        <v>3</v>
      </c>
      <c r="G794">
        <v>22</v>
      </c>
      <c r="H794" t="s">
        <v>16</v>
      </c>
      <c r="I794">
        <v>471.87</v>
      </c>
      <c r="J794" t="str">
        <f t="shared" si="12"/>
        <v>High</v>
      </c>
    </row>
    <row r="795" spans="1:10" x14ac:dyDescent="0.25">
      <c r="A795">
        <v>731</v>
      </c>
      <c r="B795">
        <v>53</v>
      </c>
      <c r="C795" t="s">
        <v>18</v>
      </c>
      <c r="D795" s="3">
        <v>52855</v>
      </c>
      <c r="E795">
        <v>12</v>
      </c>
      <c r="F795">
        <v>5</v>
      </c>
      <c r="G795">
        <v>33</v>
      </c>
      <c r="H795" t="s">
        <v>16</v>
      </c>
      <c r="I795">
        <v>444.09</v>
      </c>
      <c r="J795" t="str">
        <f t="shared" si="12"/>
        <v>Low</v>
      </c>
    </row>
    <row r="796" spans="1:10" x14ac:dyDescent="0.25">
      <c r="A796">
        <v>745</v>
      </c>
      <c r="B796">
        <v>30</v>
      </c>
      <c r="C796" t="s">
        <v>18</v>
      </c>
      <c r="D796" s="3">
        <v>64288</v>
      </c>
      <c r="E796">
        <v>93</v>
      </c>
      <c r="F796">
        <v>9</v>
      </c>
      <c r="G796">
        <v>43</v>
      </c>
      <c r="H796" t="s">
        <v>16</v>
      </c>
      <c r="I796">
        <v>825.85</v>
      </c>
      <c r="J796" t="str">
        <f t="shared" si="12"/>
        <v>High</v>
      </c>
    </row>
    <row r="797" spans="1:10" x14ac:dyDescent="0.25">
      <c r="A797">
        <v>748</v>
      </c>
      <c r="B797">
        <v>57</v>
      </c>
      <c r="C797" t="s">
        <v>18</v>
      </c>
      <c r="D797" s="3">
        <v>58696</v>
      </c>
      <c r="E797">
        <v>69</v>
      </c>
      <c r="F797">
        <v>4</v>
      </c>
      <c r="G797">
        <v>29</v>
      </c>
      <c r="H797" t="s">
        <v>16</v>
      </c>
      <c r="I797">
        <v>570.87</v>
      </c>
      <c r="J797" t="str">
        <f t="shared" si="12"/>
        <v>High</v>
      </c>
    </row>
    <row r="798" spans="1:10" x14ac:dyDescent="0.25">
      <c r="A798">
        <v>773</v>
      </c>
      <c r="B798">
        <v>51</v>
      </c>
      <c r="C798" t="s">
        <v>18</v>
      </c>
      <c r="D798" s="3">
        <v>70099</v>
      </c>
      <c r="E798">
        <v>42</v>
      </c>
      <c r="F798">
        <v>7</v>
      </c>
      <c r="G798">
        <v>12</v>
      </c>
      <c r="H798" t="s">
        <v>16</v>
      </c>
      <c r="I798">
        <v>481.56</v>
      </c>
      <c r="J798" t="str">
        <f t="shared" si="12"/>
        <v>Medium</v>
      </c>
    </row>
    <row r="799" spans="1:10" x14ac:dyDescent="0.25">
      <c r="A799">
        <v>776</v>
      </c>
      <c r="B799">
        <v>31</v>
      </c>
      <c r="C799" t="s">
        <v>18</v>
      </c>
      <c r="D799" s="3">
        <v>123947</v>
      </c>
      <c r="E799">
        <v>25</v>
      </c>
      <c r="F799">
        <v>2</v>
      </c>
      <c r="G799">
        <v>39</v>
      </c>
      <c r="H799" t="s">
        <v>16</v>
      </c>
      <c r="I799">
        <v>355.67</v>
      </c>
      <c r="J799" t="str">
        <f t="shared" si="12"/>
        <v>Low</v>
      </c>
    </row>
    <row r="800" spans="1:10" x14ac:dyDescent="0.25">
      <c r="A800">
        <v>804</v>
      </c>
      <c r="B800">
        <v>59</v>
      </c>
      <c r="C800" t="s">
        <v>18</v>
      </c>
      <c r="D800" s="3">
        <v>58656</v>
      </c>
      <c r="E800">
        <v>47</v>
      </c>
      <c r="F800">
        <v>6</v>
      </c>
      <c r="G800">
        <v>6</v>
      </c>
      <c r="H800" t="s">
        <v>16</v>
      </c>
      <c r="I800">
        <v>246.07</v>
      </c>
      <c r="J800" t="str">
        <f t="shared" si="12"/>
        <v>Medium</v>
      </c>
    </row>
    <row r="801" spans="1:10" x14ac:dyDescent="0.25">
      <c r="A801">
        <v>817</v>
      </c>
      <c r="B801">
        <v>37</v>
      </c>
      <c r="C801" t="s">
        <v>18</v>
      </c>
      <c r="D801" s="3">
        <v>115734</v>
      </c>
      <c r="E801">
        <v>87</v>
      </c>
      <c r="F801">
        <v>2</v>
      </c>
      <c r="G801">
        <v>50</v>
      </c>
      <c r="H801" t="s">
        <v>16</v>
      </c>
      <c r="I801">
        <v>646.4</v>
      </c>
      <c r="J801" t="str">
        <f t="shared" si="12"/>
        <v>High</v>
      </c>
    </row>
    <row r="802" spans="1:10" x14ac:dyDescent="0.25">
      <c r="A802">
        <v>822</v>
      </c>
      <c r="B802">
        <v>26</v>
      </c>
      <c r="C802" t="s">
        <v>18</v>
      </c>
      <c r="D802" s="3">
        <v>34901</v>
      </c>
      <c r="E802">
        <v>31</v>
      </c>
      <c r="F802">
        <v>7</v>
      </c>
      <c r="G802">
        <v>9</v>
      </c>
      <c r="H802" t="s">
        <v>16</v>
      </c>
      <c r="I802">
        <v>667.8</v>
      </c>
      <c r="J802" t="str">
        <f t="shared" si="12"/>
        <v>Low</v>
      </c>
    </row>
    <row r="803" spans="1:10" x14ac:dyDescent="0.25">
      <c r="A803">
        <v>835</v>
      </c>
      <c r="B803">
        <v>41</v>
      </c>
      <c r="C803" t="s">
        <v>18</v>
      </c>
      <c r="D803" s="3">
        <v>68147</v>
      </c>
      <c r="E803">
        <v>75</v>
      </c>
      <c r="F803">
        <v>2</v>
      </c>
      <c r="G803">
        <v>33</v>
      </c>
      <c r="H803" t="s">
        <v>16</v>
      </c>
      <c r="I803">
        <v>553.35</v>
      </c>
      <c r="J803" t="str">
        <f t="shared" si="12"/>
        <v>High</v>
      </c>
    </row>
    <row r="804" spans="1:10" x14ac:dyDescent="0.25">
      <c r="A804">
        <v>837</v>
      </c>
      <c r="B804">
        <v>69</v>
      </c>
      <c r="C804" t="s">
        <v>18</v>
      </c>
      <c r="D804" s="3">
        <v>106629</v>
      </c>
      <c r="E804">
        <v>4</v>
      </c>
      <c r="F804">
        <v>7</v>
      </c>
      <c r="G804">
        <v>9</v>
      </c>
      <c r="H804" t="s">
        <v>16</v>
      </c>
      <c r="I804">
        <v>443.22</v>
      </c>
      <c r="J804" t="str">
        <f t="shared" si="12"/>
        <v>Low</v>
      </c>
    </row>
    <row r="805" spans="1:10" x14ac:dyDescent="0.25">
      <c r="A805">
        <v>840</v>
      </c>
      <c r="B805">
        <v>58</v>
      </c>
      <c r="C805" t="s">
        <v>18</v>
      </c>
      <c r="D805" s="3">
        <v>68764</v>
      </c>
      <c r="E805">
        <v>96</v>
      </c>
      <c r="F805">
        <v>6</v>
      </c>
      <c r="G805">
        <v>31</v>
      </c>
      <c r="H805" t="s">
        <v>16</v>
      </c>
      <c r="I805">
        <v>723.66</v>
      </c>
      <c r="J805" t="str">
        <f t="shared" si="12"/>
        <v>High</v>
      </c>
    </row>
    <row r="806" spans="1:10" x14ac:dyDescent="0.25">
      <c r="A806">
        <v>852</v>
      </c>
      <c r="B806">
        <v>64</v>
      </c>
      <c r="C806" t="s">
        <v>18</v>
      </c>
      <c r="D806" s="3">
        <v>63123</v>
      </c>
      <c r="E806">
        <v>88</v>
      </c>
      <c r="F806">
        <v>1</v>
      </c>
      <c r="G806">
        <v>16</v>
      </c>
      <c r="H806" t="s">
        <v>16</v>
      </c>
      <c r="I806">
        <v>330.95</v>
      </c>
      <c r="J806" t="str">
        <f t="shared" si="12"/>
        <v>High</v>
      </c>
    </row>
    <row r="807" spans="1:10" x14ac:dyDescent="0.25">
      <c r="A807">
        <v>854</v>
      </c>
      <c r="B807">
        <v>27</v>
      </c>
      <c r="C807" t="s">
        <v>18</v>
      </c>
      <c r="D807" s="3">
        <v>40595</v>
      </c>
      <c r="E807">
        <v>84</v>
      </c>
      <c r="F807">
        <v>6</v>
      </c>
      <c r="G807">
        <v>15</v>
      </c>
      <c r="H807" t="s">
        <v>16</v>
      </c>
      <c r="I807">
        <v>268.76</v>
      </c>
      <c r="J807" t="str">
        <f t="shared" si="12"/>
        <v>High</v>
      </c>
    </row>
    <row r="808" spans="1:10" x14ac:dyDescent="0.25">
      <c r="A808">
        <v>881</v>
      </c>
      <c r="B808">
        <v>47</v>
      </c>
      <c r="C808" t="s">
        <v>18</v>
      </c>
      <c r="D808" s="3">
        <v>133264</v>
      </c>
      <c r="E808">
        <v>93</v>
      </c>
      <c r="F808">
        <v>2</v>
      </c>
      <c r="G808">
        <v>21</v>
      </c>
      <c r="H808" t="s">
        <v>16</v>
      </c>
      <c r="I808">
        <v>11.01</v>
      </c>
      <c r="J808" t="str">
        <f t="shared" si="12"/>
        <v>High</v>
      </c>
    </row>
    <row r="809" spans="1:10" x14ac:dyDescent="0.25">
      <c r="A809">
        <v>904</v>
      </c>
      <c r="B809">
        <v>64</v>
      </c>
      <c r="C809" t="s">
        <v>18</v>
      </c>
      <c r="D809" s="3">
        <v>122557</v>
      </c>
      <c r="E809">
        <v>87</v>
      </c>
      <c r="F809">
        <v>2</v>
      </c>
      <c r="G809">
        <v>5</v>
      </c>
      <c r="H809" t="s">
        <v>16</v>
      </c>
      <c r="I809">
        <v>344.59</v>
      </c>
      <c r="J809" t="str">
        <f t="shared" si="12"/>
        <v>High</v>
      </c>
    </row>
    <row r="810" spans="1:10" x14ac:dyDescent="0.25">
      <c r="A810">
        <v>909</v>
      </c>
      <c r="B810">
        <v>27</v>
      </c>
      <c r="C810" t="s">
        <v>18</v>
      </c>
      <c r="D810" s="3">
        <v>89618</v>
      </c>
      <c r="E810">
        <v>49</v>
      </c>
      <c r="F810">
        <v>8</v>
      </c>
      <c r="G810">
        <v>12</v>
      </c>
      <c r="H810" t="s">
        <v>16</v>
      </c>
      <c r="I810">
        <v>831.05</v>
      </c>
      <c r="J810" t="str">
        <f t="shared" si="12"/>
        <v>Medium</v>
      </c>
    </row>
    <row r="811" spans="1:10" x14ac:dyDescent="0.25">
      <c r="A811">
        <v>918</v>
      </c>
      <c r="B811">
        <v>36</v>
      </c>
      <c r="C811" t="s">
        <v>18</v>
      </c>
      <c r="D811" s="3">
        <v>45458</v>
      </c>
      <c r="E811">
        <v>74</v>
      </c>
      <c r="F811">
        <v>6</v>
      </c>
      <c r="G811">
        <v>19</v>
      </c>
      <c r="H811" t="s">
        <v>16</v>
      </c>
      <c r="I811">
        <v>135.22999999999999</v>
      </c>
      <c r="J811" t="str">
        <f t="shared" si="12"/>
        <v>High</v>
      </c>
    </row>
    <row r="812" spans="1:10" x14ac:dyDescent="0.25">
      <c r="A812">
        <v>926</v>
      </c>
      <c r="B812">
        <v>39</v>
      </c>
      <c r="C812" t="s">
        <v>18</v>
      </c>
      <c r="D812" s="3">
        <v>53091</v>
      </c>
      <c r="E812">
        <v>41</v>
      </c>
      <c r="F812">
        <v>9</v>
      </c>
      <c r="G812">
        <v>3</v>
      </c>
      <c r="H812" t="s">
        <v>16</v>
      </c>
      <c r="I812">
        <v>12.45</v>
      </c>
      <c r="J812" t="str">
        <f t="shared" si="12"/>
        <v>Medium</v>
      </c>
    </row>
    <row r="813" spans="1:10" x14ac:dyDescent="0.25">
      <c r="A813">
        <v>952</v>
      </c>
      <c r="B813">
        <v>29</v>
      </c>
      <c r="C813" t="s">
        <v>18</v>
      </c>
      <c r="D813" s="3">
        <v>45164</v>
      </c>
      <c r="E813">
        <v>54</v>
      </c>
      <c r="F813">
        <v>8</v>
      </c>
      <c r="G813">
        <v>45</v>
      </c>
      <c r="H813" t="s">
        <v>16</v>
      </c>
      <c r="I813">
        <v>915.62</v>
      </c>
      <c r="J813" t="str">
        <f t="shared" si="12"/>
        <v>Medium</v>
      </c>
    </row>
    <row r="814" spans="1:10" x14ac:dyDescent="0.25">
      <c r="A814">
        <v>957</v>
      </c>
      <c r="B814">
        <v>60</v>
      </c>
      <c r="C814" t="s">
        <v>18</v>
      </c>
      <c r="D814" s="3">
        <v>56429</v>
      </c>
      <c r="E814">
        <v>69</v>
      </c>
      <c r="F814">
        <v>9</v>
      </c>
      <c r="G814">
        <v>32</v>
      </c>
      <c r="H814" t="s">
        <v>16</v>
      </c>
      <c r="I814">
        <v>894.95</v>
      </c>
      <c r="J814" t="str">
        <f t="shared" si="12"/>
        <v>High</v>
      </c>
    </row>
    <row r="815" spans="1:10" x14ac:dyDescent="0.25">
      <c r="A815">
        <v>959</v>
      </c>
      <c r="B815">
        <v>38</v>
      </c>
      <c r="C815" t="s">
        <v>18</v>
      </c>
      <c r="D815" s="3">
        <v>99054</v>
      </c>
      <c r="E815">
        <v>59</v>
      </c>
      <c r="F815">
        <v>6</v>
      </c>
      <c r="G815">
        <v>4</v>
      </c>
      <c r="H815" t="s">
        <v>16</v>
      </c>
      <c r="I815">
        <v>174.22</v>
      </c>
      <c r="J815" t="str">
        <f t="shared" si="12"/>
        <v>Medium</v>
      </c>
    </row>
    <row r="816" spans="1:10" x14ac:dyDescent="0.25">
      <c r="A816">
        <v>963</v>
      </c>
      <c r="B816">
        <v>66</v>
      </c>
      <c r="C816" t="s">
        <v>18</v>
      </c>
      <c r="D816" s="3">
        <v>72885</v>
      </c>
      <c r="E816">
        <v>1</v>
      </c>
      <c r="F816">
        <v>9</v>
      </c>
      <c r="G816">
        <v>33</v>
      </c>
      <c r="H816" t="s">
        <v>16</v>
      </c>
      <c r="I816">
        <v>654.48</v>
      </c>
      <c r="J816" t="str">
        <f t="shared" si="12"/>
        <v>Low</v>
      </c>
    </row>
    <row r="817" spans="1:10" x14ac:dyDescent="0.25">
      <c r="A817">
        <v>968</v>
      </c>
      <c r="B817">
        <v>23</v>
      </c>
      <c r="C817" t="s">
        <v>18</v>
      </c>
      <c r="D817" s="3">
        <v>74773</v>
      </c>
      <c r="E817">
        <v>16</v>
      </c>
      <c r="F817">
        <v>2</v>
      </c>
      <c r="G817">
        <v>42</v>
      </c>
      <c r="H817" t="s">
        <v>16</v>
      </c>
      <c r="I817">
        <v>626.04999999999995</v>
      </c>
      <c r="J817" t="str">
        <f t="shared" si="12"/>
        <v>Low</v>
      </c>
    </row>
    <row r="818" spans="1:10" x14ac:dyDescent="0.25">
      <c r="A818">
        <v>970</v>
      </c>
      <c r="B818">
        <v>68</v>
      </c>
      <c r="C818" t="s">
        <v>18</v>
      </c>
      <c r="D818" s="3">
        <v>40471</v>
      </c>
      <c r="E818">
        <v>28</v>
      </c>
      <c r="F818">
        <v>3</v>
      </c>
      <c r="G818">
        <v>33</v>
      </c>
      <c r="H818" t="s">
        <v>16</v>
      </c>
      <c r="I818">
        <v>40.89</v>
      </c>
      <c r="J818" t="str">
        <f t="shared" si="12"/>
        <v>Low</v>
      </c>
    </row>
    <row r="819" spans="1:10" x14ac:dyDescent="0.25">
      <c r="A819">
        <v>1000</v>
      </c>
      <c r="B819">
        <v>36</v>
      </c>
      <c r="C819" t="s">
        <v>18</v>
      </c>
      <c r="D819" s="3">
        <v>90420</v>
      </c>
      <c r="E819">
        <v>7</v>
      </c>
      <c r="F819">
        <v>2</v>
      </c>
      <c r="G819">
        <v>31</v>
      </c>
      <c r="H819" t="s">
        <v>16</v>
      </c>
      <c r="I819">
        <v>669.26</v>
      </c>
      <c r="J819" t="str">
        <f t="shared" si="12"/>
        <v>Low</v>
      </c>
    </row>
    <row r="820" spans="1:10" x14ac:dyDescent="0.25">
      <c r="A820">
        <v>5</v>
      </c>
      <c r="B820">
        <v>65</v>
      </c>
      <c r="C820" t="s">
        <v>18</v>
      </c>
      <c r="D820" s="3">
        <v>140621</v>
      </c>
      <c r="E820">
        <v>21</v>
      </c>
      <c r="F820">
        <v>3</v>
      </c>
      <c r="G820">
        <v>25</v>
      </c>
      <c r="H820" t="s">
        <v>14</v>
      </c>
      <c r="I820">
        <v>347.08</v>
      </c>
      <c r="J820" t="str">
        <f t="shared" si="12"/>
        <v>Low</v>
      </c>
    </row>
    <row r="821" spans="1:10" x14ac:dyDescent="0.25">
      <c r="A821">
        <v>10</v>
      </c>
      <c r="B821">
        <v>55</v>
      </c>
      <c r="C821" t="s">
        <v>18</v>
      </c>
      <c r="D821" s="3">
        <v>45839</v>
      </c>
      <c r="E821">
        <v>55</v>
      </c>
      <c r="F821">
        <v>7</v>
      </c>
      <c r="G821">
        <v>2</v>
      </c>
      <c r="H821" t="s">
        <v>14</v>
      </c>
      <c r="I821">
        <v>821.18</v>
      </c>
      <c r="J821" t="str">
        <f t="shared" si="12"/>
        <v>Medium</v>
      </c>
    </row>
    <row r="822" spans="1:10" x14ac:dyDescent="0.25">
      <c r="A822">
        <v>32</v>
      </c>
      <c r="B822">
        <v>60</v>
      </c>
      <c r="C822" t="s">
        <v>18</v>
      </c>
      <c r="D822" s="3">
        <v>45733</v>
      </c>
      <c r="E822">
        <v>69</v>
      </c>
      <c r="F822">
        <v>2</v>
      </c>
      <c r="G822">
        <v>18</v>
      </c>
      <c r="H822" t="s">
        <v>14</v>
      </c>
      <c r="I822">
        <v>197.29</v>
      </c>
      <c r="J822" t="str">
        <f t="shared" si="12"/>
        <v>High</v>
      </c>
    </row>
    <row r="823" spans="1:10" x14ac:dyDescent="0.25">
      <c r="A823">
        <v>59</v>
      </c>
      <c r="B823">
        <v>43</v>
      </c>
      <c r="C823" t="s">
        <v>18</v>
      </c>
      <c r="D823" s="3">
        <v>81595</v>
      </c>
      <c r="E823">
        <v>12</v>
      </c>
      <c r="F823">
        <v>7</v>
      </c>
      <c r="G823">
        <v>1</v>
      </c>
      <c r="H823" t="s">
        <v>14</v>
      </c>
      <c r="I823">
        <v>806.26</v>
      </c>
      <c r="J823" t="str">
        <f t="shared" si="12"/>
        <v>Low</v>
      </c>
    </row>
    <row r="824" spans="1:10" x14ac:dyDescent="0.25">
      <c r="A824">
        <v>64</v>
      </c>
      <c r="B824">
        <v>50</v>
      </c>
      <c r="C824" t="s">
        <v>18</v>
      </c>
      <c r="D824" s="3">
        <v>85111</v>
      </c>
      <c r="E824">
        <v>31</v>
      </c>
      <c r="F824">
        <v>1</v>
      </c>
      <c r="G824">
        <v>19</v>
      </c>
      <c r="H824" t="s">
        <v>14</v>
      </c>
      <c r="I824">
        <v>319.05</v>
      </c>
      <c r="J824" t="str">
        <f t="shared" si="12"/>
        <v>Low</v>
      </c>
    </row>
    <row r="825" spans="1:10" x14ac:dyDescent="0.25">
      <c r="A825">
        <v>67</v>
      </c>
      <c r="B825">
        <v>36</v>
      </c>
      <c r="C825" t="s">
        <v>18</v>
      </c>
      <c r="D825" s="3">
        <v>127346</v>
      </c>
      <c r="E825">
        <v>75</v>
      </c>
      <c r="F825">
        <v>5</v>
      </c>
      <c r="G825">
        <v>7</v>
      </c>
      <c r="H825" t="s">
        <v>14</v>
      </c>
      <c r="I825">
        <v>335.98</v>
      </c>
      <c r="J825" t="str">
        <f t="shared" si="12"/>
        <v>High</v>
      </c>
    </row>
    <row r="826" spans="1:10" x14ac:dyDescent="0.25">
      <c r="A826">
        <v>71</v>
      </c>
      <c r="B826">
        <v>23</v>
      </c>
      <c r="C826" t="s">
        <v>18</v>
      </c>
      <c r="D826" s="3">
        <v>66376</v>
      </c>
      <c r="E826">
        <v>60</v>
      </c>
      <c r="F826">
        <v>1</v>
      </c>
      <c r="G826">
        <v>18</v>
      </c>
      <c r="H826" t="s">
        <v>14</v>
      </c>
      <c r="I826">
        <v>77.73</v>
      </c>
      <c r="J826" t="str">
        <f t="shared" si="12"/>
        <v>Medium</v>
      </c>
    </row>
    <row r="827" spans="1:10" x14ac:dyDescent="0.25">
      <c r="A827">
        <v>106</v>
      </c>
      <c r="B827">
        <v>55</v>
      </c>
      <c r="C827" t="s">
        <v>18</v>
      </c>
      <c r="D827" s="3">
        <v>147187</v>
      </c>
      <c r="E827">
        <v>37</v>
      </c>
      <c r="F827">
        <v>7</v>
      </c>
      <c r="G827">
        <v>27</v>
      </c>
      <c r="H827" t="s">
        <v>14</v>
      </c>
      <c r="I827">
        <v>941.67</v>
      </c>
      <c r="J827" t="str">
        <f t="shared" si="12"/>
        <v>Medium</v>
      </c>
    </row>
    <row r="828" spans="1:10" x14ac:dyDescent="0.25">
      <c r="A828">
        <v>109</v>
      </c>
      <c r="B828">
        <v>57</v>
      </c>
      <c r="C828" t="s">
        <v>18</v>
      </c>
      <c r="D828" s="3">
        <v>81695</v>
      </c>
      <c r="E828">
        <v>90</v>
      </c>
      <c r="F828">
        <v>8</v>
      </c>
      <c r="G828">
        <v>44</v>
      </c>
      <c r="H828" t="s">
        <v>14</v>
      </c>
      <c r="I828">
        <v>179.8</v>
      </c>
      <c r="J828" t="str">
        <f t="shared" si="12"/>
        <v>High</v>
      </c>
    </row>
    <row r="829" spans="1:10" x14ac:dyDescent="0.25">
      <c r="A829">
        <v>126</v>
      </c>
      <c r="B829">
        <v>26</v>
      </c>
      <c r="C829" t="s">
        <v>18</v>
      </c>
      <c r="D829" s="3">
        <v>69795</v>
      </c>
      <c r="E829">
        <v>60</v>
      </c>
      <c r="F829">
        <v>9</v>
      </c>
      <c r="G829">
        <v>29</v>
      </c>
      <c r="H829" t="s">
        <v>14</v>
      </c>
      <c r="I829">
        <v>389.37</v>
      </c>
      <c r="J829" t="str">
        <f t="shared" si="12"/>
        <v>Medium</v>
      </c>
    </row>
    <row r="830" spans="1:10" x14ac:dyDescent="0.25">
      <c r="A830">
        <v>178</v>
      </c>
      <c r="B830">
        <v>67</v>
      </c>
      <c r="C830" t="s">
        <v>18</v>
      </c>
      <c r="D830" s="3">
        <v>130300</v>
      </c>
      <c r="E830">
        <v>75</v>
      </c>
      <c r="F830">
        <v>5</v>
      </c>
      <c r="G830">
        <v>27</v>
      </c>
      <c r="H830" t="s">
        <v>14</v>
      </c>
      <c r="I830">
        <v>94.32</v>
      </c>
      <c r="J830" t="str">
        <f t="shared" si="12"/>
        <v>High</v>
      </c>
    </row>
    <row r="831" spans="1:10" x14ac:dyDescent="0.25">
      <c r="A831">
        <v>218</v>
      </c>
      <c r="B831">
        <v>55</v>
      </c>
      <c r="C831" t="s">
        <v>18</v>
      </c>
      <c r="D831" s="3">
        <v>147024</v>
      </c>
      <c r="E831">
        <v>24</v>
      </c>
      <c r="F831">
        <v>9</v>
      </c>
      <c r="G831">
        <v>16</v>
      </c>
      <c r="H831" t="s">
        <v>14</v>
      </c>
      <c r="I831">
        <v>169.79</v>
      </c>
      <c r="J831" t="str">
        <f t="shared" si="12"/>
        <v>Low</v>
      </c>
    </row>
    <row r="832" spans="1:10" x14ac:dyDescent="0.25">
      <c r="A832">
        <v>225</v>
      </c>
      <c r="B832">
        <v>54</v>
      </c>
      <c r="C832" t="s">
        <v>18</v>
      </c>
      <c r="D832" s="3">
        <v>92156</v>
      </c>
      <c r="E832">
        <v>18</v>
      </c>
      <c r="F832">
        <v>7</v>
      </c>
      <c r="G832">
        <v>14</v>
      </c>
      <c r="H832" t="s">
        <v>14</v>
      </c>
      <c r="I832">
        <v>238.87</v>
      </c>
      <c r="J832" t="str">
        <f t="shared" si="12"/>
        <v>Low</v>
      </c>
    </row>
    <row r="833" spans="1:10" x14ac:dyDescent="0.25">
      <c r="A833">
        <v>231</v>
      </c>
      <c r="B833">
        <v>24</v>
      </c>
      <c r="C833" t="s">
        <v>18</v>
      </c>
      <c r="D833" s="3">
        <v>147572</v>
      </c>
      <c r="E833">
        <v>44</v>
      </c>
      <c r="F833">
        <v>7</v>
      </c>
      <c r="G833">
        <v>45</v>
      </c>
      <c r="H833" t="s">
        <v>14</v>
      </c>
      <c r="I833">
        <v>204.27</v>
      </c>
      <c r="J833" t="str">
        <f t="shared" si="12"/>
        <v>Medium</v>
      </c>
    </row>
    <row r="834" spans="1:10" x14ac:dyDescent="0.25">
      <c r="A834">
        <v>242</v>
      </c>
      <c r="B834">
        <v>31</v>
      </c>
      <c r="C834" t="s">
        <v>18</v>
      </c>
      <c r="D834" s="3">
        <v>125501</v>
      </c>
      <c r="E834">
        <v>74</v>
      </c>
      <c r="F834">
        <v>3</v>
      </c>
      <c r="G834">
        <v>18</v>
      </c>
      <c r="H834" t="s">
        <v>14</v>
      </c>
      <c r="I834">
        <v>947.76</v>
      </c>
      <c r="J834" t="str">
        <f t="shared" ref="J834:J897" si="13">IF(E834&lt;33,"Low",IF(E834&lt;66,"Medium","High"))</f>
        <v>High</v>
      </c>
    </row>
    <row r="835" spans="1:10" x14ac:dyDescent="0.25">
      <c r="A835">
        <v>264</v>
      </c>
      <c r="B835">
        <v>57</v>
      </c>
      <c r="C835" t="s">
        <v>18</v>
      </c>
      <c r="D835" s="3">
        <v>31451</v>
      </c>
      <c r="E835">
        <v>75</v>
      </c>
      <c r="F835">
        <v>3</v>
      </c>
      <c r="G835">
        <v>8</v>
      </c>
      <c r="H835" t="s">
        <v>14</v>
      </c>
      <c r="I835">
        <v>611.79</v>
      </c>
      <c r="J835" t="str">
        <f t="shared" si="13"/>
        <v>High</v>
      </c>
    </row>
    <row r="836" spans="1:10" x14ac:dyDescent="0.25">
      <c r="A836">
        <v>270</v>
      </c>
      <c r="B836">
        <v>28</v>
      </c>
      <c r="C836" t="s">
        <v>18</v>
      </c>
      <c r="D836" s="3">
        <v>49020</v>
      </c>
      <c r="E836">
        <v>75</v>
      </c>
      <c r="F836">
        <v>9</v>
      </c>
      <c r="G836">
        <v>49</v>
      </c>
      <c r="H836" t="s">
        <v>14</v>
      </c>
      <c r="I836">
        <v>109.03</v>
      </c>
      <c r="J836" t="str">
        <f t="shared" si="13"/>
        <v>High</v>
      </c>
    </row>
    <row r="837" spans="1:10" x14ac:dyDescent="0.25">
      <c r="A837">
        <v>303</v>
      </c>
      <c r="B837">
        <v>59</v>
      </c>
      <c r="C837" t="s">
        <v>18</v>
      </c>
      <c r="D837" s="3">
        <v>57745</v>
      </c>
      <c r="E837">
        <v>33</v>
      </c>
      <c r="F837">
        <v>7</v>
      </c>
      <c r="G837">
        <v>42</v>
      </c>
      <c r="H837" t="s">
        <v>14</v>
      </c>
      <c r="I837">
        <v>492.87</v>
      </c>
      <c r="J837" t="str">
        <f t="shared" si="13"/>
        <v>Medium</v>
      </c>
    </row>
    <row r="838" spans="1:10" x14ac:dyDescent="0.25">
      <c r="A838">
        <v>304</v>
      </c>
      <c r="B838">
        <v>50</v>
      </c>
      <c r="C838" t="s">
        <v>18</v>
      </c>
      <c r="D838" s="3">
        <v>78296</v>
      </c>
      <c r="E838">
        <v>93</v>
      </c>
      <c r="F838">
        <v>9</v>
      </c>
      <c r="G838">
        <v>47</v>
      </c>
      <c r="H838" t="s">
        <v>14</v>
      </c>
      <c r="I838">
        <v>559.16</v>
      </c>
      <c r="J838" t="str">
        <f t="shared" si="13"/>
        <v>High</v>
      </c>
    </row>
    <row r="839" spans="1:10" x14ac:dyDescent="0.25">
      <c r="A839">
        <v>308</v>
      </c>
      <c r="B839">
        <v>54</v>
      </c>
      <c r="C839" t="s">
        <v>18</v>
      </c>
      <c r="D839" s="3">
        <v>76995</v>
      </c>
      <c r="E839">
        <v>14</v>
      </c>
      <c r="F839">
        <v>3</v>
      </c>
      <c r="G839">
        <v>46</v>
      </c>
      <c r="H839" t="s">
        <v>14</v>
      </c>
      <c r="I839">
        <v>685.09</v>
      </c>
      <c r="J839" t="str">
        <f t="shared" si="13"/>
        <v>Low</v>
      </c>
    </row>
    <row r="840" spans="1:10" x14ac:dyDescent="0.25">
      <c r="A840">
        <v>315</v>
      </c>
      <c r="B840">
        <v>68</v>
      </c>
      <c r="C840" t="s">
        <v>18</v>
      </c>
      <c r="D840" s="3">
        <v>62971</v>
      </c>
      <c r="E840">
        <v>27</v>
      </c>
      <c r="F840">
        <v>8</v>
      </c>
      <c r="G840">
        <v>17</v>
      </c>
      <c r="H840" t="s">
        <v>14</v>
      </c>
      <c r="I840">
        <v>85.45</v>
      </c>
      <c r="J840" t="str">
        <f t="shared" si="13"/>
        <v>Low</v>
      </c>
    </row>
    <row r="841" spans="1:10" x14ac:dyDescent="0.25">
      <c r="A841">
        <v>316</v>
      </c>
      <c r="B841">
        <v>20</v>
      </c>
      <c r="C841" t="s">
        <v>18</v>
      </c>
      <c r="D841" s="3">
        <v>57260</v>
      </c>
      <c r="E841">
        <v>47</v>
      </c>
      <c r="F841">
        <v>2</v>
      </c>
      <c r="G841">
        <v>49</v>
      </c>
      <c r="H841" t="s">
        <v>14</v>
      </c>
      <c r="I841">
        <v>506.7</v>
      </c>
      <c r="J841" t="str">
        <f t="shared" si="13"/>
        <v>Medium</v>
      </c>
    </row>
    <row r="842" spans="1:10" x14ac:dyDescent="0.25">
      <c r="A842">
        <v>346</v>
      </c>
      <c r="B842">
        <v>62</v>
      </c>
      <c r="C842" t="s">
        <v>18</v>
      </c>
      <c r="D842" s="3">
        <v>114587</v>
      </c>
      <c r="E842">
        <v>14</v>
      </c>
      <c r="F842">
        <v>7</v>
      </c>
      <c r="G842">
        <v>11</v>
      </c>
      <c r="H842" t="s">
        <v>14</v>
      </c>
      <c r="I842">
        <v>26.72</v>
      </c>
      <c r="J842" t="str">
        <f t="shared" si="13"/>
        <v>Low</v>
      </c>
    </row>
    <row r="843" spans="1:10" x14ac:dyDescent="0.25">
      <c r="A843">
        <v>350</v>
      </c>
      <c r="B843">
        <v>56</v>
      </c>
      <c r="C843" t="s">
        <v>18</v>
      </c>
      <c r="D843" s="3">
        <v>148694</v>
      </c>
      <c r="E843">
        <v>44</v>
      </c>
      <c r="F843">
        <v>7</v>
      </c>
      <c r="G843">
        <v>13</v>
      </c>
      <c r="H843" t="s">
        <v>14</v>
      </c>
      <c r="I843">
        <v>326.5</v>
      </c>
      <c r="J843" t="str">
        <f t="shared" si="13"/>
        <v>Medium</v>
      </c>
    </row>
    <row r="844" spans="1:10" x14ac:dyDescent="0.25">
      <c r="A844">
        <v>352</v>
      </c>
      <c r="B844">
        <v>47</v>
      </c>
      <c r="C844" t="s">
        <v>18</v>
      </c>
      <c r="D844" s="3">
        <v>54571</v>
      </c>
      <c r="E844">
        <v>57</v>
      </c>
      <c r="F844">
        <v>4</v>
      </c>
      <c r="G844">
        <v>2</v>
      </c>
      <c r="H844" t="s">
        <v>14</v>
      </c>
      <c r="I844">
        <v>138.30000000000001</v>
      </c>
      <c r="J844" t="str">
        <f t="shared" si="13"/>
        <v>Medium</v>
      </c>
    </row>
    <row r="845" spans="1:10" x14ac:dyDescent="0.25">
      <c r="A845">
        <v>361</v>
      </c>
      <c r="B845">
        <v>28</v>
      </c>
      <c r="C845" t="s">
        <v>18</v>
      </c>
      <c r="D845" s="3">
        <v>130938</v>
      </c>
      <c r="E845">
        <v>98</v>
      </c>
      <c r="F845">
        <v>5</v>
      </c>
      <c r="G845">
        <v>37</v>
      </c>
      <c r="H845" t="s">
        <v>14</v>
      </c>
      <c r="I845">
        <v>612.09</v>
      </c>
      <c r="J845" t="str">
        <f t="shared" si="13"/>
        <v>High</v>
      </c>
    </row>
    <row r="846" spans="1:10" x14ac:dyDescent="0.25">
      <c r="A846">
        <v>370</v>
      </c>
      <c r="B846">
        <v>23</v>
      </c>
      <c r="C846" t="s">
        <v>18</v>
      </c>
      <c r="D846" s="3">
        <v>30751</v>
      </c>
      <c r="E846">
        <v>99</v>
      </c>
      <c r="F846">
        <v>9</v>
      </c>
      <c r="G846">
        <v>26</v>
      </c>
      <c r="H846" t="s">
        <v>14</v>
      </c>
      <c r="I846">
        <v>696.9</v>
      </c>
      <c r="J846" t="str">
        <f t="shared" si="13"/>
        <v>High</v>
      </c>
    </row>
    <row r="847" spans="1:10" x14ac:dyDescent="0.25">
      <c r="A847">
        <v>376</v>
      </c>
      <c r="B847">
        <v>25</v>
      </c>
      <c r="C847" t="s">
        <v>18</v>
      </c>
      <c r="D847" s="3">
        <v>56110</v>
      </c>
      <c r="E847">
        <v>36</v>
      </c>
      <c r="F847">
        <v>5</v>
      </c>
      <c r="G847">
        <v>42</v>
      </c>
      <c r="H847" t="s">
        <v>14</v>
      </c>
      <c r="I847">
        <v>389.97</v>
      </c>
      <c r="J847" t="str">
        <f t="shared" si="13"/>
        <v>Medium</v>
      </c>
    </row>
    <row r="848" spans="1:10" x14ac:dyDescent="0.25">
      <c r="A848">
        <v>387</v>
      </c>
      <c r="B848">
        <v>51</v>
      </c>
      <c r="C848" t="s">
        <v>18</v>
      </c>
      <c r="D848" s="3">
        <v>105658</v>
      </c>
      <c r="E848">
        <v>49</v>
      </c>
      <c r="F848">
        <v>9</v>
      </c>
      <c r="G848">
        <v>9</v>
      </c>
      <c r="H848" t="s">
        <v>14</v>
      </c>
      <c r="I848">
        <v>785.55</v>
      </c>
      <c r="J848" t="str">
        <f t="shared" si="13"/>
        <v>Medium</v>
      </c>
    </row>
    <row r="849" spans="1:10" x14ac:dyDescent="0.25">
      <c r="A849">
        <v>388</v>
      </c>
      <c r="B849">
        <v>25</v>
      </c>
      <c r="C849" t="s">
        <v>18</v>
      </c>
      <c r="D849" s="3">
        <v>100053</v>
      </c>
      <c r="E849">
        <v>6</v>
      </c>
      <c r="F849">
        <v>5</v>
      </c>
      <c r="G849">
        <v>33</v>
      </c>
      <c r="H849" t="s">
        <v>14</v>
      </c>
      <c r="I849">
        <v>832.57</v>
      </c>
      <c r="J849" t="str">
        <f t="shared" si="13"/>
        <v>Low</v>
      </c>
    </row>
    <row r="850" spans="1:10" x14ac:dyDescent="0.25">
      <c r="A850">
        <v>423</v>
      </c>
      <c r="B850">
        <v>62</v>
      </c>
      <c r="C850" t="s">
        <v>18</v>
      </c>
      <c r="D850" s="3">
        <v>96260</v>
      </c>
      <c r="E850">
        <v>30</v>
      </c>
      <c r="F850">
        <v>6</v>
      </c>
      <c r="G850">
        <v>45</v>
      </c>
      <c r="H850" t="s">
        <v>14</v>
      </c>
      <c r="I850">
        <v>159.13</v>
      </c>
      <c r="J850" t="str">
        <f t="shared" si="13"/>
        <v>Low</v>
      </c>
    </row>
    <row r="851" spans="1:10" x14ac:dyDescent="0.25">
      <c r="A851">
        <v>433</v>
      </c>
      <c r="B851">
        <v>44</v>
      </c>
      <c r="C851" t="s">
        <v>18</v>
      </c>
      <c r="D851" s="3">
        <v>100832</v>
      </c>
      <c r="E851">
        <v>90</v>
      </c>
      <c r="F851">
        <v>8</v>
      </c>
      <c r="G851">
        <v>39</v>
      </c>
      <c r="H851" t="s">
        <v>14</v>
      </c>
      <c r="I851">
        <v>769</v>
      </c>
      <c r="J851" t="str">
        <f t="shared" si="13"/>
        <v>High</v>
      </c>
    </row>
    <row r="852" spans="1:10" x14ac:dyDescent="0.25">
      <c r="A852">
        <v>438</v>
      </c>
      <c r="B852">
        <v>47</v>
      </c>
      <c r="C852" t="s">
        <v>18</v>
      </c>
      <c r="D852" s="3">
        <v>95033</v>
      </c>
      <c r="E852">
        <v>25</v>
      </c>
      <c r="F852">
        <v>3</v>
      </c>
      <c r="G852">
        <v>35</v>
      </c>
      <c r="H852" t="s">
        <v>14</v>
      </c>
      <c r="I852">
        <v>273.38</v>
      </c>
      <c r="J852" t="str">
        <f t="shared" si="13"/>
        <v>Low</v>
      </c>
    </row>
    <row r="853" spans="1:10" x14ac:dyDescent="0.25">
      <c r="A853">
        <v>462</v>
      </c>
      <c r="B853">
        <v>57</v>
      </c>
      <c r="C853" t="s">
        <v>18</v>
      </c>
      <c r="D853" s="3">
        <v>46563</v>
      </c>
      <c r="E853">
        <v>86</v>
      </c>
      <c r="F853">
        <v>4</v>
      </c>
      <c r="G853">
        <v>24</v>
      </c>
      <c r="H853" t="s">
        <v>14</v>
      </c>
      <c r="I853">
        <v>800.46</v>
      </c>
      <c r="J853" t="str">
        <f t="shared" si="13"/>
        <v>High</v>
      </c>
    </row>
    <row r="854" spans="1:10" x14ac:dyDescent="0.25">
      <c r="A854">
        <v>479</v>
      </c>
      <c r="B854">
        <v>58</v>
      </c>
      <c r="C854" t="s">
        <v>18</v>
      </c>
      <c r="D854" s="3">
        <v>137836</v>
      </c>
      <c r="E854">
        <v>19</v>
      </c>
      <c r="F854">
        <v>9</v>
      </c>
      <c r="G854">
        <v>21</v>
      </c>
      <c r="H854" t="s">
        <v>14</v>
      </c>
      <c r="I854">
        <v>172.39</v>
      </c>
      <c r="J854" t="str">
        <f t="shared" si="13"/>
        <v>Low</v>
      </c>
    </row>
    <row r="855" spans="1:10" x14ac:dyDescent="0.25">
      <c r="A855">
        <v>498</v>
      </c>
      <c r="B855">
        <v>54</v>
      </c>
      <c r="C855" t="s">
        <v>18</v>
      </c>
      <c r="D855" s="3">
        <v>43308</v>
      </c>
      <c r="E855">
        <v>56</v>
      </c>
      <c r="F855">
        <v>5</v>
      </c>
      <c r="G855">
        <v>50</v>
      </c>
      <c r="H855" t="s">
        <v>14</v>
      </c>
      <c r="I855">
        <v>667.92</v>
      </c>
      <c r="J855" t="str">
        <f t="shared" si="13"/>
        <v>Medium</v>
      </c>
    </row>
    <row r="856" spans="1:10" x14ac:dyDescent="0.25">
      <c r="A856">
        <v>502</v>
      </c>
      <c r="B856">
        <v>61</v>
      </c>
      <c r="C856" t="s">
        <v>18</v>
      </c>
      <c r="D856" s="3">
        <v>41730</v>
      </c>
      <c r="E856">
        <v>2</v>
      </c>
      <c r="F856">
        <v>9</v>
      </c>
      <c r="G856">
        <v>20</v>
      </c>
      <c r="H856" t="s">
        <v>14</v>
      </c>
      <c r="I856">
        <v>177.64</v>
      </c>
      <c r="J856" t="str">
        <f t="shared" si="13"/>
        <v>Low</v>
      </c>
    </row>
    <row r="857" spans="1:10" x14ac:dyDescent="0.25">
      <c r="A857">
        <v>523</v>
      </c>
      <c r="B857">
        <v>32</v>
      </c>
      <c r="C857" t="s">
        <v>18</v>
      </c>
      <c r="D857" s="3">
        <v>58144</v>
      </c>
      <c r="E857">
        <v>4</v>
      </c>
      <c r="F857">
        <v>5</v>
      </c>
      <c r="G857">
        <v>16</v>
      </c>
      <c r="H857" t="s">
        <v>14</v>
      </c>
      <c r="I857">
        <v>923.37</v>
      </c>
      <c r="J857" t="str">
        <f t="shared" si="13"/>
        <v>Low</v>
      </c>
    </row>
    <row r="858" spans="1:10" x14ac:dyDescent="0.25">
      <c r="A858">
        <v>541</v>
      </c>
      <c r="B858">
        <v>33</v>
      </c>
      <c r="C858" t="s">
        <v>18</v>
      </c>
      <c r="D858" s="3">
        <v>103063</v>
      </c>
      <c r="E858">
        <v>16</v>
      </c>
      <c r="F858">
        <v>3</v>
      </c>
      <c r="G858">
        <v>4</v>
      </c>
      <c r="H858" t="s">
        <v>14</v>
      </c>
      <c r="I858">
        <v>998.51</v>
      </c>
      <c r="J858" t="str">
        <f t="shared" si="13"/>
        <v>Low</v>
      </c>
    </row>
    <row r="859" spans="1:10" x14ac:dyDescent="0.25">
      <c r="A859">
        <v>571</v>
      </c>
      <c r="B859">
        <v>36</v>
      </c>
      <c r="C859" t="s">
        <v>18</v>
      </c>
      <c r="D859" s="3">
        <v>31458</v>
      </c>
      <c r="E859">
        <v>40</v>
      </c>
      <c r="F859">
        <v>4</v>
      </c>
      <c r="G859">
        <v>6</v>
      </c>
      <c r="H859" t="s">
        <v>14</v>
      </c>
      <c r="I859">
        <v>371.77</v>
      </c>
      <c r="J859" t="str">
        <f t="shared" si="13"/>
        <v>Medium</v>
      </c>
    </row>
    <row r="860" spans="1:10" x14ac:dyDescent="0.25">
      <c r="A860">
        <v>576</v>
      </c>
      <c r="B860">
        <v>51</v>
      </c>
      <c r="C860" t="s">
        <v>18</v>
      </c>
      <c r="D860" s="3">
        <v>149256</v>
      </c>
      <c r="E860">
        <v>96</v>
      </c>
      <c r="F860">
        <v>1</v>
      </c>
      <c r="G860">
        <v>31</v>
      </c>
      <c r="H860" t="s">
        <v>14</v>
      </c>
      <c r="I860">
        <v>266.83</v>
      </c>
      <c r="J860" t="str">
        <f t="shared" si="13"/>
        <v>High</v>
      </c>
    </row>
    <row r="861" spans="1:10" x14ac:dyDescent="0.25">
      <c r="A861">
        <v>579</v>
      </c>
      <c r="B861">
        <v>21</v>
      </c>
      <c r="C861" t="s">
        <v>18</v>
      </c>
      <c r="D861" s="3">
        <v>71227</v>
      </c>
      <c r="E861">
        <v>17</v>
      </c>
      <c r="F861">
        <v>10</v>
      </c>
      <c r="G861">
        <v>12</v>
      </c>
      <c r="H861" t="s">
        <v>14</v>
      </c>
      <c r="I861">
        <v>101.48</v>
      </c>
      <c r="J861" t="str">
        <f t="shared" si="13"/>
        <v>Low</v>
      </c>
    </row>
    <row r="862" spans="1:10" x14ac:dyDescent="0.25">
      <c r="A862">
        <v>605</v>
      </c>
      <c r="B862">
        <v>18</v>
      </c>
      <c r="C862" t="s">
        <v>18</v>
      </c>
      <c r="D862" s="3">
        <v>144275</v>
      </c>
      <c r="E862">
        <v>69</v>
      </c>
      <c r="F862">
        <v>9</v>
      </c>
      <c r="G862">
        <v>27</v>
      </c>
      <c r="H862" t="s">
        <v>14</v>
      </c>
      <c r="I862">
        <v>141.72</v>
      </c>
      <c r="J862" t="str">
        <f t="shared" si="13"/>
        <v>High</v>
      </c>
    </row>
    <row r="863" spans="1:10" x14ac:dyDescent="0.25">
      <c r="A863">
        <v>612</v>
      </c>
      <c r="B863">
        <v>33</v>
      </c>
      <c r="C863" t="s">
        <v>18</v>
      </c>
      <c r="D863" s="3">
        <v>38271</v>
      </c>
      <c r="E863">
        <v>39</v>
      </c>
      <c r="F863">
        <v>10</v>
      </c>
      <c r="G863">
        <v>43</v>
      </c>
      <c r="H863" t="s">
        <v>14</v>
      </c>
      <c r="I863">
        <v>99.52</v>
      </c>
      <c r="J863" t="str">
        <f t="shared" si="13"/>
        <v>Medium</v>
      </c>
    </row>
    <row r="864" spans="1:10" x14ac:dyDescent="0.25">
      <c r="A864">
        <v>627</v>
      </c>
      <c r="B864">
        <v>27</v>
      </c>
      <c r="C864" t="s">
        <v>18</v>
      </c>
      <c r="D864" s="3">
        <v>96762</v>
      </c>
      <c r="E864">
        <v>22</v>
      </c>
      <c r="F864">
        <v>3</v>
      </c>
      <c r="G864">
        <v>10</v>
      </c>
      <c r="H864" t="s">
        <v>14</v>
      </c>
      <c r="I864">
        <v>551.42999999999995</v>
      </c>
      <c r="J864" t="str">
        <f t="shared" si="13"/>
        <v>Low</v>
      </c>
    </row>
    <row r="865" spans="1:10" x14ac:dyDescent="0.25">
      <c r="A865">
        <v>633</v>
      </c>
      <c r="B865">
        <v>43</v>
      </c>
      <c r="C865" t="s">
        <v>18</v>
      </c>
      <c r="D865" s="3">
        <v>97989</v>
      </c>
      <c r="E865">
        <v>14</v>
      </c>
      <c r="F865">
        <v>6</v>
      </c>
      <c r="G865">
        <v>49</v>
      </c>
      <c r="H865" t="s">
        <v>14</v>
      </c>
      <c r="I865">
        <v>886.61</v>
      </c>
      <c r="J865" t="str">
        <f t="shared" si="13"/>
        <v>Low</v>
      </c>
    </row>
    <row r="866" spans="1:10" x14ac:dyDescent="0.25">
      <c r="A866">
        <v>635</v>
      </c>
      <c r="B866">
        <v>23</v>
      </c>
      <c r="C866" t="s">
        <v>18</v>
      </c>
      <c r="D866" s="3">
        <v>122669</v>
      </c>
      <c r="E866">
        <v>15</v>
      </c>
      <c r="F866">
        <v>3</v>
      </c>
      <c r="G866">
        <v>4</v>
      </c>
      <c r="H866" t="s">
        <v>14</v>
      </c>
      <c r="I866">
        <v>248.68</v>
      </c>
      <c r="J866" t="str">
        <f t="shared" si="13"/>
        <v>Low</v>
      </c>
    </row>
    <row r="867" spans="1:10" x14ac:dyDescent="0.25">
      <c r="A867">
        <v>642</v>
      </c>
      <c r="B867">
        <v>34</v>
      </c>
      <c r="C867" t="s">
        <v>18</v>
      </c>
      <c r="D867" s="3">
        <v>114408</v>
      </c>
      <c r="E867">
        <v>38</v>
      </c>
      <c r="F867">
        <v>7</v>
      </c>
      <c r="G867">
        <v>28</v>
      </c>
      <c r="H867" t="s">
        <v>14</v>
      </c>
      <c r="I867">
        <v>647.35</v>
      </c>
      <c r="J867" t="str">
        <f t="shared" si="13"/>
        <v>Medium</v>
      </c>
    </row>
    <row r="868" spans="1:10" x14ac:dyDescent="0.25">
      <c r="A868">
        <v>651</v>
      </c>
      <c r="B868">
        <v>27</v>
      </c>
      <c r="C868" t="s">
        <v>18</v>
      </c>
      <c r="D868" s="3">
        <v>113174</v>
      </c>
      <c r="E868">
        <v>36</v>
      </c>
      <c r="F868">
        <v>3</v>
      </c>
      <c r="G868">
        <v>46</v>
      </c>
      <c r="H868" t="s">
        <v>14</v>
      </c>
      <c r="I868">
        <v>499.07</v>
      </c>
      <c r="J868" t="str">
        <f t="shared" si="13"/>
        <v>Medium</v>
      </c>
    </row>
    <row r="869" spans="1:10" x14ac:dyDescent="0.25">
      <c r="A869">
        <v>702</v>
      </c>
      <c r="B869">
        <v>26</v>
      </c>
      <c r="C869" t="s">
        <v>18</v>
      </c>
      <c r="D869" s="3">
        <v>42499</v>
      </c>
      <c r="E869">
        <v>92</v>
      </c>
      <c r="F869">
        <v>9</v>
      </c>
      <c r="G869">
        <v>50</v>
      </c>
      <c r="H869" t="s">
        <v>14</v>
      </c>
      <c r="I869">
        <v>37.57</v>
      </c>
      <c r="J869" t="str">
        <f t="shared" si="13"/>
        <v>High</v>
      </c>
    </row>
    <row r="870" spans="1:10" x14ac:dyDescent="0.25">
      <c r="A870">
        <v>710</v>
      </c>
      <c r="B870">
        <v>43</v>
      </c>
      <c r="C870" t="s">
        <v>18</v>
      </c>
      <c r="D870" s="3">
        <v>43545</v>
      </c>
      <c r="E870">
        <v>67</v>
      </c>
      <c r="F870">
        <v>5</v>
      </c>
      <c r="G870">
        <v>41</v>
      </c>
      <c r="H870" t="s">
        <v>14</v>
      </c>
      <c r="I870">
        <v>179.71</v>
      </c>
      <c r="J870" t="str">
        <f t="shared" si="13"/>
        <v>High</v>
      </c>
    </row>
    <row r="871" spans="1:10" x14ac:dyDescent="0.25">
      <c r="A871">
        <v>713</v>
      </c>
      <c r="B871">
        <v>19</v>
      </c>
      <c r="C871" t="s">
        <v>18</v>
      </c>
      <c r="D871" s="3">
        <v>76416</v>
      </c>
      <c r="E871">
        <v>26</v>
      </c>
      <c r="F871">
        <v>6</v>
      </c>
      <c r="G871">
        <v>20</v>
      </c>
      <c r="H871" t="s">
        <v>14</v>
      </c>
      <c r="I871">
        <v>385.1</v>
      </c>
      <c r="J871" t="str">
        <f t="shared" si="13"/>
        <v>Low</v>
      </c>
    </row>
    <row r="872" spans="1:10" x14ac:dyDescent="0.25">
      <c r="A872">
        <v>738</v>
      </c>
      <c r="B872">
        <v>18</v>
      </c>
      <c r="C872" t="s">
        <v>18</v>
      </c>
      <c r="D872" s="3">
        <v>136320</v>
      </c>
      <c r="E872">
        <v>52</v>
      </c>
      <c r="F872">
        <v>5</v>
      </c>
      <c r="G872">
        <v>42</v>
      </c>
      <c r="H872" t="s">
        <v>14</v>
      </c>
      <c r="I872">
        <v>891.19</v>
      </c>
      <c r="J872" t="str">
        <f t="shared" si="13"/>
        <v>Medium</v>
      </c>
    </row>
    <row r="873" spans="1:10" x14ac:dyDescent="0.25">
      <c r="A873">
        <v>740</v>
      </c>
      <c r="B873">
        <v>62</v>
      </c>
      <c r="C873" t="s">
        <v>18</v>
      </c>
      <c r="D873" s="3">
        <v>119083</v>
      </c>
      <c r="E873">
        <v>18</v>
      </c>
      <c r="F873">
        <v>4</v>
      </c>
      <c r="G873">
        <v>28</v>
      </c>
      <c r="H873" t="s">
        <v>14</v>
      </c>
      <c r="I873">
        <v>317.77999999999997</v>
      </c>
      <c r="J873" t="str">
        <f t="shared" si="13"/>
        <v>Low</v>
      </c>
    </row>
    <row r="874" spans="1:10" x14ac:dyDescent="0.25">
      <c r="A874">
        <v>741</v>
      </c>
      <c r="B874">
        <v>50</v>
      </c>
      <c r="C874" t="s">
        <v>18</v>
      </c>
      <c r="D874" s="3">
        <v>50944</v>
      </c>
      <c r="E874">
        <v>24</v>
      </c>
      <c r="F874">
        <v>3</v>
      </c>
      <c r="G874">
        <v>36</v>
      </c>
      <c r="H874" t="s">
        <v>14</v>
      </c>
      <c r="I874">
        <v>121.22</v>
      </c>
      <c r="J874" t="str">
        <f t="shared" si="13"/>
        <v>Low</v>
      </c>
    </row>
    <row r="875" spans="1:10" x14ac:dyDescent="0.25">
      <c r="A875">
        <v>756</v>
      </c>
      <c r="B875">
        <v>30</v>
      </c>
      <c r="C875" t="s">
        <v>18</v>
      </c>
      <c r="D875" s="3">
        <v>111050</v>
      </c>
      <c r="E875">
        <v>61</v>
      </c>
      <c r="F875">
        <v>10</v>
      </c>
      <c r="G875">
        <v>32</v>
      </c>
      <c r="H875" t="s">
        <v>14</v>
      </c>
      <c r="I875">
        <v>213.88</v>
      </c>
      <c r="J875" t="str">
        <f t="shared" si="13"/>
        <v>Medium</v>
      </c>
    </row>
    <row r="876" spans="1:10" x14ac:dyDescent="0.25">
      <c r="A876">
        <v>785</v>
      </c>
      <c r="B876">
        <v>45</v>
      </c>
      <c r="C876" t="s">
        <v>18</v>
      </c>
      <c r="D876" s="3">
        <v>88366</v>
      </c>
      <c r="E876">
        <v>22</v>
      </c>
      <c r="F876">
        <v>10</v>
      </c>
      <c r="G876">
        <v>24</v>
      </c>
      <c r="H876" t="s">
        <v>14</v>
      </c>
      <c r="I876">
        <v>253.64</v>
      </c>
      <c r="J876" t="str">
        <f t="shared" si="13"/>
        <v>Low</v>
      </c>
    </row>
    <row r="877" spans="1:10" x14ac:dyDescent="0.25">
      <c r="A877">
        <v>795</v>
      </c>
      <c r="B877">
        <v>33</v>
      </c>
      <c r="C877" t="s">
        <v>18</v>
      </c>
      <c r="D877" s="3">
        <v>45432</v>
      </c>
      <c r="E877">
        <v>11</v>
      </c>
      <c r="F877">
        <v>4</v>
      </c>
      <c r="G877">
        <v>42</v>
      </c>
      <c r="H877" t="s">
        <v>14</v>
      </c>
      <c r="I877">
        <v>990.34</v>
      </c>
      <c r="J877" t="str">
        <f t="shared" si="13"/>
        <v>Low</v>
      </c>
    </row>
    <row r="878" spans="1:10" x14ac:dyDescent="0.25">
      <c r="A878">
        <v>825</v>
      </c>
      <c r="B878">
        <v>30</v>
      </c>
      <c r="C878" t="s">
        <v>18</v>
      </c>
      <c r="D878" s="3">
        <v>121358</v>
      </c>
      <c r="E878">
        <v>16</v>
      </c>
      <c r="F878">
        <v>1</v>
      </c>
      <c r="G878">
        <v>2</v>
      </c>
      <c r="H878" t="s">
        <v>14</v>
      </c>
      <c r="I878">
        <v>122.7</v>
      </c>
      <c r="J878" t="str">
        <f t="shared" si="13"/>
        <v>Low</v>
      </c>
    </row>
    <row r="879" spans="1:10" x14ac:dyDescent="0.25">
      <c r="A879">
        <v>845</v>
      </c>
      <c r="B879">
        <v>45</v>
      </c>
      <c r="C879" t="s">
        <v>18</v>
      </c>
      <c r="D879" s="3">
        <v>57615</v>
      </c>
      <c r="E879">
        <v>30</v>
      </c>
      <c r="F879">
        <v>5</v>
      </c>
      <c r="G879">
        <v>15</v>
      </c>
      <c r="H879" t="s">
        <v>14</v>
      </c>
      <c r="I879">
        <v>998.09</v>
      </c>
      <c r="J879" t="str">
        <f t="shared" si="13"/>
        <v>Low</v>
      </c>
    </row>
    <row r="880" spans="1:10" x14ac:dyDescent="0.25">
      <c r="A880">
        <v>911</v>
      </c>
      <c r="B880">
        <v>66</v>
      </c>
      <c r="C880" t="s">
        <v>18</v>
      </c>
      <c r="D880" s="3">
        <v>55154</v>
      </c>
      <c r="E880">
        <v>93</v>
      </c>
      <c r="F880">
        <v>3</v>
      </c>
      <c r="G880">
        <v>19</v>
      </c>
      <c r="H880" t="s">
        <v>14</v>
      </c>
      <c r="I880">
        <v>684.88</v>
      </c>
      <c r="J880" t="str">
        <f t="shared" si="13"/>
        <v>High</v>
      </c>
    </row>
    <row r="881" spans="1:10" x14ac:dyDescent="0.25">
      <c r="A881">
        <v>943</v>
      </c>
      <c r="B881">
        <v>54</v>
      </c>
      <c r="C881" t="s">
        <v>18</v>
      </c>
      <c r="D881" s="3">
        <v>140081</v>
      </c>
      <c r="E881">
        <v>100</v>
      </c>
      <c r="F881">
        <v>1</v>
      </c>
      <c r="G881">
        <v>25</v>
      </c>
      <c r="H881" t="s">
        <v>14</v>
      </c>
      <c r="I881">
        <v>30.51</v>
      </c>
      <c r="J881" t="str">
        <f t="shared" si="13"/>
        <v>High</v>
      </c>
    </row>
    <row r="882" spans="1:10" x14ac:dyDescent="0.25">
      <c r="A882">
        <v>983</v>
      </c>
      <c r="B882">
        <v>68</v>
      </c>
      <c r="C882" t="s">
        <v>18</v>
      </c>
      <c r="D882" s="3">
        <v>117203</v>
      </c>
      <c r="E882">
        <v>76</v>
      </c>
      <c r="F882">
        <v>7</v>
      </c>
      <c r="G882">
        <v>38</v>
      </c>
      <c r="H882" t="s">
        <v>14</v>
      </c>
      <c r="I882">
        <v>363.94</v>
      </c>
      <c r="J882" t="str">
        <f t="shared" si="13"/>
        <v>High</v>
      </c>
    </row>
    <row r="883" spans="1:10" x14ac:dyDescent="0.25">
      <c r="A883">
        <v>994</v>
      </c>
      <c r="B883">
        <v>29</v>
      </c>
      <c r="C883" t="s">
        <v>18</v>
      </c>
      <c r="D883" s="3">
        <v>64799</v>
      </c>
      <c r="E883">
        <v>42</v>
      </c>
      <c r="F883">
        <v>5</v>
      </c>
      <c r="G883">
        <v>19</v>
      </c>
      <c r="H883" t="s">
        <v>14</v>
      </c>
      <c r="I883">
        <v>967.26</v>
      </c>
      <c r="J883" t="str">
        <f t="shared" si="13"/>
        <v>Medium</v>
      </c>
    </row>
    <row r="884" spans="1:10" x14ac:dyDescent="0.25">
      <c r="A884">
        <v>999</v>
      </c>
      <c r="B884">
        <v>22</v>
      </c>
      <c r="C884" t="s">
        <v>18</v>
      </c>
      <c r="D884" s="3">
        <v>113695</v>
      </c>
      <c r="E884">
        <v>63</v>
      </c>
      <c r="F884">
        <v>7</v>
      </c>
      <c r="G884">
        <v>44</v>
      </c>
      <c r="H884" t="s">
        <v>14</v>
      </c>
      <c r="I884">
        <v>505.16</v>
      </c>
      <c r="J884" t="str">
        <f t="shared" si="13"/>
        <v>Medium</v>
      </c>
    </row>
    <row r="885" spans="1:10" x14ac:dyDescent="0.25">
      <c r="A885">
        <v>2</v>
      </c>
      <c r="B885">
        <v>21</v>
      </c>
      <c r="C885" t="s">
        <v>18</v>
      </c>
      <c r="D885" s="3">
        <v>78852</v>
      </c>
      <c r="E885">
        <v>60</v>
      </c>
      <c r="F885">
        <v>2</v>
      </c>
      <c r="G885">
        <v>42</v>
      </c>
      <c r="H885" t="s">
        <v>15</v>
      </c>
      <c r="I885">
        <v>41.93</v>
      </c>
      <c r="J885" t="str">
        <f t="shared" si="13"/>
        <v>Medium</v>
      </c>
    </row>
    <row r="886" spans="1:10" x14ac:dyDescent="0.25">
      <c r="A886">
        <v>3</v>
      </c>
      <c r="B886">
        <v>60</v>
      </c>
      <c r="C886" t="s">
        <v>18</v>
      </c>
      <c r="D886" s="3">
        <v>126573</v>
      </c>
      <c r="E886">
        <v>30</v>
      </c>
      <c r="F886">
        <v>2</v>
      </c>
      <c r="G886">
        <v>28</v>
      </c>
      <c r="H886" t="s">
        <v>17</v>
      </c>
      <c r="I886">
        <v>424.36</v>
      </c>
      <c r="J886" t="str">
        <f t="shared" si="13"/>
        <v>Low</v>
      </c>
    </row>
    <row r="887" spans="1:10" x14ac:dyDescent="0.25">
      <c r="A887">
        <v>25</v>
      </c>
      <c r="B887">
        <v>69</v>
      </c>
      <c r="C887" t="s">
        <v>18</v>
      </c>
      <c r="D887" s="3">
        <v>36140</v>
      </c>
      <c r="E887">
        <v>78</v>
      </c>
      <c r="F887">
        <v>5</v>
      </c>
      <c r="G887">
        <v>39</v>
      </c>
      <c r="H887" t="s">
        <v>15</v>
      </c>
      <c r="I887">
        <v>508.86</v>
      </c>
      <c r="J887" t="str">
        <f t="shared" si="13"/>
        <v>High</v>
      </c>
    </row>
    <row r="888" spans="1:10" x14ac:dyDescent="0.25">
      <c r="A888">
        <v>28</v>
      </c>
      <c r="B888">
        <v>30</v>
      </c>
      <c r="C888" t="s">
        <v>18</v>
      </c>
      <c r="D888" s="3">
        <v>50680</v>
      </c>
      <c r="E888">
        <v>19</v>
      </c>
      <c r="F888">
        <v>7</v>
      </c>
      <c r="G888">
        <v>27</v>
      </c>
      <c r="H888" t="s">
        <v>15</v>
      </c>
      <c r="I888">
        <v>515.88</v>
      </c>
      <c r="J888" t="str">
        <f t="shared" si="13"/>
        <v>Low</v>
      </c>
    </row>
    <row r="889" spans="1:10" x14ac:dyDescent="0.25">
      <c r="A889">
        <v>36</v>
      </c>
      <c r="B889">
        <v>30</v>
      </c>
      <c r="C889" t="s">
        <v>18</v>
      </c>
      <c r="D889" s="3">
        <v>73464</v>
      </c>
      <c r="E889">
        <v>37</v>
      </c>
      <c r="F889">
        <v>1</v>
      </c>
      <c r="G889">
        <v>6</v>
      </c>
      <c r="H889" t="s">
        <v>17</v>
      </c>
      <c r="I889">
        <v>532.51</v>
      </c>
      <c r="J889" t="str">
        <f t="shared" si="13"/>
        <v>Medium</v>
      </c>
    </row>
    <row r="890" spans="1:10" x14ac:dyDescent="0.25">
      <c r="A890">
        <v>39</v>
      </c>
      <c r="B890">
        <v>31</v>
      </c>
      <c r="C890" t="s">
        <v>18</v>
      </c>
      <c r="D890" s="3">
        <v>75392</v>
      </c>
      <c r="E890">
        <v>43</v>
      </c>
      <c r="F890">
        <v>4</v>
      </c>
      <c r="G890">
        <v>29</v>
      </c>
      <c r="H890" t="s">
        <v>15</v>
      </c>
      <c r="I890">
        <v>88.44</v>
      </c>
      <c r="J890" t="str">
        <f t="shared" si="13"/>
        <v>Medium</v>
      </c>
    </row>
    <row r="891" spans="1:10" x14ac:dyDescent="0.25">
      <c r="A891">
        <v>51</v>
      </c>
      <c r="B891">
        <v>61</v>
      </c>
      <c r="C891" t="s">
        <v>18</v>
      </c>
      <c r="D891" s="3">
        <v>61290</v>
      </c>
      <c r="E891">
        <v>83</v>
      </c>
      <c r="F891">
        <v>9</v>
      </c>
      <c r="G891">
        <v>35</v>
      </c>
      <c r="H891" t="s">
        <v>17</v>
      </c>
      <c r="I891">
        <v>110.32</v>
      </c>
      <c r="J891" t="str">
        <f t="shared" si="13"/>
        <v>High</v>
      </c>
    </row>
    <row r="892" spans="1:10" x14ac:dyDescent="0.25">
      <c r="A892">
        <v>52</v>
      </c>
      <c r="B892">
        <v>24</v>
      </c>
      <c r="C892" t="s">
        <v>18</v>
      </c>
      <c r="D892" s="3">
        <v>96082</v>
      </c>
      <c r="E892">
        <v>83</v>
      </c>
      <c r="F892">
        <v>4</v>
      </c>
      <c r="G892">
        <v>36</v>
      </c>
      <c r="H892" t="s">
        <v>15</v>
      </c>
      <c r="I892">
        <v>589.35</v>
      </c>
      <c r="J892" t="str">
        <f t="shared" si="13"/>
        <v>High</v>
      </c>
    </row>
    <row r="893" spans="1:10" x14ac:dyDescent="0.25">
      <c r="A893">
        <v>55</v>
      </c>
      <c r="B893">
        <v>56</v>
      </c>
      <c r="C893" t="s">
        <v>18</v>
      </c>
      <c r="D893" s="3">
        <v>85476</v>
      </c>
      <c r="E893">
        <v>55</v>
      </c>
      <c r="F893">
        <v>2</v>
      </c>
      <c r="G893">
        <v>41</v>
      </c>
      <c r="H893" t="s">
        <v>15</v>
      </c>
      <c r="I893">
        <v>774.5</v>
      </c>
      <c r="J893" t="str">
        <f t="shared" si="13"/>
        <v>Medium</v>
      </c>
    </row>
    <row r="894" spans="1:10" x14ac:dyDescent="0.25">
      <c r="A894">
        <v>58</v>
      </c>
      <c r="B894">
        <v>49</v>
      </c>
      <c r="C894" t="s">
        <v>18</v>
      </c>
      <c r="D894" s="3">
        <v>112198</v>
      </c>
      <c r="E894">
        <v>48</v>
      </c>
      <c r="F894">
        <v>5</v>
      </c>
      <c r="G894">
        <v>24</v>
      </c>
      <c r="H894" t="s">
        <v>15</v>
      </c>
      <c r="I894">
        <v>843.87</v>
      </c>
      <c r="J894" t="str">
        <f t="shared" si="13"/>
        <v>Medium</v>
      </c>
    </row>
    <row r="895" spans="1:10" x14ac:dyDescent="0.25">
      <c r="A895">
        <v>60</v>
      </c>
      <c r="B895">
        <v>21</v>
      </c>
      <c r="C895" t="s">
        <v>18</v>
      </c>
      <c r="D895" s="3">
        <v>139387</v>
      </c>
      <c r="E895">
        <v>1</v>
      </c>
      <c r="F895">
        <v>5</v>
      </c>
      <c r="G895">
        <v>7</v>
      </c>
      <c r="H895" t="s">
        <v>17</v>
      </c>
      <c r="I895">
        <v>399.58</v>
      </c>
      <c r="J895" t="str">
        <f t="shared" si="13"/>
        <v>Low</v>
      </c>
    </row>
    <row r="896" spans="1:10" x14ac:dyDescent="0.25">
      <c r="A896">
        <v>63</v>
      </c>
      <c r="B896">
        <v>49</v>
      </c>
      <c r="C896" t="s">
        <v>18</v>
      </c>
      <c r="D896" s="3">
        <v>79992</v>
      </c>
      <c r="E896">
        <v>49</v>
      </c>
      <c r="F896">
        <v>8</v>
      </c>
      <c r="G896">
        <v>6</v>
      </c>
      <c r="H896" t="s">
        <v>15</v>
      </c>
      <c r="I896">
        <v>636.65</v>
      </c>
      <c r="J896" t="str">
        <f t="shared" si="13"/>
        <v>Medium</v>
      </c>
    </row>
    <row r="897" spans="1:10" x14ac:dyDescent="0.25">
      <c r="A897">
        <v>68</v>
      </c>
      <c r="B897">
        <v>43</v>
      </c>
      <c r="C897" t="s">
        <v>18</v>
      </c>
      <c r="D897" s="3">
        <v>87807</v>
      </c>
      <c r="E897">
        <v>52</v>
      </c>
      <c r="F897">
        <v>9</v>
      </c>
      <c r="G897">
        <v>41</v>
      </c>
      <c r="H897" t="s">
        <v>17</v>
      </c>
      <c r="I897">
        <v>95.08</v>
      </c>
      <c r="J897" t="str">
        <f t="shared" si="13"/>
        <v>Medium</v>
      </c>
    </row>
    <row r="898" spans="1:10" x14ac:dyDescent="0.25">
      <c r="A898">
        <v>83</v>
      </c>
      <c r="B898">
        <v>36</v>
      </c>
      <c r="C898" t="s">
        <v>18</v>
      </c>
      <c r="D898" s="3">
        <v>99427</v>
      </c>
      <c r="E898">
        <v>94</v>
      </c>
      <c r="F898">
        <v>8</v>
      </c>
      <c r="G898">
        <v>15</v>
      </c>
      <c r="H898" t="s">
        <v>15</v>
      </c>
      <c r="I898">
        <v>265.04000000000002</v>
      </c>
      <c r="J898" t="str">
        <f t="shared" ref="J898:J961" si="14">IF(E898&lt;33,"Low",IF(E898&lt;66,"Medium","High"))</f>
        <v>High</v>
      </c>
    </row>
    <row r="899" spans="1:10" x14ac:dyDescent="0.25">
      <c r="A899">
        <v>100</v>
      </c>
      <c r="B899">
        <v>26</v>
      </c>
      <c r="C899" t="s">
        <v>18</v>
      </c>
      <c r="D899" s="3">
        <v>59496</v>
      </c>
      <c r="E899">
        <v>58</v>
      </c>
      <c r="F899">
        <v>2</v>
      </c>
      <c r="G899">
        <v>50</v>
      </c>
      <c r="H899" t="s">
        <v>17</v>
      </c>
      <c r="I899">
        <v>23.33</v>
      </c>
      <c r="J899" t="str">
        <f t="shared" si="14"/>
        <v>Medium</v>
      </c>
    </row>
    <row r="900" spans="1:10" x14ac:dyDescent="0.25">
      <c r="A900">
        <v>104</v>
      </c>
      <c r="B900">
        <v>60</v>
      </c>
      <c r="C900" t="s">
        <v>18</v>
      </c>
      <c r="D900" s="3">
        <v>142407</v>
      </c>
      <c r="E900">
        <v>4</v>
      </c>
      <c r="F900">
        <v>2</v>
      </c>
      <c r="G900">
        <v>1</v>
      </c>
      <c r="H900" t="s">
        <v>15</v>
      </c>
      <c r="I900">
        <v>29.58</v>
      </c>
      <c r="J900" t="str">
        <f t="shared" si="14"/>
        <v>Low</v>
      </c>
    </row>
    <row r="901" spans="1:10" x14ac:dyDescent="0.25">
      <c r="A901">
        <v>120</v>
      </c>
      <c r="B901">
        <v>68</v>
      </c>
      <c r="C901" t="s">
        <v>18</v>
      </c>
      <c r="D901" s="3">
        <v>78309</v>
      </c>
      <c r="E901">
        <v>12</v>
      </c>
      <c r="F901">
        <v>2</v>
      </c>
      <c r="G901">
        <v>49</v>
      </c>
      <c r="H901" t="s">
        <v>17</v>
      </c>
      <c r="I901">
        <v>848.14</v>
      </c>
      <c r="J901" t="str">
        <f t="shared" si="14"/>
        <v>Low</v>
      </c>
    </row>
    <row r="902" spans="1:10" x14ac:dyDescent="0.25">
      <c r="A902">
        <v>130</v>
      </c>
      <c r="B902">
        <v>61</v>
      </c>
      <c r="C902" t="s">
        <v>18</v>
      </c>
      <c r="D902" s="3">
        <v>131607</v>
      </c>
      <c r="E902">
        <v>25</v>
      </c>
      <c r="F902">
        <v>7</v>
      </c>
      <c r="G902">
        <v>26</v>
      </c>
      <c r="H902" t="s">
        <v>17</v>
      </c>
      <c r="I902">
        <v>714.15</v>
      </c>
      <c r="J902" t="str">
        <f t="shared" si="14"/>
        <v>Low</v>
      </c>
    </row>
    <row r="903" spans="1:10" x14ac:dyDescent="0.25">
      <c r="A903">
        <v>135</v>
      </c>
      <c r="B903">
        <v>29</v>
      </c>
      <c r="C903" t="s">
        <v>18</v>
      </c>
      <c r="D903" s="3">
        <v>100290</v>
      </c>
      <c r="E903">
        <v>85</v>
      </c>
      <c r="F903">
        <v>8</v>
      </c>
      <c r="G903">
        <v>29</v>
      </c>
      <c r="H903" t="s">
        <v>17</v>
      </c>
      <c r="I903">
        <v>480.87</v>
      </c>
      <c r="J903" t="str">
        <f t="shared" si="14"/>
        <v>High</v>
      </c>
    </row>
    <row r="904" spans="1:10" x14ac:dyDescent="0.25">
      <c r="A904">
        <v>138</v>
      </c>
      <c r="B904">
        <v>67</v>
      </c>
      <c r="C904" t="s">
        <v>18</v>
      </c>
      <c r="D904" s="3">
        <v>120561</v>
      </c>
      <c r="E904">
        <v>66</v>
      </c>
      <c r="F904">
        <v>2</v>
      </c>
      <c r="G904">
        <v>21</v>
      </c>
      <c r="H904" t="s">
        <v>17</v>
      </c>
      <c r="I904">
        <v>798.2</v>
      </c>
      <c r="J904" t="str">
        <f t="shared" si="14"/>
        <v>High</v>
      </c>
    </row>
    <row r="905" spans="1:10" x14ac:dyDescent="0.25">
      <c r="A905">
        <v>140</v>
      </c>
      <c r="B905">
        <v>18</v>
      </c>
      <c r="C905" t="s">
        <v>18</v>
      </c>
      <c r="D905" s="3">
        <v>78097</v>
      </c>
      <c r="E905">
        <v>84</v>
      </c>
      <c r="F905">
        <v>3</v>
      </c>
      <c r="G905">
        <v>26</v>
      </c>
      <c r="H905" t="s">
        <v>17</v>
      </c>
      <c r="I905">
        <v>453.34</v>
      </c>
      <c r="J905" t="str">
        <f t="shared" si="14"/>
        <v>High</v>
      </c>
    </row>
    <row r="906" spans="1:10" x14ac:dyDescent="0.25">
      <c r="A906">
        <v>157</v>
      </c>
      <c r="B906">
        <v>69</v>
      </c>
      <c r="C906" t="s">
        <v>18</v>
      </c>
      <c r="D906" s="3">
        <v>51990</v>
      </c>
      <c r="E906">
        <v>59</v>
      </c>
      <c r="F906">
        <v>2</v>
      </c>
      <c r="G906">
        <v>37</v>
      </c>
      <c r="H906" t="s">
        <v>17</v>
      </c>
      <c r="I906">
        <v>762.41</v>
      </c>
      <c r="J906" t="str">
        <f t="shared" si="14"/>
        <v>Medium</v>
      </c>
    </row>
    <row r="907" spans="1:10" x14ac:dyDescent="0.25">
      <c r="A907">
        <v>161</v>
      </c>
      <c r="B907">
        <v>69</v>
      </c>
      <c r="C907" t="s">
        <v>18</v>
      </c>
      <c r="D907" s="3">
        <v>117782</v>
      </c>
      <c r="E907">
        <v>18</v>
      </c>
      <c r="F907">
        <v>1</v>
      </c>
      <c r="G907">
        <v>15</v>
      </c>
      <c r="H907" t="s">
        <v>15</v>
      </c>
      <c r="I907">
        <v>762.55</v>
      </c>
      <c r="J907" t="str">
        <f t="shared" si="14"/>
        <v>Low</v>
      </c>
    </row>
    <row r="908" spans="1:10" x14ac:dyDescent="0.25">
      <c r="A908">
        <v>169</v>
      </c>
      <c r="B908">
        <v>51</v>
      </c>
      <c r="C908" t="s">
        <v>18</v>
      </c>
      <c r="D908" s="3">
        <v>58930</v>
      </c>
      <c r="E908">
        <v>95</v>
      </c>
      <c r="F908">
        <v>5</v>
      </c>
      <c r="G908">
        <v>33</v>
      </c>
      <c r="H908" t="s">
        <v>15</v>
      </c>
      <c r="I908">
        <v>115.09</v>
      </c>
      <c r="J908" t="str">
        <f t="shared" si="14"/>
        <v>High</v>
      </c>
    </row>
    <row r="909" spans="1:10" x14ac:dyDescent="0.25">
      <c r="A909">
        <v>175</v>
      </c>
      <c r="B909">
        <v>33</v>
      </c>
      <c r="C909" t="s">
        <v>18</v>
      </c>
      <c r="D909" s="3">
        <v>81766</v>
      </c>
      <c r="E909">
        <v>86</v>
      </c>
      <c r="F909">
        <v>1</v>
      </c>
      <c r="G909">
        <v>16</v>
      </c>
      <c r="H909" t="s">
        <v>15</v>
      </c>
      <c r="I909">
        <v>160.11000000000001</v>
      </c>
      <c r="J909" t="str">
        <f t="shared" si="14"/>
        <v>High</v>
      </c>
    </row>
    <row r="910" spans="1:10" x14ac:dyDescent="0.25">
      <c r="A910">
        <v>200</v>
      </c>
      <c r="B910">
        <v>63</v>
      </c>
      <c r="C910" t="s">
        <v>18</v>
      </c>
      <c r="D910" s="3">
        <v>113240</v>
      </c>
      <c r="E910">
        <v>47</v>
      </c>
      <c r="F910">
        <v>9</v>
      </c>
      <c r="G910">
        <v>22</v>
      </c>
      <c r="H910" t="s">
        <v>17</v>
      </c>
      <c r="I910">
        <v>279.95999999999998</v>
      </c>
      <c r="J910" t="str">
        <f t="shared" si="14"/>
        <v>Medium</v>
      </c>
    </row>
    <row r="911" spans="1:10" x14ac:dyDescent="0.25">
      <c r="A911">
        <v>208</v>
      </c>
      <c r="B911">
        <v>59</v>
      </c>
      <c r="C911" t="s">
        <v>18</v>
      </c>
      <c r="D911" s="3">
        <v>70050</v>
      </c>
      <c r="E911">
        <v>62</v>
      </c>
      <c r="F911">
        <v>3</v>
      </c>
      <c r="G911">
        <v>10</v>
      </c>
      <c r="H911" t="s">
        <v>17</v>
      </c>
      <c r="I911">
        <v>49.53</v>
      </c>
      <c r="J911" t="str">
        <f t="shared" si="14"/>
        <v>Medium</v>
      </c>
    </row>
    <row r="912" spans="1:10" x14ac:dyDescent="0.25">
      <c r="A912">
        <v>211</v>
      </c>
      <c r="B912">
        <v>40</v>
      </c>
      <c r="C912" t="s">
        <v>18</v>
      </c>
      <c r="D912" s="3">
        <v>83445</v>
      </c>
      <c r="E912">
        <v>89</v>
      </c>
      <c r="F912">
        <v>7</v>
      </c>
      <c r="G912">
        <v>11</v>
      </c>
      <c r="H912" t="s">
        <v>17</v>
      </c>
      <c r="I912">
        <v>356.35</v>
      </c>
      <c r="J912" t="str">
        <f t="shared" si="14"/>
        <v>High</v>
      </c>
    </row>
    <row r="913" spans="1:10" x14ac:dyDescent="0.25">
      <c r="A913">
        <v>213</v>
      </c>
      <c r="B913">
        <v>47</v>
      </c>
      <c r="C913" t="s">
        <v>18</v>
      </c>
      <c r="D913" s="3">
        <v>121498</v>
      </c>
      <c r="E913">
        <v>29</v>
      </c>
      <c r="F913">
        <v>9</v>
      </c>
      <c r="G913">
        <v>28</v>
      </c>
      <c r="H913" t="s">
        <v>15</v>
      </c>
      <c r="I913">
        <v>706.37</v>
      </c>
      <c r="J913" t="str">
        <f t="shared" si="14"/>
        <v>Low</v>
      </c>
    </row>
    <row r="914" spans="1:10" x14ac:dyDescent="0.25">
      <c r="A914">
        <v>217</v>
      </c>
      <c r="B914">
        <v>46</v>
      </c>
      <c r="C914" t="s">
        <v>18</v>
      </c>
      <c r="D914" s="3">
        <v>82034</v>
      </c>
      <c r="E914">
        <v>19</v>
      </c>
      <c r="F914">
        <v>2</v>
      </c>
      <c r="G914">
        <v>45</v>
      </c>
      <c r="H914" t="s">
        <v>15</v>
      </c>
      <c r="I914">
        <v>635.92999999999995</v>
      </c>
      <c r="J914" t="str">
        <f t="shared" si="14"/>
        <v>Low</v>
      </c>
    </row>
    <row r="915" spans="1:10" x14ac:dyDescent="0.25">
      <c r="A915">
        <v>223</v>
      </c>
      <c r="B915">
        <v>53</v>
      </c>
      <c r="C915" t="s">
        <v>18</v>
      </c>
      <c r="D915" s="3">
        <v>146546</v>
      </c>
      <c r="E915">
        <v>12</v>
      </c>
      <c r="F915">
        <v>6</v>
      </c>
      <c r="G915">
        <v>45</v>
      </c>
      <c r="H915" t="s">
        <v>15</v>
      </c>
      <c r="I915">
        <v>915.02</v>
      </c>
      <c r="J915" t="str">
        <f t="shared" si="14"/>
        <v>Low</v>
      </c>
    </row>
    <row r="916" spans="1:10" x14ac:dyDescent="0.25">
      <c r="A916">
        <v>234</v>
      </c>
      <c r="B916">
        <v>29</v>
      </c>
      <c r="C916" t="s">
        <v>18</v>
      </c>
      <c r="D916" s="3">
        <v>96066</v>
      </c>
      <c r="E916">
        <v>45</v>
      </c>
      <c r="F916">
        <v>7</v>
      </c>
      <c r="G916">
        <v>24</v>
      </c>
      <c r="H916" t="s">
        <v>15</v>
      </c>
      <c r="I916">
        <v>479.36</v>
      </c>
      <c r="J916" t="str">
        <f t="shared" si="14"/>
        <v>Medium</v>
      </c>
    </row>
    <row r="917" spans="1:10" x14ac:dyDescent="0.25">
      <c r="A917">
        <v>241</v>
      </c>
      <c r="B917">
        <v>41</v>
      </c>
      <c r="C917" t="s">
        <v>18</v>
      </c>
      <c r="D917" s="3">
        <v>41748</v>
      </c>
      <c r="E917">
        <v>50</v>
      </c>
      <c r="F917">
        <v>8</v>
      </c>
      <c r="G917">
        <v>5</v>
      </c>
      <c r="H917" t="s">
        <v>15</v>
      </c>
      <c r="I917">
        <v>35.159999999999997</v>
      </c>
      <c r="J917" t="str">
        <f t="shared" si="14"/>
        <v>Medium</v>
      </c>
    </row>
    <row r="918" spans="1:10" x14ac:dyDescent="0.25">
      <c r="A918">
        <v>249</v>
      </c>
      <c r="B918">
        <v>54</v>
      </c>
      <c r="C918" t="s">
        <v>18</v>
      </c>
      <c r="D918" s="3">
        <v>134743</v>
      </c>
      <c r="E918">
        <v>98</v>
      </c>
      <c r="F918">
        <v>9</v>
      </c>
      <c r="G918">
        <v>42</v>
      </c>
      <c r="H918" t="s">
        <v>15</v>
      </c>
      <c r="I918">
        <v>894.21</v>
      </c>
      <c r="J918" t="str">
        <f t="shared" si="14"/>
        <v>High</v>
      </c>
    </row>
    <row r="919" spans="1:10" x14ac:dyDescent="0.25">
      <c r="A919">
        <v>260</v>
      </c>
      <c r="B919">
        <v>39</v>
      </c>
      <c r="C919" t="s">
        <v>18</v>
      </c>
      <c r="D919" s="3">
        <v>56381</v>
      </c>
      <c r="E919">
        <v>82</v>
      </c>
      <c r="F919">
        <v>6</v>
      </c>
      <c r="G919">
        <v>19</v>
      </c>
      <c r="H919" t="s">
        <v>15</v>
      </c>
      <c r="I919">
        <v>759.6</v>
      </c>
      <c r="J919" t="str">
        <f t="shared" si="14"/>
        <v>High</v>
      </c>
    </row>
    <row r="920" spans="1:10" x14ac:dyDescent="0.25">
      <c r="A920">
        <v>269</v>
      </c>
      <c r="B920">
        <v>33</v>
      </c>
      <c r="C920" t="s">
        <v>18</v>
      </c>
      <c r="D920" s="3">
        <v>118116</v>
      </c>
      <c r="E920">
        <v>100</v>
      </c>
      <c r="F920">
        <v>9</v>
      </c>
      <c r="G920">
        <v>48</v>
      </c>
      <c r="H920" t="s">
        <v>15</v>
      </c>
      <c r="I920">
        <v>21.9</v>
      </c>
      <c r="J920" t="str">
        <f t="shared" si="14"/>
        <v>High</v>
      </c>
    </row>
    <row r="921" spans="1:10" x14ac:dyDescent="0.25">
      <c r="A921">
        <v>272</v>
      </c>
      <c r="B921">
        <v>52</v>
      </c>
      <c r="C921" t="s">
        <v>18</v>
      </c>
      <c r="D921" s="3">
        <v>104033</v>
      </c>
      <c r="E921">
        <v>6</v>
      </c>
      <c r="F921">
        <v>5</v>
      </c>
      <c r="G921">
        <v>15</v>
      </c>
      <c r="H921" t="s">
        <v>17</v>
      </c>
      <c r="I921">
        <v>192.31</v>
      </c>
      <c r="J921" t="str">
        <f t="shared" si="14"/>
        <v>Low</v>
      </c>
    </row>
    <row r="922" spans="1:10" x14ac:dyDescent="0.25">
      <c r="A922">
        <v>280</v>
      </c>
      <c r="B922">
        <v>53</v>
      </c>
      <c r="C922" t="s">
        <v>18</v>
      </c>
      <c r="D922" s="3">
        <v>61826</v>
      </c>
      <c r="E922">
        <v>96</v>
      </c>
      <c r="F922">
        <v>1</v>
      </c>
      <c r="G922">
        <v>14</v>
      </c>
      <c r="H922" t="s">
        <v>17</v>
      </c>
      <c r="I922">
        <v>577</v>
      </c>
      <c r="J922" t="str">
        <f t="shared" si="14"/>
        <v>High</v>
      </c>
    </row>
    <row r="923" spans="1:10" x14ac:dyDescent="0.25">
      <c r="A923">
        <v>285</v>
      </c>
      <c r="B923">
        <v>63</v>
      </c>
      <c r="C923" t="s">
        <v>18</v>
      </c>
      <c r="D923" s="3">
        <v>121652</v>
      </c>
      <c r="E923">
        <v>20</v>
      </c>
      <c r="F923">
        <v>1</v>
      </c>
      <c r="G923">
        <v>26</v>
      </c>
      <c r="H923" t="s">
        <v>15</v>
      </c>
      <c r="I923">
        <v>169.58</v>
      </c>
      <c r="J923" t="str">
        <f t="shared" si="14"/>
        <v>Low</v>
      </c>
    </row>
    <row r="924" spans="1:10" x14ac:dyDescent="0.25">
      <c r="A924">
        <v>291</v>
      </c>
      <c r="B924">
        <v>45</v>
      </c>
      <c r="C924" t="s">
        <v>18</v>
      </c>
      <c r="D924" s="3">
        <v>57845</v>
      </c>
      <c r="E924">
        <v>32</v>
      </c>
      <c r="F924">
        <v>6</v>
      </c>
      <c r="G924">
        <v>41</v>
      </c>
      <c r="H924" t="s">
        <v>17</v>
      </c>
      <c r="I924">
        <v>934.34</v>
      </c>
      <c r="J924" t="str">
        <f t="shared" si="14"/>
        <v>Low</v>
      </c>
    </row>
    <row r="925" spans="1:10" x14ac:dyDescent="0.25">
      <c r="A925">
        <v>321</v>
      </c>
      <c r="B925">
        <v>43</v>
      </c>
      <c r="C925" t="s">
        <v>18</v>
      </c>
      <c r="D925" s="3">
        <v>78858</v>
      </c>
      <c r="E925">
        <v>4</v>
      </c>
      <c r="F925">
        <v>3</v>
      </c>
      <c r="G925">
        <v>38</v>
      </c>
      <c r="H925" t="s">
        <v>15</v>
      </c>
      <c r="I925">
        <v>261.19</v>
      </c>
      <c r="J925" t="str">
        <f t="shared" si="14"/>
        <v>Low</v>
      </c>
    </row>
    <row r="926" spans="1:10" x14ac:dyDescent="0.25">
      <c r="A926">
        <v>339</v>
      </c>
      <c r="B926">
        <v>28</v>
      </c>
      <c r="C926" t="s">
        <v>18</v>
      </c>
      <c r="D926" s="3">
        <v>111697</v>
      </c>
      <c r="E926">
        <v>92</v>
      </c>
      <c r="F926">
        <v>9</v>
      </c>
      <c r="G926">
        <v>50</v>
      </c>
      <c r="H926" t="s">
        <v>15</v>
      </c>
      <c r="I926">
        <v>205.58</v>
      </c>
      <c r="J926" t="str">
        <f t="shared" si="14"/>
        <v>High</v>
      </c>
    </row>
    <row r="927" spans="1:10" x14ac:dyDescent="0.25">
      <c r="A927">
        <v>342</v>
      </c>
      <c r="B927">
        <v>69</v>
      </c>
      <c r="C927" t="s">
        <v>18</v>
      </c>
      <c r="D927" s="3">
        <v>71688</v>
      </c>
      <c r="E927">
        <v>69</v>
      </c>
      <c r="F927">
        <v>4</v>
      </c>
      <c r="G927">
        <v>25</v>
      </c>
      <c r="H927" t="s">
        <v>17</v>
      </c>
      <c r="I927">
        <v>532.23</v>
      </c>
      <c r="J927" t="str">
        <f t="shared" si="14"/>
        <v>High</v>
      </c>
    </row>
    <row r="928" spans="1:10" x14ac:dyDescent="0.25">
      <c r="A928">
        <v>347</v>
      </c>
      <c r="B928">
        <v>38</v>
      </c>
      <c r="C928" t="s">
        <v>18</v>
      </c>
      <c r="D928" s="3">
        <v>42378</v>
      </c>
      <c r="E928">
        <v>36</v>
      </c>
      <c r="F928">
        <v>5</v>
      </c>
      <c r="G928">
        <v>20</v>
      </c>
      <c r="H928" t="s">
        <v>15</v>
      </c>
      <c r="I928">
        <v>279.77</v>
      </c>
      <c r="J928" t="str">
        <f t="shared" si="14"/>
        <v>Medium</v>
      </c>
    </row>
    <row r="929" spans="1:10" x14ac:dyDescent="0.25">
      <c r="A929">
        <v>367</v>
      </c>
      <c r="B929">
        <v>65</v>
      </c>
      <c r="C929" t="s">
        <v>18</v>
      </c>
      <c r="D929" s="3">
        <v>65576</v>
      </c>
      <c r="E929">
        <v>91</v>
      </c>
      <c r="F929">
        <v>5</v>
      </c>
      <c r="G929">
        <v>12</v>
      </c>
      <c r="H929" t="s">
        <v>17</v>
      </c>
      <c r="I929">
        <v>782.55</v>
      </c>
      <c r="J929" t="str">
        <f t="shared" si="14"/>
        <v>High</v>
      </c>
    </row>
    <row r="930" spans="1:10" x14ac:dyDescent="0.25">
      <c r="A930">
        <v>372</v>
      </c>
      <c r="B930">
        <v>39</v>
      </c>
      <c r="C930" t="s">
        <v>18</v>
      </c>
      <c r="D930" s="3">
        <v>53805</v>
      </c>
      <c r="E930">
        <v>71</v>
      </c>
      <c r="F930">
        <v>5</v>
      </c>
      <c r="G930">
        <v>16</v>
      </c>
      <c r="H930" t="s">
        <v>15</v>
      </c>
      <c r="I930">
        <v>372.03</v>
      </c>
      <c r="J930" t="str">
        <f t="shared" si="14"/>
        <v>High</v>
      </c>
    </row>
    <row r="931" spans="1:10" x14ac:dyDescent="0.25">
      <c r="A931">
        <v>379</v>
      </c>
      <c r="B931">
        <v>41</v>
      </c>
      <c r="C931" t="s">
        <v>18</v>
      </c>
      <c r="D931" s="3">
        <v>30074</v>
      </c>
      <c r="E931">
        <v>95</v>
      </c>
      <c r="F931">
        <v>8</v>
      </c>
      <c r="G931">
        <v>19</v>
      </c>
      <c r="H931" t="s">
        <v>17</v>
      </c>
      <c r="I931">
        <v>78.819999999999993</v>
      </c>
      <c r="J931" t="str">
        <f t="shared" si="14"/>
        <v>High</v>
      </c>
    </row>
    <row r="932" spans="1:10" x14ac:dyDescent="0.25">
      <c r="A932">
        <v>381</v>
      </c>
      <c r="B932">
        <v>67</v>
      </c>
      <c r="C932" t="s">
        <v>18</v>
      </c>
      <c r="D932" s="3">
        <v>104036</v>
      </c>
      <c r="E932">
        <v>56</v>
      </c>
      <c r="F932">
        <v>10</v>
      </c>
      <c r="G932">
        <v>37</v>
      </c>
      <c r="H932" t="s">
        <v>15</v>
      </c>
      <c r="I932">
        <v>998.98</v>
      </c>
      <c r="J932" t="str">
        <f t="shared" si="14"/>
        <v>Medium</v>
      </c>
    </row>
    <row r="933" spans="1:10" x14ac:dyDescent="0.25">
      <c r="A933">
        <v>391</v>
      </c>
      <c r="B933">
        <v>67</v>
      </c>
      <c r="C933" t="s">
        <v>18</v>
      </c>
      <c r="D933" s="3">
        <v>101759</v>
      </c>
      <c r="E933">
        <v>57</v>
      </c>
      <c r="F933">
        <v>3</v>
      </c>
      <c r="G933">
        <v>19</v>
      </c>
      <c r="H933" t="s">
        <v>15</v>
      </c>
      <c r="I933">
        <v>670.51</v>
      </c>
      <c r="J933" t="str">
        <f t="shared" si="14"/>
        <v>Medium</v>
      </c>
    </row>
    <row r="934" spans="1:10" x14ac:dyDescent="0.25">
      <c r="A934">
        <v>393</v>
      </c>
      <c r="B934">
        <v>55</v>
      </c>
      <c r="C934" t="s">
        <v>18</v>
      </c>
      <c r="D934" s="3">
        <v>127542</v>
      </c>
      <c r="E934">
        <v>79</v>
      </c>
      <c r="F934">
        <v>8</v>
      </c>
      <c r="G934">
        <v>12</v>
      </c>
      <c r="H934" t="s">
        <v>17</v>
      </c>
      <c r="I934">
        <v>632.6</v>
      </c>
      <c r="J934" t="str">
        <f t="shared" si="14"/>
        <v>High</v>
      </c>
    </row>
    <row r="935" spans="1:10" x14ac:dyDescent="0.25">
      <c r="A935">
        <v>394</v>
      </c>
      <c r="B935">
        <v>69</v>
      </c>
      <c r="C935" t="s">
        <v>18</v>
      </c>
      <c r="D935" s="3">
        <v>74331</v>
      </c>
      <c r="E935">
        <v>83</v>
      </c>
      <c r="F935">
        <v>9</v>
      </c>
      <c r="G935">
        <v>11</v>
      </c>
      <c r="H935" t="s">
        <v>17</v>
      </c>
      <c r="I935">
        <v>341.63</v>
      </c>
      <c r="J935" t="str">
        <f t="shared" si="14"/>
        <v>High</v>
      </c>
    </row>
    <row r="936" spans="1:10" x14ac:dyDescent="0.25">
      <c r="A936">
        <v>400</v>
      </c>
      <c r="B936">
        <v>41</v>
      </c>
      <c r="C936" t="s">
        <v>18</v>
      </c>
      <c r="D936" s="3">
        <v>147962</v>
      </c>
      <c r="E936">
        <v>90</v>
      </c>
      <c r="F936">
        <v>2</v>
      </c>
      <c r="G936">
        <v>9</v>
      </c>
      <c r="H936" t="s">
        <v>17</v>
      </c>
      <c r="I936">
        <v>688.61</v>
      </c>
      <c r="J936" t="str">
        <f t="shared" si="14"/>
        <v>High</v>
      </c>
    </row>
    <row r="937" spans="1:10" x14ac:dyDescent="0.25">
      <c r="A937">
        <v>411</v>
      </c>
      <c r="B937">
        <v>43</v>
      </c>
      <c r="C937" t="s">
        <v>18</v>
      </c>
      <c r="D937" s="3">
        <v>89856</v>
      </c>
      <c r="E937">
        <v>96</v>
      </c>
      <c r="F937">
        <v>3</v>
      </c>
      <c r="G937">
        <v>2</v>
      </c>
      <c r="H937" t="s">
        <v>17</v>
      </c>
      <c r="I937">
        <v>114.47</v>
      </c>
      <c r="J937" t="str">
        <f t="shared" si="14"/>
        <v>High</v>
      </c>
    </row>
    <row r="938" spans="1:10" x14ac:dyDescent="0.25">
      <c r="A938">
        <v>418</v>
      </c>
      <c r="B938">
        <v>51</v>
      </c>
      <c r="C938" t="s">
        <v>18</v>
      </c>
      <c r="D938" s="3">
        <v>97565</v>
      </c>
      <c r="E938">
        <v>48</v>
      </c>
      <c r="F938">
        <v>10</v>
      </c>
      <c r="G938">
        <v>31</v>
      </c>
      <c r="H938" t="s">
        <v>17</v>
      </c>
      <c r="I938">
        <v>656.9</v>
      </c>
      <c r="J938" t="str">
        <f t="shared" si="14"/>
        <v>Medium</v>
      </c>
    </row>
    <row r="939" spans="1:10" x14ac:dyDescent="0.25">
      <c r="A939">
        <v>421</v>
      </c>
      <c r="B939">
        <v>46</v>
      </c>
      <c r="C939" t="s">
        <v>18</v>
      </c>
      <c r="D939" s="3">
        <v>90871</v>
      </c>
      <c r="E939">
        <v>56</v>
      </c>
      <c r="F939">
        <v>4</v>
      </c>
      <c r="G939">
        <v>39</v>
      </c>
      <c r="H939" t="s">
        <v>17</v>
      </c>
      <c r="I939">
        <v>592.97</v>
      </c>
      <c r="J939" t="str">
        <f t="shared" si="14"/>
        <v>Medium</v>
      </c>
    </row>
    <row r="940" spans="1:10" x14ac:dyDescent="0.25">
      <c r="A940">
        <v>427</v>
      </c>
      <c r="B940">
        <v>47</v>
      </c>
      <c r="C940" t="s">
        <v>18</v>
      </c>
      <c r="D940" s="3">
        <v>49336</v>
      </c>
      <c r="E940">
        <v>11</v>
      </c>
      <c r="F940">
        <v>10</v>
      </c>
      <c r="G940">
        <v>11</v>
      </c>
      <c r="H940" t="s">
        <v>15</v>
      </c>
      <c r="I940">
        <v>877.17</v>
      </c>
      <c r="J940" t="str">
        <f t="shared" si="14"/>
        <v>Low</v>
      </c>
    </row>
    <row r="941" spans="1:10" x14ac:dyDescent="0.25">
      <c r="A941">
        <v>432</v>
      </c>
      <c r="B941">
        <v>29</v>
      </c>
      <c r="C941" t="s">
        <v>18</v>
      </c>
      <c r="D941" s="3">
        <v>133291</v>
      </c>
      <c r="E941">
        <v>52</v>
      </c>
      <c r="F941">
        <v>4</v>
      </c>
      <c r="G941">
        <v>42</v>
      </c>
      <c r="H941" t="s">
        <v>17</v>
      </c>
      <c r="I941">
        <v>916.28</v>
      </c>
      <c r="J941" t="str">
        <f t="shared" si="14"/>
        <v>Medium</v>
      </c>
    </row>
    <row r="942" spans="1:10" x14ac:dyDescent="0.25">
      <c r="A942">
        <v>439</v>
      </c>
      <c r="B942">
        <v>63</v>
      </c>
      <c r="C942" t="s">
        <v>18</v>
      </c>
      <c r="D942" s="3">
        <v>118402</v>
      </c>
      <c r="E942">
        <v>74</v>
      </c>
      <c r="F942">
        <v>3</v>
      </c>
      <c r="G942">
        <v>12</v>
      </c>
      <c r="H942" t="s">
        <v>15</v>
      </c>
      <c r="I942">
        <v>828.04</v>
      </c>
      <c r="J942" t="str">
        <f t="shared" si="14"/>
        <v>High</v>
      </c>
    </row>
    <row r="943" spans="1:10" x14ac:dyDescent="0.25">
      <c r="A943">
        <v>440</v>
      </c>
      <c r="B943">
        <v>23</v>
      </c>
      <c r="C943" t="s">
        <v>18</v>
      </c>
      <c r="D943" s="3">
        <v>130546</v>
      </c>
      <c r="E943">
        <v>71</v>
      </c>
      <c r="F943">
        <v>9</v>
      </c>
      <c r="G943">
        <v>36</v>
      </c>
      <c r="H943" t="s">
        <v>15</v>
      </c>
      <c r="I943">
        <v>799.33</v>
      </c>
      <c r="J943" t="str">
        <f t="shared" si="14"/>
        <v>High</v>
      </c>
    </row>
    <row r="944" spans="1:10" x14ac:dyDescent="0.25">
      <c r="A944">
        <v>442</v>
      </c>
      <c r="B944">
        <v>26</v>
      </c>
      <c r="C944" t="s">
        <v>18</v>
      </c>
      <c r="D944" s="3">
        <v>84460</v>
      </c>
      <c r="E944">
        <v>45</v>
      </c>
      <c r="F944">
        <v>1</v>
      </c>
      <c r="G944">
        <v>33</v>
      </c>
      <c r="H944" t="s">
        <v>17</v>
      </c>
      <c r="I944">
        <v>219.67</v>
      </c>
      <c r="J944" t="str">
        <f t="shared" si="14"/>
        <v>Medium</v>
      </c>
    </row>
    <row r="945" spans="1:10" x14ac:dyDescent="0.25">
      <c r="A945">
        <v>448</v>
      </c>
      <c r="B945">
        <v>31</v>
      </c>
      <c r="C945" t="s">
        <v>18</v>
      </c>
      <c r="D945" s="3">
        <v>46106</v>
      </c>
      <c r="E945">
        <v>72</v>
      </c>
      <c r="F945">
        <v>7</v>
      </c>
      <c r="G945">
        <v>2</v>
      </c>
      <c r="H945" t="s">
        <v>15</v>
      </c>
      <c r="I945">
        <v>59.82</v>
      </c>
      <c r="J945" t="str">
        <f t="shared" si="14"/>
        <v>High</v>
      </c>
    </row>
    <row r="946" spans="1:10" x14ac:dyDescent="0.25">
      <c r="A946">
        <v>452</v>
      </c>
      <c r="B946">
        <v>45</v>
      </c>
      <c r="C946" t="s">
        <v>18</v>
      </c>
      <c r="D946" s="3">
        <v>93800</v>
      </c>
      <c r="E946">
        <v>33</v>
      </c>
      <c r="F946">
        <v>10</v>
      </c>
      <c r="G946">
        <v>32</v>
      </c>
      <c r="H946" t="s">
        <v>15</v>
      </c>
      <c r="I946">
        <v>391.45</v>
      </c>
      <c r="J946" t="str">
        <f t="shared" si="14"/>
        <v>Medium</v>
      </c>
    </row>
    <row r="947" spans="1:10" x14ac:dyDescent="0.25">
      <c r="A947">
        <v>460</v>
      </c>
      <c r="B947">
        <v>55</v>
      </c>
      <c r="C947" t="s">
        <v>18</v>
      </c>
      <c r="D947" s="3">
        <v>105647</v>
      </c>
      <c r="E947">
        <v>94</v>
      </c>
      <c r="F947">
        <v>1</v>
      </c>
      <c r="G947">
        <v>14</v>
      </c>
      <c r="H947" t="s">
        <v>15</v>
      </c>
      <c r="I947">
        <v>737.91</v>
      </c>
      <c r="J947" t="str">
        <f t="shared" si="14"/>
        <v>High</v>
      </c>
    </row>
    <row r="948" spans="1:10" x14ac:dyDescent="0.25">
      <c r="A948">
        <v>464</v>
      </c>
      <c r="B948">
        <v>65</v>
      </c>
      <c r="C948" t="s">
        <v>18</v>
      </c>
      <c r="D948" s="3">
        <v>138529</v>
      </c>
      <c r="E948">
        <v>87</v>
      </c>
      <c r="F948">
        <v>10</v>
      </c>
      <c r="G948">
        <v>14</v>
      </c>
      <c r="H948" t="s">
        <v>15</v>
      </c>
      <c r="I948">
        <v>461.61</v>
      </c>
      <c r="J948" t="str">
        <f t="shared" si="14"/>
        <v>High</v>
      </c>
    </row>
    <row r="949" spans="1:10" x14ac:dyDescent="0.25">
      <c r="A949">
        <v>465</v>
      </c>
      <c r="B949">
        <v>54</v>
      </c>
      <c r="C949" t="s">
        <v>18</v>
      </c>
      <c r="D949" s="3">
        <v>40858</v>
      </c>
      <c r="E949">
        <v>48</v>
      </c>
      <c r="F949">
        <v>6</v>
      </c>
      <c r="G949">
        <v>20</v>
      </c>
      <c r="H949" t="s">
        <v>17</v>
      </c>
      <c r="I949">
        <v>34.880000000000003</v>
      </c>
      <c r="J949" t="str">
        <f t="shared" si="14"/>
        <v>Medium</v>
      </c>
    </row>
    <row r="950" spans="1:10" x14ac:dyDescent="0.25">
      <c r="A950">
        <v>480</v>
      </c>
      <c r="B950">
        <v>19</v>
      </c>
      <c r="C950" t="s">
        <v>18</v>
      </c>
      <c r="D950" s="3">
        <v>35529</v>
      </c>
      <c r="E950">
        <v>62</v>
      </c>
      <c r="F950">
        <v>4</v>
      </c>
      <c r="G950">
        <v>24</v>
      </c>
      <c r="H950" t="s">
        <v>17</v>
      </c>
      <c r="I950">
        <v>177.69</v>
      </c>
      <c r="J950" t="str">
        <f t="shared" si="14"/>
        <v>Medium</v>
      </c>
    </row>
    <row r="951" spans="1:10" x14ac:dyDescent="0.25">
      <c r="A951">
        <v>490</v>
      </c>
      <c r="B951">
        <v>19</v>
      </c>
      <c r="C951" t="s">
        <v>18</v>
      </c>
      <c r="D951" s="3">
        <v>113254</v>
      </c>
      <c r="E951">
        <v>38</v>
      </c>
      <c r="F951">
        <v>5</v>
      </c>
      <c r="G951">
        <v>35</v>
      </c>
      <c r="H951" t="s">
        <v>17</v>
      </c>
      <c r="I951">
        <v>633.5</v>
      </c>
      <c r="J951" t="str">
        <f t="shared" si="14"/>
        <v>Medium</v>
      </c>
    </row>
    <row r="952" spans="1:10" x14ac:dyDescent="0.25">
      <c r="A952">
        <v>493</v>
      </c>
      <c r="B952">
        <v>51</v>
      </c>
      <c r="C952" t="s">
        <v>18</v>
      </c>
      <c r="D952" s="3">
        <v>120616</v>
      </c>
      <c r="E952">
        <v>71</v>
      </c>
      <c r="F952">
        <v>1</v>
      </c>
      <c r="G952">
        <v>16</v>
      </c>
      <c r="H952" t="s">
        <v>17</v>
      </c>
      <c r="I952">
        <v>542.03</v>
      </c>
      <c r="J952" t="str">
        <f t="shared" si="14"/>
        <v>High</v>
      </c>
    </row>
    <row r="953" spans="1:10" x14ac:dyDescent="0.25">
      <c r="A953">
        <v>496</v>
      </c>
      <c r="B953">
        <v>33</v>
      </c>
      <c r="C953" t="s">
        <v>18</v>
      </c>
      <c r="D953" s="3">
        <v>65486</v>
      </c>
      <c r="E953">
        <v>76</v>
      </c>
      <c r="F953">
        <v>2</v>
      </c>
      <c r="G953">
        <v>11</v>
      </c>
      <c r="H953" t="s">
        <v>15</v>
      </c>
      <c r="I953">
        <v>302.05</v>
      </c>
      <c r="J953" t="str">
        <f t="shared" si="14"/>
        <v>High</v>
      </c>
    </row>
    <row r="954" spans="1:10" x14ac:dyDescent="0.25">
      <c r="A954">
        <v>519</v>
      </c>
      <c r="B954">
        <v>45</v>
      </c>
      <c r="C954" t="s">
        <v>18</v>
      </c>
      <c r="D954" s="3">
        <v>67753</v>
      </c>
      <c r="E954">
        <v>64</v>
      </c>
      <c r="F954">
        <v>4</v>
      </c>
      <c r="G954">
        <v>48</v>
      </c>
      <c r="H954" t="s">
        <v>15</v>
      </c>
      <c r="I954">
        <v>926.69</v>
      </c>
      <c r="J954" t="str">
        <f t="shared" si="14"/>
        <v>Medium</v>
      </c>
    </row>
    <row r="955" spans="1:10" x14ac:dyDescent="0.25">
      <c r="A955">
        <v>525</v>
      </c>
      <c r="B955">
        <v>33</v>
      </c>
      <c r="C955" t="s">
        <v>18</v>
      </c>
      <c r="D955" s="3">
        <v>90232</v>
      </c>
      <c r="E955">
        <v>19</v>
      </c>
      <c r="F955">
        <v>2</v>
      </c>
      <c r="G955">
        <v>8</v>
      </c>
      <c r="H955" t="s">
        <v>17</v>
      </c>
      <c r="I955">
        <v>255.08</v>
      </c>
      <c r="J955" t="str">
        <f t="shared" si="14"/>
        <v>Low</v>
      </c>
    </row>
    <row r="956" spans="1:10" x14ac:dyDescent="0.25">
      <c r="A956">
        <v>527</v>
      </c>
      <c r="B956">
        <v>62</v>
      </c>
      <c r="C956" t="s">
        <v>18</v>
      </c>
      <c r="D956" s="3">
        <v>117704</v>
      </c>
      <c r="E956">
        <v>37</v>
      </c>
      <c r="F956">
        <v>3</v>
      </c>
      <c r="G956">
        <v>48</v>
      </c>
      <c r="H956" t="s">
        <v>15</v>
      </c>
      <c r="I956">
        <v>112.11</v>
      </c>
      <c r="J956" t="str">
        <f t="shared" si="14"/>
        <v>Medium</v>
      </c>
    </row>
    <row r="957" spans="1:10" x14ac:dyDescent="0.25">
      <c r="A957">
        <v>528</v>
      </c>
      <c r="B957">
        <v>23</v>
      </c>
      <c r="C957" t="s">
        <v>18</v>
      </c>
      <c r="D957" s="3">
        <v>144577</v>
      </c>
      <c r="E957">
        <v>75</v>
      </c>
      <c r="F957">
        <v>1</v>
      </c>
      <c r="G957">
        <v>9</v>
      </c>
      <c r="H957" t="s">
        <v>17</v>
      </c>
      <c r="I957">
        <v>826.02</v>
      </c>
      <c r="J957" t="str">
        <f t="shared" si="14"/>
        <v>High</v>
      </c>
    </row>
    <row r="958" spans="1:10" x14ac:dyDescent="0.25">
      <c r="A958">
        <v>536</v>
      </c>
      <c r="B958">
        <v>62</v>
      </c>
      <c r="C958" t="s">
        <v>18</v>
      </c>
      <c r="D958" s="3">
        <v>74474</v>
      </c>
      <c r="E958">
        <v>49</v>
      </c>
      <c r="F958">
        <v>2</v>
      </c>
      <c r="G958">
        <v>18</v>
      </c>
      <c r="H958" t="s">
        <v>15</v>
      </c>
      <c r="I958">
        <v>933.65</v>
      </c>
      <c r="J958" t="str">
        <f t="shared" si="14"/>
        <v>Medium</v>
      </c>
    </row>
    <row r="959" spans="1:10" x14ac:dyDescent="0.25">
      <c r="A959">
        <v>544</v>
      </c>
      <c r="B959">
        <v>66</v>
      </c>
      <c r="C959" t="s">
        <v>18</v>
      </c>
      <c r="D959" s="3">
        <v>126893</v>
      </c>
      <c r="E959">
        <v>3</v>
      </c>
      <c r="F959">
        <v>1</v>
      </c>
      <c r="G959">
        <v>32</v>
      </c>
      <c r="H959" t="s">
        <v>17</v>
      </c>
      <c r="I959">
        <v>199.17</v>
      </c>
      <c r="J959" t="str">
        <f t="shared" si="14"/>
        <v>Low</v>
      </c>
    </row>
    <row r="960" spans="1:10" x14ac:dyDescent="0.25">
      <c r="A960">
        <v>545</v>
      </c>
      <c r="B960">
        <v>23</v>
      </c>
      <c r="C960" t="s">
        <v>18</v>
      </c>
      <c r="D960" s="3">
        <v>123168</v>
      </c>
      <c r="E960">
        <v>80</v>
      </c>
      <c r="F960">
        <v>4</v>
      </c>
      <c r="G960">
        <v>19</v>
      </c>
      <c r="H960" t="s">
        <v>17</v>
      </c>
      <c r="I960">
        <v>860.95</v>
      </c>
      <c r="J960" t="str">
        <f t="shared" si="14"/>
        <v>High</v>
      </c>
    </row>
    <row r="961" spans="1:10" x14ac:dyDescent="0.25">
      <c r="A961">
        <v>585</v>
      </c>
      <c r="B961">
        <v>51</v>
      </c>
      <c r="C961" t="s">
        <v>18</v>
      </c>
      <c r="D961" s="3">
        <v>37310</v>
      </c>
      <c r="E961">
        <v>6</v>
      </c>
      <c r="F961">
        <v>5</v>
      </c>
      <c r="G961">
        <v>14</v>
      </c>
      <c r="H961" t="s">
        <v>15</v>
      </c>
      <c r="I961">
        <v>706.18</v>
      </c>
      <c r="J961" t="str">
        <f t="shared" si="14"/>
        <v>Low</v>
      </c>
    </row>
    <row r="962" spans="1:10" x14ac:dyDescent="0.25">
      <c r="A962">
        <v>593</v>
      </c>
      <c r="B962">
        <v>62</v>
      </c>
      <c r="C962" t="s">
        <v>18</v>
      </c>
      <c r="D962" s="3">
        <v>148501</v>
      </c>
      <c r="E962">
        <v>41</v>
      </c>
      <c r="F962">
        <v>9</v>
      </c>
      <c r="G962">
        <v>32</v>
      </c>
      <c r="H962" t="s">
        <v>15</v>
      </c>
      <c r="I962">
        <v>980.47</v>
      </c>
      <c r="J962" t="str">
        <f t="shared" ref="J962:J1001" si="15">IF(E962&lt;33,"Low",IF(E962&lt;66,"Medium","High"))</f>
        <v>Medium</v>
      </c>
    </row>
    <row r="963" spans="1:10" x14ac:dyDescent="0.25">
      <c r="A963">
        <v>603</v>
      </c>
      <c r="B963">
        <v>33</v>
      </c>
      <c r="C963" t="s">
        <v>18</v>
      </c>
      <c r="D963" s="3">
        <v>53219</v>
      </c>
      <c r="E963">
        <v>33</v>
      </c>
      <c r="F963">
        <v>4</v>
      </c>
      <c r="G963">
        <v>47</v>
      </c>
      <c r="H963" t="s">
        <v>17</v>
      </c>
      <c r="I963">
        <v>251.23</v>
      </c>
      <c r="J963" t="str">
        <f t="shared" si="15"/>
        <v>Medium</v>
      </c>
    </row>
    <row r="964" spans="1:10" x14ac:dyDescent="0.25">
      <c r="A964">
        <v>614</v>
      </c>
      <c r="B964">
        <v>64</v>
      </c>
      <c r="C964" t="s">
        <v>18</v>
      </c>
      <c r="D964" s="3">
        <v>116106</v>
      </c>
      <c r="E964">
        <v>5</v>
      </c>
      <c r="F964">
        <v>1</v>
      </c>
      <c r="G964">
        <v>5</v>
      </c>
      <c r="H964" t="s">
        <v>17</v>
      </c>
      <c r="I964">
        <v>25.86</v>
      </c>
      <c r="J964" t="str">
        <f t="shared" si="15"/>
        <v>Low</v>
      </c>
    </row>
    <row r="965" spans="1:10" x14ac:dyDescent="0.25">
      <c r="A965">
        <v>623</v>
      </c>
      <c r="B965">
        <v>30</v>
      </c>
      <c r="C965" t="s">
        <v>18</v>
      </c>
      <c r="D965" s="3">
        <v>97829</v>
      </c>
      <c r="E965">
        <v>99</v>
      </c>
      <c r="F965">
        <v>4</v>
      </c>
      <c r="G965">
        <v>27</v>
      </c>
      <c r="H965" t="s">
        <v>17</v>
      </c>
      <c r="I965">
        <v>320.95</v>
      </c>
      <c r="J965" t="str">
        <f t="shared" si="15"/>
        <v>High</v>
      </c>
    </row>
    <row r="966" spans="1:10" x14ac:dyDescent="0.25">
      <c r="A966">
        <v>632</v>
      </c>
      <c r="B966">
        <v>29</v>
      </c>
      <c r="C966" t="s">
        <v>18</v>
      </c>
      <c r="D966" s="3">
        <v>72125</v>
      </c>
      <c r="E966">
        <v>41</v>
      </c>
      <c r="F966">
        <v>5</v>
      </c>
      <c r="G966">
        <v>31</v>
      </c>
      <c r="H966" t="s">
        <v>15</v>
      </c>
      <c r="I966">
        <v>507.62</v>
      </c>
      <c r="J966" t="str">
        <f t="shared" si="15"/>
        <v>Medium</v>
      </c>
    </row>
    <row r="967" spans="1:10" x14ac:dyDescent="0.25">
      <c r="A967">
        <v>636</v>
      </c>
      <c r="B967">
        <v>24</v>
      </c>
      <c r="C967" t="s">
        <v>18</v>
      </c>
      <c r="D967" s="3">
        <v>93266</v>
      </c>
      <c r="E967">
        <v>20</v>
      </c>
      <c r="F967">
        <v>1</v>
      </c>
      <c r="G967">
        <v>4</v>
      </c>
      <c r="H967" t="s">
        <v>17</v>
      </c>
      <c r="I967">
        <v>636.29</v>
      </c>
      <c r="J967" t="str">
        <f t="shared" si="15"/>
        <v>Low</v>
      </c>
    </row>
    <row r="968" spans="1:10" x14ac:dyDescent="0.25">
      <c r="A968">
        <v>643</v>
      </c>
      <c r="B968">
        <v>64</v>
      </c>
      <c r="C968" t="s">
        <v>18</v>
      </c>
      <c r="D968" s="3">
        <v>92888</v>
      </c>
      <c r="E968">
        <v>2</v>
      </c>
      <c r="F968">
        <v>7</v>
      </c>
      <c r="G968">
        <v>50</v>
      </c>
      <c r="H968" t="s">
        <v>15</v>
      </c>
      <c r="I968">
        <v>84.98</v>
      </c>
      <c r="J968" t="str">
        <f t="shared" si="15"/>
        <v>Low</v>
      </c>
    </row>
    <row r="969" spans="1:10" x14ac:dyDescent="0.25">
      <c r="A969">
        <v>660</v>
      </c>
      <c r="B969">
        <v>54</v>
      </c>
      <c r="C969" t="s">
        <v>18</v>
      </c>
      <c r="D969" s="3">
        <v>89035</v>
      </c>
      <c r="E969">
        <v>14</v>
      </c>
      <c r="F969">
        <v>4</v>
      </c>
      <c r="G969">
        <v>11</v>
      </c>
      <c r="H969" t="s">
        <v>15</v>
      </c>
      <c r="I969">
        <v>138.81</v>
      </c>
      <c r="J969" t="str">
        <f t="shared" si="15"/>
        <v>Low</v>
      </c>
    </row>
    <row r="970" spans="1:10" x14ac:dyDescent="0.25">
      <c r="A970">
        <v>661</v>
      </c>
      <c r="B970">
        <v>69</v>
      </c>
      <c r="C970" t="s">
        <v>18</v>
      </c>
      <c r="D970" s="3">
        <v>34122</v>
      </c>
      <c r="E970">
        <v>50</v>
      </c>
      <c r="F970">
        <v>4</v>
      </c>
      <c r="G970">
        <v>27</v>
      </c>
      <c r="H970" t="s">
        <v>15</v>
      </c>
      <c r="I970">
        <v>758.44</v>
      </c>
      <c r="J970" t="str">
        <f t="shared" si="15"/>
        <v>Medium</v>
      </c>
    </row>
    <row r="971" spans="1:10" x14ac:dyDescent="0.25">
      <c r="A971">
        <v>667</v>
      </c>
      <c r="B971">
        <v>29</v>
      </c>
      <c r="C971" t="s">
        <v>18</v>
      </c>
      <c r="D971" s="3">
        <v>135394</v>
      </c>
      <c r="E971">
        <v>53</v>
      </c>
      <c r="F971">
        <v>9</v>
      </c>
      <c r="G971">
        <v>36</v>
      </c>
      <c r="H971" t="s">
        <v>17</v>
      </c>
      <c r="I971">
        <v>30.13</v>
      </c>
      <c r="J971" t="str">
        <f t="shared" si="15"/>
        <v>Medium</v>
      </c>
    </row>
    <row r="972" spans="1:10" x14ac:dyDescent="0.25">
      <c r="A972">
        <v>668</v>
      </c>
      <c r="B972">
        <v>27</v>
      </c>
      <c r="C972" t="s">
        <v>18</v>
      </c>
      <c r="D972" s="3">
        <v>48576</v>
      </c>
      <c r="E972">
        <v>29</v>
      </c>
      <c r="F972">
        <v>7</v>
      </c>
      <c r="G972">
        <v>29</v>
      </c>
      <c r="H972" t="s">
        <v>15</v>
      </c>
      <c r="I972">
        <v>976.83</v>
      </c>
      <c r="J972" t="str">
        <f t="shared" si="15"/>
        <v>Low</v>
      </c>
    </row>
    <row r="973" spans="1:10" x14ac:dyDescent="0.25">
      <c r="A973">
        <v>673</v>
      </c>
      <c r="B973">
        <v>47</v>
      </c>
      <c r="C973" t="s">
        <v>18</v>
      </c>
      <c r="D973" s="3">
        <v>40790</v>
      </c>
      <c r="E973">
        <v>36</v>
      </c>
      <c r="F973">
        <v>1</v>
      </c>
      <c r="G973">
        <v>4</v>
      </c>
      <c r="H973" t="s">
        <v>17</v>
      </c>
      <c r="I973">
        <v>913.84</v>
      </c>
      <c r="J973" t="str">
        <f t="shared" si="15"/>
        <v>Medium</v>
      </c>
    </row>
    <row r="974" spans="1:10" x14ac:dyDescent="0.25">
      <c r="A974">
        <v>679</v>
      </c>
      <c r="B974">
        <v>46</v>
      </c>
      <c r="C974" t="s">
        <v>18</v>
      </c>
      <c r="D974" s="3">
        <v>112770</v>
      </c>
      <c r="E974">
        <v>6</v>
      </c>
      <c r="F974">
        <v>10</v>
      </c>
      <c r="G974">
        <v>27</v>
      </c>
      <c r="H974" t="s">
        <v>15</v>
      </c>
      <c r="I974">
        <v>559.73</v>
      </c>
      <c r="J974" t="str">
        <f t="shared" si="15"/>
        <v>Low</v>
      </c>
    </row>
    <row r="975" spans="1:10" x14ac:dyDescent="0.25">
      <c r="A975">
        <v>690</v>
      </c>
      <c r="B975">
        <v>39</v>
      </c>
      <c r="C975" t="s">
        <v>18</v>
      </c>
      <c r="D975" s="3">
        <v>141586</v>
      </c>
      <c r="E975">
        <v>50</v>
      </c>
      <c r="F975">
        <v>4</v>
      </c>
      <c r="G975">
        <v>46</v>
      </c>
      <c r="H975" t="s">
        <v>17</v>
      </c>
      <c r="I975">
        <v>659.67</v>
      </c>
      <c r="J975" t="str">
        <f t="shared" si="15"/>
        <v>Medium</v>
      </c>
    </row>
    <row r="976" spans="1:10" x14ac:dyDescent="0.25">
      <c r="A976">
        <v>697</v>
      </c>
      <c r="B976">
        <v>36</v>
      </c>
      <c r="C976" t="s">
        <v>18</v>
      </c>
      <c r="D976" s="3">
        <v>114281</v>
      </c>
      <c r="E976">
        <v>99</v>
      </c>
      <c r="F976">
        <v>7</v>
      </c>
      <c r="G976">
        <v>6</v>
      </c>
      <c r="H976" t="s">
        <v>15</v>
      </c>
      <c r="I976">
        <v>217.78</v>
      </c>
      <c r="J976" t="str">
        <f t="shared" si="15"/>
        <v>High</v>
      </c>
    </row>
    <row r="977" spans="1:10" x14ac:dyDescent="0.25">
      <c r="A977">
        <v>704</v>
      </c>
      <c r="B977">
        <v>52</v>
      </c>
      <c r="C977" t="s">
        <v>18</v>
      </c>
      <c r="D977" s="3">
        <v>58805</v>
      </c>
      <c r="E977">
        <v>14</v>
      </c>
      <c r="F977">
        <v>2</v>
      </c>
      <c r="G977">
        <v>47</v>
      </c>
      <c r="H977" t="s">
        <v>15</v>
      </c>
      <c r="I977">
        <v>104.35</v>
      </c>
      <c r="J977" t="str">
        <f t="shared" si="15"/>
        <v>Low</v>
      </c>
    </row>
    <row r="978" spans="1:10" x14ac:dyDescent="0.25">
      <c r="A978">
        <v>706</v>
      </c>
      <c r="B978">
        <v>29</v>
      </c>
      <c r="C978" t="s">
        <v>18</v>
      </c>
      <c r="D978" s="3">
        <v>102972</v>
      </c>
      <c r="E978">
        <v>68</v>
      </c>
      <c r="F978">
        <v>3</v>
      </c>
      <c r="G978">
        <v>39</v>
      </c>
      <c r="H978" t="s">
        <v>17</v>
      </c>
      <c r="I978">
        <v>258.08999999999997</v>
      </c>
      <c r="J978" t="str">
        <f t="shared" si="15"/>
        <v>High</v>
      </c>
    </row>
    <row r="979" spans="1:10" x14ac:dyDescent="0.25">
      <c r="A979">
        <v>707</v>
      </c>
      <c r="B979">
        <v>47</v>
      </c>
      <c r="C979" t="s">
        <v>18</v>
      </c>
      <c r="D979" s="3">
        <v>128439</v>
      </c>
      <c r="E979">
        <v>42</v>
      </c>
      <c r="F979">
        <v>5</v>
      </c>
      <c r="G979">
        <v>22</v>
      </c>
      <c r="H979" t="s">
        <v>15</v>
      </c>
      <c r="I979">
        <v>219.02</v>
      </c>
      <c r="J979" t="str">
        <f t="shared" si="15"/>
        <v>Medium</v>
      </c>
    </row>
    <row r="980" spans="1:10" x14ac:dyDescent="0.25">
      <c r="A980">
        <v>709</v>
      </c>
      <c r="B980">
        <v>44</v>
      </c>
      <c r="C980" t="s">
        <v>18</v>
      </c>
      <c r="D980" s="3">
        <v>118123</v>
      </c>
      <c r="E980">
        <v>40</v>
      </c>
      <c r="F980">
        <v>8</v>
      </c>
      <c r="G980">
        <v>31</v>
      </c>
      <c r="H980" t="s">
        <v>17</v>
      </c>
      <c r="I980">
        <v>140.52000000000001</v>
      </c>
      <c r="J980" t="str">
        <f t="shared" si="15"/>
        <v>Medium</v>
      </c>
    </row>
    <row r="981" spans="1:10" x14ac:dyDescent="0.25">
      <c r="A981">
        <v>716</v>
      </c>
      <c r="B981">
        <v>48</v>
      </c>
      <c r="C981" t="s">
        <v>18</v>
      </c>
      <c r="D981" s="3">
        <v>74273</v>
      </c>
      <c r="E981">
        <v>23</v>
      </c>
      <c r="F981">
        <v>10</v>
      </c>
      <c r="G981">
        <v>46</v>
      </c>
      <c r="H981" t="s">
        <v>15</v>
      </c>
      <c r="I981">
        <v>626.27</v>
      </c>
      <c r="J981" t="str">
        <f t="shared" si="15"/>
        <v>Low</v>
      </c>
    </row>
    <row r="982" spans="1:10" x14ac:dyDescent="0.25">
      <c r="A982">
        <v>719</v>
      </c>
      <c r="B982">
        <v>21</v>
      </c>
      <c r="C982" t="s">
        <v>18</v>
      </c>
      <c r="D982" s="3">
        <v>119226</v>
      </c>
      <c r="E982">
        <v>21</v>
      </c>
      <c r="F982">
        <v>8</v>
      </c>
      <c r="G982">
        <v>50</v>
      </c>
      <c r="H982" t="s">
        <v>15</v>
      </c>
      <c r="I982">
        <v>772.63</v>
      </c>
      <c r="J982" t="str">
        <f t="shared" si="15"/>
        <v>Low</v>
      </c>
    </row>
    <row r="983" spans="1:10" x14ac:dyDescent="0.25">
      <c r="A983">
        <v>725</v>
      </c>
      <c r="B983">
        <v>48</v>
      </c>
      <c r="C983" t="s">
        <v>18</v>
      </c>
      <c r="D983" s="3">
        <v>108563</v>
      </c>
      <c r="E983">
        <v>3</v>
      </c>
      <c r="F983">
        <v>8</v>
      </c>
      <c r="G983">
        <v>39</v>
      </c>
      <c r="H983" t="s">
        <v>17</v>
      </c>
      <c r="I983">
        <v>15.72</v>
      </c>
      <c r="J983" t="str">
        <f t="shared" si="15"/>
        <v>Low</v>
      </c>
    </row>
    <row r="984" spans="1:10" x14ac:dyDescent="0.25">
      <c r="A984">
        <v>736</v>
      </c>
      <c r="B984">
        <v>52</v>
      </c>
      <c r="C984" t="s">
        <v>18</v>
      </c>
      <c r="D984" s="3">
        <v>130875</v>
      </c>
      <c r="E984">
        <v>76</v>
      </c>
      <c r="F984">
        <v>10</v>
      </c>
      <c r="G984">
        <v>14</v>
      </c>
      <c r="H984" t="s">
        <v>17</v>
      </c>
      <c r="I984">
        <v>979.39</v>
      </c>
      <c r="J984" t="str">
        <f t="shared" si="15"/>
        <v>High</v>
      </c>
    </row>
    <row r="985" spans="1:10" x14ac:dyDescent="0.25">
      <c r="A985">
        <v>764</v>
      </c>
      <c r="B985">
        <v>61</v>
      </c>
      <c r="C985" t="s">
        <v>18</v>
      </c>
      <c r="D985" s="3">
        <v>116123</v>
      </c>
      <c r="E985">
        <v>96</v>
      </c>
      <c r="F985">
        <v>2</v>
      </c>
      <c r="G985">
        <v>27</v>
      </c>
      <c r="H985" t="s">
        <v>15</v>
      </c>
      <c r="I985">
        <v>844.95</v>
      </c>
      <c r="J985" t="str">
        <f t="shared" si="15"/>
        <v>High</v>
      </c>
    </row>
    <row r="986" spans="1:10" x14ac:dyDescent="0.25">
      <c r="A986">
        <v>772</v>
      </c>
      <c r="B986">
        <v>26</v>
      </c>
      <c r="C986" t="s">
        <v>18</v>
      </c>
      <c r="D986" s="3">
        <v>79842</v>
      </c>
      <c r="E986">
        <v>78</v>
      </c>
      <c r="F986">
        <v>9</v>
      </c>
      <c r="G986">
        <v>5</v>
      </c>
      <c r="H986" t="s">
        <v>17</v>
      </c>
      <c r="I986">
        <v>557.41</v>
      </c>
      <c r="J986" t="str">
        <f t="shared" si="15"/>
        <v>High</v>
      </c>
    </row>
    <row r="987" spans="1:10" x14ac:dyDescent="0.25">
      <c r="A987">
        <v>778</v>
      </c>
      <c r="B987">
        <v>46</v>
      </c>
      <c r="C987" t="s">
        <v>18</v>
      </c>
      <c r="D987" s="3">
        <v>78023</v>
      </c>
      <c r="E987">
        <v>83</v>
      </c>
      <c r="F987">
        <v>7</v>
      </c>
      <c r="G987">
        <v>28</v>
      </c>
      <c r="H987" t="s">
        <v>15</v>
      </c>
      <c r="I987">
        <v>270.14999999999998</v>
      </c>
      <c r="J987" t="str">
        <f t="shared" si="15"/>
        <v>High</v>
      </c>
    </row>
    <row r="988" spans="1:10" x14ac:dyDescent="0.25">
      <c r="A988">
        <v>789</v>
      </c>
      <c r="B988">
        <v>25</v>
      </c>
      <c r="C988" t="s">
        <v>18</v>
      </c>
      <c r="D988" s="3">
        <v>52575</v>
      </c>
      <c r="E988">
        <v>77</v>
      </c>
      <c r="F988">
        <v>5</v>
      </c>
      <c r="G988">
        <v>13</v>
      </c>
      <c r="H988" t="s">
        <v>17</v>
      </c>
      <c r="I988">
        <v>112.22</v>
      </c>
      <c r="J988" t="str">
        <f t="shared" si="15"/>
        <v>High</v>
      </c>
    </row>
    <row r="989" spans="1:10" x14ac:dyDescent="0.25">
      <c r="A989">
        <v>805</v>
      </c>
      <c r="B989">
        <v>51</v>
      </c>
      <c r="C989" t="s">
        <v>18</v>
      </c>
      <c r="D989" s="3">
        <v>97660</v>
      </c>
      <c r="E989">
        <v>3</v>
      </c>
      <c r="F989">
        <v>7</v>
      </c>
      <c r="G989">
        <v>30</v>
      </c>
      <c r="H989" t="s">
        <v>15</v>
      </c>
      <c r="I989">
        <v>145.66</v>
      </c>
      <c r="J989" t="str">
        <f t="shared" si="15"/>
        <v>Low</v>
      </c>
    </row>
    <row r="990" spans="1:10" x14ac:dyDescent="0.25">
      <c r="A990">
        <v>833</v>
      </c>
      <c r="B990">
        <v>43</v>
      </c>
      <c r="C990" t="s">
        <v>18</v>
      </c>
      <c r="D990" s="3">
        <v>85487</v>
      </c>
      <c r="E990">
        <v>71</v>
      </c>
      <c r="F990">
        <v>7</v>
      </c>
      <c r="G990">
        <v>49</v>
      </c>
      <c r="H990" t="s">
        <v>15</v>
      </c>
      <c r="I990">
        <v>625.26</v>
      </c>
      <c r="J990" t="str">
        <f t="shared" si="15"/>
        <v>High</v>
      </c>
    </row>
    <row r="991" spans="1:10" x14ac:dyDescent="0.25">
      <c r="A991">
        <v>842</v>
      </c>
      <c r="B991">
        <v>33</v>
      </c>
      <c r="C991" t="s">
        <v>18</v>
      </c>
      <c r="D991" s="3">
        <v>96916</v>
      </c>
      <c r="E991">
        <v>23</v>
      </c>
      <c r="F991">
        <v>6</v>
      </c>
      <c r="G991">
        <v>12</v>
      </c>
      <c r="H991" t="s">
        <v>15</v>
      </c>
      <c r="I991">
        <v>373.49</v>
      </c>
      <c r="J991" t="str">
        <f t="shared" si="15"/>
        <v>Low</v>
      </c>
    </row>
    <row r="992" spans="1:10" x14ac:dyDescent="0.25">
      <c r="A992">
        <v>849</v>
      </c>
      <c r="B992">
        <v>56</v>
      </c>
      <c r="C992" t="s">
        <v>18</v>
      </c>
      <c r="D992" s="3">
        <v>86142</v>
      </c>
      <c r="E992">
        <v>87</v>
      </c>
      <c r="F992">
        <v>7</v>
      </c>
      <c r="G992">
        <v>8</v>
      </c>
      <c r="H992" t="s">
        <v>15</v>
      </c>
      <c r="I992">
        <v>291.95999999999998</v>
      </c>
      <c r="J992" t="str">
        <f t="shared" si="15"/>
        <v>High</v>
      </c>
    </row>
    <row r="993" spans="1:10" x14ac:dyDescent="0.25">
      <c r="A993">
        <v>850</v>
      </c>
      <c r="B993">
        <v>48</v>
      </c>
      <c r="C993" t="s">
        <v>18</v>
      </c>
      <c r="D993" s="3">
        <v>126398</v>
      </c>
      <c r="E993">
        <v>19</v>
      </c>
      <c r="F993">
        <v>1</v>
      </c>
      <c r="G993">
        <v>18</v>
      </c>
      <c r="H993" t="s">
        <v>17</v>
      </c>
      <c r="I993">
        <v>311.08</v>
      </c>
      <c r="J993" t="str">
        <f t="shared" si="15"/>
        <v>Low</v>
      </c>
    </row>
    <row r="994" spans="1:10" x14ac:dyDescent="0.25">
      <c r="A994">
        <v>873</v>
      </c>
      <c r="B994">
        <v>42</v>
      </c>
      <c r="C994" t="s">
        <v>18</v>
      </c>
      <c r="D994" s="3">
        <v>127546</v>
      </c>
      <c r="E994">
        <v>54</v>
      </c>
      <c r="F994">
        <v>1</v>
      </c>
      <c r="G994">
        <v>31</v>
      </c>
      <c r="H994" t="s">
        <v>17</v>
      </c>
      <c r="I994">
        <v>484.72</v>
      </c>
      <c r="J994" t="str">
        <f t="shared" si="15"/>
        <v>Medium</v>
      </c>
    </row>
    <row r="995" spans="1:10" x14ac:dyDescent="0.25">
      <c r="A995">
        <v>884</v>
      </c>
      <c r="B995">
        <v>50</v>
      </c>
      <c r="C995" t="s">
        <v>18</v>
      </c>
      <c r="D995" s="3">
        <v>59695</v>
      </c>
      <c r="E995">
        <v>70</v>
      </c>
      <c r="F995">
        <v>5</v>
      </c>
      <c r="G995">
        <v>6</v>
      </c>
      <c r="H995" t="s">
        <v>17</v>
      </c>
      <c r="I995">
        <v>241.99</v>
      </c>
      <c r="J995" t="str">
        <f t="shared" si="15"/>
        <v>High</v>
      </c>
    </row>
    <row r="996" spans="1:10" x14ac:dyDescent="0.25">
      <c r="A996">
        <v>958</v>
      </c>
      <c r="B996">
        <v>26</v>
      </c>
      <c r="C996" t="s">
        <v>18</v>
      </c>
      <c r="D996" s="3">
        <v>41126</v>
      </c>
      <c r="E996">
        <v>37</v>
      </c>
      <c r="F996">
        <v>9</v>
      </c>
      <c r="G996">
        <v>44</v>
      </c>
      <c r="H996" t="s">
        <v>17</v>
      </c>
      <c r="I996">
        <v>100.64</v>
      </c>
      <c r="J996" t="str">
        <f t="shared" si="15"/>
        <v>Medium</v>
      </c>
    </row>
    <row r="997" spans="1:10" x14ac:dyDescent="0.25">
      <c r="A997">
        <v>960</v>
      </c>
      <c r="B997">
        <v>61</v>
      </c>
      <c r="C997" t="s">
        <v>18</v>
      </c>
      <c r="D997" s="3">
        <v>50349</v>
      </c>
      <c r="E997">
        <v>76</v>
      </c>
      <c r="F997">
        <v>9</v>
      </c>
      <c r="G997">
        <v>42</v>
      </c>
      <c r="H997" t="s">
        <v>17</v>
      </c>
      <c r="I997">
        <v>957.5</v>
      </c>
      <c r="J997" t="str">
        <f t="shared" si="15"/>
        <v>High</v>
      </c>
    </row>
    <row r="998" spans="1:10" x14ac:dyDescent="0.25">
      <c r="A998">
        <v>967</v>
      </c>
      <c r="B998">
        <v>46</v>
      </c>
      <c r="C998" t="s">
        <v>18</v>
      </c>
      <c r="D998" s="3">
        <v>67361</v>
      </c>
      <c r="E998">
        <v>80</v>
      </c>
      <c r="F998">
        <v>6</v>
      </c>
      <c r="G998">
        <v>25</v>
      </c>
      <c r="H998" t="s">
        <v>15</v>
      </c>
      <c r="I998">
        <v>350.08</v>
      </c>
      <c r="J998" t="str">
        <f t="shared" si="15"/>
        <v>High</v>
      </c>
    </row>
    <row r="999" spans="1:10" x14ac:dyDescent="0.25">
      <c r="A999">
        <v>978</v>
      </c>
      <c r="B999">
        <v>45</v>
      </c>
      <c r="C999" t="s">
        <v>18</v>
      </c>
      <c r="D999" s="3">
        <v>91381</v>
      </c>
      <c r="E999">
        <v>48</v>
      </c>
      <c r="F999">
        <v>8</v>
      </c>
      <c r="G999">
        <v>16</v>
      </c>
      <c r="H999" t="s">
        <v>15</v>
      </c>
      <c r="I999">
        <v>253.13</v>
      </c>
      <c r="J999" t="str">
        <f t="shared" si="15"/>
        <v>Medium</v>
      </c>
    </row>
    <row r="1000" spans="1:10" x14ac:dyDescent="0.25">
      <c r="A1000">
        <v>979</v>
      </c>
      <c r="B1000">
        <v>66</v>
      </c>
      <c r="C1000" t="s">
        <v>18</v>
      </c>
      <c r="D1000" s="3">
        <v>74055</v>
      </c>
      <c r="E1000">
        <v>100</v>
      </c>
      <c r="F1000">
        <v>6</v>
      </c>
      <c r="G1000">
        <v>17</v>
      </c>
      <c r="H1000" t="s">
        <v>15</v>
      </c>
      <c r="I1000">
        <v>318.7</v>
      </c>
      <c r="J1000" t="str">
        <f t="shared" si="15"/>
        <v>High</v>
      </c>
    </row>
    <row r="1001" spans="1:10" x14ac:dyDescent="0.25">
      <c r="A1001">
        <v>980</v>
      </c>
      <c r="B1001">
        <v>45</v>
      </c>
      <c r="C1001" t="s">
        <v>18</v>
      </c>
      <c r="D1001" s="3">
        <v>135047</v>
      </c>
      <c r="E1001">
        <v>11</v>
      </c>
      <c r="F1001">
        <v>9</v>
      </c>
      <c r="G1001">
        <v>42</v>
      </c>
      <c r="H1001" t="s">
        <v>17</v>
      </c>
      <c r="I1001">
        <v>422.93</v>
      </c>
      <c r="J1001" t="str">
        <f t="shared" si="15"/>
        <v>Low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D133-C76C-4581-8598-1A83C105B029}">
  <dimension ref="A1:J1001"/>
  <sheetViews>
    <sheetView topLeftCell="D8" zoomScaleNormal="100" workbookViewId="0">
      <selection activeCell="D1006" sqref="D1006"/>
    </sheetView>
  </sheetViews>
  <sheetFormatPr defaultRowHeight="15" x14ac:dyDescent="0.25"/>
  <cols>
    <col min="1" max="1" width="5" bestFit="1" customWidth="1"/>
    <col min="2" max="2" width="6.42578125" bestFit="1" customWidth="1"/>
    <col min="3" max="3" width="9.5703125" bestFit="1" customWidth="1"/>
    <col min="4" max="4" width="9.85546875" style="3" bestFit="1" customWidth="1"/>
    <col min="5" max="5" width="17.28515625" bestFit="1" customWidth="1"/>
    <col min="6" max="6" width="20.5703125" bestFit="1" customWidth="1"/>
    <col min="7" max="7" width="21.5703125" bestFit="1" customWidth="1"/>
    <col min="8" max="8" width="20.7109375" bestFit="1" customWidth="1"/>
    <col min="9" max="10" width="23.7109375" bestFit="1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11</v>
      </c>
    </row>
    <row r="2" spans="1:10" x14ac:dyDescent="0.25">
      <c r="A2">
        <v>15</v>
      </c>
      <c r="B2">
        <v>33</v>
      </c>
      <c r="C2" t="s">
        <v>12</v>
      </c>
      <c r="D2" s="3">
        <v>112260</v>
      </c>
      <c r="E2">
        <v>17</v>
      </c>
      <c r="F2">
        <v>5</v>
      </c>
      <c r="G2">
        <v>8</v>
      </c>
      <c r="H2" t="s">
        <v>13</v>
      </c>
      <c r="I2">
        <v>915.89</v>
      </c>
      <c r="J2">
        <v>915.89</v>
      </c>
    </row>
    <row r="3" spans="1:10" x14ac:dyDescent="0.25">
      <c r="A3">
        <v>19</v>
      </c>
      <c r="B3">
        <v>37</v>
      </c>
      <c r="C3" t="s">
        <v>12</v>
      </c>
      <c r="D3" s="3">
        <v>95491</v>
      </c>
      <c r="E3">
        <v>90</v>
      </c>
      <c r="F3">
        <v>6</v>
      </c>
      <c r="G3">
        <v>21</v>
      </c>
      <c r="H3" t="s">
        <v>13</v>
      </c>
      <c r="I3">
        <v>454.83</v>
      </c>
      <c r="J3">
        <v>454.83</v>
      </c>
    </row>
    <row r="4" spans="1:10" x14ac:dyDescent="0.25">
      <c r="A4">
        <v>22</v>
      </c>
      <c r="B4">
        <v>22</v>
      </c>
      <c r="C4" t="s">
        <v>12</v>
      </c>
      <c r="D4" s="3">
        <v>49077</v>
      </c>
      <c r="E4">
        <v>74</v>
      </c>
      <c r="F4">
        <v>10</v>
      </c>
      <c r="G4">
        <v>47</v>
      </c>
      <c r="H4" t="s">
        <v>13</v>
      </c>
      <c r="I4">
        <v>799.31</v>
      </c>
      <c r="J4">
        <v>799.31</v>
      </c>
    </row>
    <row r="5" spans="1:10" x14ac:dyDescent="0.25">
      <c r="A5">
        <v>40</v>
      </c>
      <c r="B5">
        <v>22</v>
      </c>
      <c r="C5" t="s">
        <v>12</v>
      </c>
      <c r="D5" s="3">
        <v>107057</v>
      </c>
      <c r="E5">
        <v>14</v>
      </c>
      <c r="F5">
        <v>5</v>
      </c>
      <c r="G5">
        <v>41</v>
      </c>
      <c r="H5" t="s">
        <v>13</v>
      </c>
      <c r="I5">
        <v>98.86</v>
      </c>
      <c r="J5">
        <v>98.86</v>
      </c>
    </row>
    <row r="6" spans="1:10" x14ac:dyDescent="0.25">
      <c r="A6">
        <v>41</v>
      </c>
      <c r="B6">
        <v>23</v>
      </c>
      <c r="C6" t="s">
        <v>12</v>
      </c>
      <c r="D6" s="3">
        <v>70723</v>
      </c>
      <c r="E6">
        <v>31</v>
      </c>
      <c r="F6">
        <v>1</v>
      </c>
      <c r="G6">
        <v>48</v>
      </c>
      <c r="H6" t="s">
        <v>13</v>
      </c>
      <c r="I6">
        <v>713.33</v>
      </c>
      <c r="J6">
        <v>713.33</v>
      </c>
    </row>
    <row r="7" spans="1:10" x14ac:dyDescent="0.25">
      <c r="A7">
        <v>43</v>
      </c>
      <c r="B7">
        <v>35</v>
      </c>
      <c r="C7" t="s">
        <v>12</v>
      </c>
      <c r="D7" s="3">
        <v>72179</v>
      </c>
      <c r="E7">
        <v>6</v>
      </c>
      <c r="F7">
        <v>6</v>
      </c>
      <c r="G7">
        <v>45</v>
      </c>
      <c r="H7" t="s">
        <v>13</v>
      </c>
      <c r="I7">
        <v>165.18</v>
      </c>
      <c r="J7">
        <v>165.18</v>
      </c>
    </row>
    <row r="8" spans="1:10" x14ac:dyDescent="0.25">
      <c r="A8">
        <v>45</v>
      </c>
      <c r="B8">
        <v>50</v>
      </c>
      <c r="C8" t="s">
        <v>12</v>
      </c>
      <c r="D8" s="3">
        <v>42404</v>
      </c>
      <c r="E8">
        <v>45</v>
      </c>
      <c r="F8">
        <v>4</v>
      </c>
      <c r="G8">
        <v>31</v>
      </c>
      <c r="H8" t="s">
        <v>13</v>
      </c>
      <c r="I8">
        <v>753.6</v>
      </c>
      <c r="J8">
        <v>753.6</v>
      </c>
    </row>
    <row r="9" spans="1:10" x14ac:dyDescent="0.25">
      <c r="A9">
        <v>66</v>
      </c>
      <c r="B9">
        <v>32</v>
      </c>
      <c r="C9" t="s">
        <v>12</v>
      </c>
      <c r="D9" s="3">
        <v>100270</v>
      </c>
      <c r="E9">
        <v>69</v>
      </c>
      <c r="F9">
        <v>3</v>
      </c>
      <c r="G9">
        <v>29</v>
      </c>
      <c r="H9" t="s">
        <v>13</v>
      </c>
      <c r="I9">
        <v>686.05</v>
      </c>
      <c r="J9">
        <v>686.05</v>
      </c>
    </row>
    <row r="10" spans="1:10" x14ac:dyDescent="0.25">
      <c r="A10">
        <v>87</v>
      </c>
      <c r="B10">
        <v>59</v>
      </c>
      <c r="C10" t="s">
        <v>12</v>
      </c>
      <c r="D10" s="3">
        <v>47990</v>
      </c>
      <c r="E10">
        <v>3</v>
      </c>
      <c r="F10">
        <v>10</v>
      </c>
      <c r="G10">
        <v>48</v>
      </c>
      <c r="H10" t="s">
        <v>13</v>
      </c>
      <c r="I10">
        <v>755.92</v>
      </c>
      <c r="J10">
        <v>755.92</v>
      </c>
    </row>
    <row r="11" spans="1:10" x14ac:dyDescent="0.25">
      <c r="A11">
        <v>108</v>
      </c>
      <c r="B11">
        <v>65</v>
      </c>
      <c r="C11" t="s">
        <v>12</v>
      </c>
      <c r="D11" s="3">
        <v>81753</v>
      </c>
      <c r="E11">
        <v>72</v>
      </c>
      <c r="F11">
        <v>9</v>
      </c>
      <c r="G11">
        <v>21</v>
      </c>
      <c r="H11" t="s">
        <v>13</v>
      </c>
      <c r="I11">
        <v>633.63</v>
      </c>
      <c r="J11">
        <v>633.63</v>
      </c>
    </row>
    <row r="12" spans="1:10" x14ac:dyDescent="0.25">
      <c r="A12">
        <v>116</v>
      </c>
      <c r="B12">
        <v>59</v>
      </c>
      <c r="C12" t="s">
        <v>12</v>
      </c>
      <c r="D12" s="3">
        <v>125014</v>
      </c>
      <c r="E12">
        <v>89</v>
      </c>
      <c r="F12">
        <v>7</v>
      </c>
      <c r="G12">
        <v>42</v>
      </c>
      <c r="H12" t="s">
        <v>13</v>
      </c>
      <c r="I12">
        <v>451.82</v>
      </c>
      <c r="J12">
        <v>451.82</v>
      </c>
    </row>
    <row r="13" spans="1:10" x14ac:dyDescent="0.25">
      <c r="A13">
        <v>118</v>
      </c>
      <c r="B13">
        <v>62</v>
      </c>
      <c r="C13" t="s">
        <v>12</v>
      </c>
      <c r="D13" s="3">
        <v>48693</v>
      </c>
      <c r="E13">
        <v>36</v>
      </c>
      <c r="F13">
        <v>9</v>
      </c>
      <c r="G13">
        <v>44</v>
      </c>
      <c r="H13" t="s">
        <v>13</v>
      </c>
      <c r="I13">
        <v>755.67</v>
      </c>
      <c r="J13">
        <v>755.67</v>
      </c>
    </row>
    <row r="14" spans="1:10" x14ac:dyDescent="0.25">
      <c r="A14">
        <v>124</v>
      </c>
      <c r="B14">
        <v>30</v>
      </c>
      <c r="C14" t="s">
        <v>12</v>
      </c>
      <c r="D14" s="3">
        <v>51454</v>
      </c>
      <c r="E14">
        <v>94</v>
      </c>
      <c r="F14">
        <v>8</v>
      </c>
      <c r="G14">
        <v>17</v>
      </c>
      <c r="H14" t="s">
        <v>13</v>
      </c>
      <c r="I14">
        <v>553.35</v>
      </c>
      <c r="J14">
        <v>553.35</v>
      </c>
    </row>
    <row r="15" spans="1:10" x14ac:dyDescent="0.25">
      <c r="A15">
        <v>142</v>
      </c>
      <c r="B15">
        <v>37</v>
      </c>
      <c r="C15" t="s">
        <v>12</v>
      </c>
      <c r="D15" s="3">
        <v>61695</v>
      </c>
      <c r="E15">
        <v>13</v>
      </c>
      <c r="F15">
        <v>5</v>
      </c>
      <c r="G15">
        <v>45</v>
      </c>
      <c r="H15" t="s">
        <v>13</v>
      </c>
      <c r="I15">
        <v>18.489999999999998</v>
      </c>
      <c r="J15">
        <v>18.489999999999998</v>
      </c>
    </row>
    <row r="16" spans="1:10" x14ac:dyDescent="0.25">
      <c r="A16">
        <v>171</v>
      </c>
      <c r="B16">
        <v>21</v>
      </c>
      <c r="C16" t="s">
        <v>12</v>
      </c>
      <c r="D16" s="3">
        <v>140801</v>
      </c>
      <c r="E16">
        <v>13</v>
      </c>
      <c r="F16">
        <v>3</v>
      </c>
      <c r="G16">
        <v>43</v>
      </c>
      <c r="H16" t="s">
        <v>13</v>
      </c>
      <c r="I16">
        <v>82.88</v>
      </c>
      <c r="J16">
        <v>82.88</v>
      </c>
    </row>
    <row r="17" spans="1:10" x14ac:dyDescent="0.25">
      <c r="A17">
        <v>180</v>
      </c>
      <c r="B17">
        <v>48</v>
      </c>
      <c r="C17" t="s">
        <v>12</v>
      </c>
      <c r="D17" s="3">
        <v>121325</v>
      </c>
      <c r="E17">
        <v>30</v>
      </c>
      <c r="F17">
        <v>3</v>
      </c>
      <c r="G17">
        <v>35</v>
      </c>
      <c r="H17" t="s">
        <v>13</v>
      </c>
      <c r="I17">
        <v>624.36</v>
      </c>
      <c r="J17">
        <v>624.36</v>
      </c>
    </row>
    <row r="18" spans="1:10" x14ac:dyDescent="0.25">
      <c r="A18">
        <v>196</v>
      </c>
      <c r="B18">
        <v>48</v>
      </c>
      <c r="C18" t="s">
        <v>12</v>
      </c>
      <c r="D18" s="3">
        <v>108550</v>
      </c>
      <c r="E18">
        <v>5</v>
      </c>
      <c r="F18">
        <v>6</v>
      </c>
      <c r="G18">
        <v>35</v>
      </c>
      <c r="H18" t="s">
        <v>13</v>
      </c>
      <c r="I18">
        <v>410.05</v>
      </c>
      <c r="J18">
        <v>410.05</v>
      </c>
    </row>
    <row r="19" spans="1:10" x14ac:dyDescent="0.25">
      <c r="A19">
        <v>204</v>
      </c>
      <c r="B19">
        <v>49</v>
      </c>
      <c r="C19" t="s">
        <v>12</v>
      </c>
      <c r="D19" s="3">
        <v>100258</v>
      </c>
      <c r="E19">
        <v>53</v>
      </c>
      <c r="F19">
        <v>6</v>
      </c>
      <c r="G19">
        <v>27</v>
      </c>
      <c r="H19" t="s">
        <v>13</v>
      </c>
      <c r="I19">
        <v>436.43</v>
      </c>
      <c r="J19">
        <v>436.43</v>
      </c>
    </row>
    <row r="20" spans="1:10" x14ac:dyDescent="0.25">
      <c r="A20">
        <v>214</v>
      </c>
      <c r="B20">
        <v>33</v>
      </c>
      <c r="C20" t="s">
        <v>12</v>
      </c>
      <c r="D20" s="3">
        <v>84883</v>
      </c>
      <c r="E20">
        <v>43</v>
      </c>
      <c r="F20">
        <v>2</v>
      </c>
      <c r="G20">
        <v>49</v>
      </c>
      <c r="H20" t="s">
        <v>13</v>
      </c>
      <c r="I20">
        <v>956.03</v>
      </c>
      <c r="J20">
        <v>956.03</v>
      </c>
    </row>
    <row r="21" spans="1:10" x14ac:dyDescent="0.25">
      <c r="A21">
        <v>228</v>
      </c>
      <c r="B21">
        <v>53</v>
      </c>
      <c r="C21" t="s">
        <v>12</v>
      </c>
      <c r="D21" s="3">
        <v>57651</v>
      </c>
      <c r="E21">
        <v>27</v>
      </c>
      <c r="F21">
        <v>7</v>
      </c>
      <c r="G21">
        <v>16</v>
      </c>
      <c r="H21" t="s">
        <v>13</v>
      </c>
      <c r="I21">
        <v>345.62</v>
      </c>
      <c r="J21">
        <v>345.62</v>
      </c>
    </row>
    <row r="22" spans="1:10" x14ac:dyDescent="0.25">
      <c r="A22">
        <v>250</v>
      </c>
      <c r="B22">
        <v>47</v>
      </c>
      <c r="C22" t="s">
        <v>12</v>
      </c>
      <c r="D22" s="3">
        <v>91491</v>
      </c>
      <c r="E22">
        <v>52</v>
      </c>
      <c r="F22">
        <v>5</v>
      </c>
      <c r="G22">
        <v>10</v>
      </c>
      <c r="H22" t="s">
        <v>13</v>
      </c>
      <c r="I22">
        <v>21.43</v>
      </c>
      <c r="J22">
        <v>21.43</v>
      </c>
    </row>
    <row r="23" spans="1:10" x14ac:dyDescent="0.25">
      <c r="A23">
        <v>288</v>
      </c>
      <c r="B23">
        <v>56</v>
      </c>
      <c r="C23" t="s">
        <v>12</v>
      </c>
      <c r="D23" s="3">
        <v>117922</v>
      </c>
      <c r="E23">
        <v>69</v>
      </c>
      <c r="F23">
        <v>2</v>
      </c>
      <c r="G23">
        <v>41</v>
      </c>
      <c r="H23" t="s">
        <v>13</v>
      </c>
      <c r="I23">
        <v>98.83</v>
      </c>
      <c r="J23">
        <v>98.83</v>
      </c>
    </row>
    <row r="24" spans="1:10" x14ac:dyDescent="0.25">
      <c r="A24">
        <v>324</v>
      </c>
      <c r="B24">
        <v>30</v>
      </c>
      <c r="C24" t="s">
        <v>12</v>
      </c>
      <c r="D24" s="3">
        <v>119162</v>
      </c>
      <c r="E24">
        <v>15</v>
      </c>
      <c r="F24">
        <v>9</v>
      </c>
      <c r="G24">
        <v>38</v>
      </c>
      <c r="H24" t="s">
        <v>13</v>
      </c>
      <c r="I24">
        <v>937.85</v>
      </c>
      <c r="J24">
        <v>937.85</v>
      </c>
    </row>
    <row r="25" spans="1:10" x14ac:dyDescent="0.25">
      <c r="A25">
        <v>343</v>
      </c>
      <c r="B25">
        <v>32</v>
      </c>
      <c r="C25" t="s">
        <v>12</v>
      </c>
      <c r="D25" s="3">
        <v>48445</v>
      </c>
      <c r="E25">
        <v>91</v>
      </c>
      <c r="F25">
        <v>8</v>
      </c>
      <c r="G25">
        <v>27</v>
      </c>
      <c r="H25" t="s">
        <v>13</v>
      </c>
      <c r="I25">
        <v>265.17</v>
      </c>
      <c r="J25">
        <v>265.17</v>
      </c>
    </row>
    <row r="26" spans="1:10" x14ac:dyDescent="0.25">
      <c r="A26">
        <v>344</v>
      </c>
      <c r="B26">
        <v>41</v>
      </c>
      <c r="C26" t="s">
        <v>12</v>
      </c>
      <c r="D26" s="3">
        <v>136928</v>
      </c>
      <c r="E26">
        <v>42</v>
      </c>
      <c r="F26">
        <v>5</v>
      </c>
      <c r="G26">
        <v>33</v>
      </c>
      <c r="H26" t="s">
        <v>13</v>
      </c>
      <c r="I26">
        <v>239.72</v>
      </c>
      <c r="J26">
        <v>239.72</v>
      </c>
    </row>
    <row r="27" spans="1:10" x14ac:dyDescent="0.25">
      <c r="A27">
        <v>362</v>
      </c>
      <c r="B27">
        <v>21</v>
      </c>
      <c r="C27" t="s">
        <v>12</v>
      </c>
      <c r="D27" s="3">
        <v>107934</v>
      </c>
      <c r="E27">
        <v>32</v>
      </c>
      <c r="F27">
        <v>5</v>
      </c>
      <c r="G27">
        <v>38</v>
      </c>
      <c r="H27" t="s">
        <v>13</v>
      </c>
      <c r="I27">
        <v>533.17999999999995</v>
      </c>
      <c r="J27">
        <v>533.17999999999995</v>
      </c>
    </row>
    <row r="28" spans="1:10" x14ac:dyDescent="0.25">
      <c r="A28">
        <v>377</v>
      </c>
      <c r="B28">
        <v>46</v>
      </c>
      <c r="C28" t="s">
        <v>12</v>
      </c>
      <c r="D28" s="3">
        <v>123037</v>
      </c>
      <c r="E28">
        <v>100</v>
      </c>
      <c r="F28">
        <v>1</v>
      </c>
      <c r="G28">
        <v>9</v>
      </c>
      <c r="H28" t="s">
        <v>13</v>
      </c>
      <c r="I28">
        <v>617.74</v>
      </c>
      <c r="J28">
        <v>617.74</v>
      </c>
    </row>
    <row r="29" spans="1:10" x14ac:dyDescent="0.25">
      <c r="A29">
        <v>384</v>
      </c>
      <c r="B29">
        <v>46</v>
      </c>
      <c r="C29" t="s">
        <v>12</v>
      </c>
      <c r="D29" s="3">
        <v>120914</v>
      </c>
      <c r="E29">
        <v>1</v>
      </c>
      <c r="F29">
        <v>1</v>
      </c>
      <c r="G29">
        <v>41</v>
      </c>
      <c r="H29" t="s">
        <v>13</v>
      </c>
      <c r="I29">
        <v>329.9</v>
      </c>
      <c r="J29">
        <v>329.9</v>
      </c>
    </row>
    <row r="30" spans="1:10" x14ac:dyDescent="0.25">
      <c r="A30">
        <v>392</v>
      </c>
      <c r="B30">
        <v>28</v>
      </c>
      <c r="C30" t="s">
        <v>12</v>
      </c>
      <c r="D30" s="3">
        <v>59278</v>
      </c>
      <c r="E30">
        <v>60</v>
      </c>
      <c r="F30">
        <v>2</v>
      </c>
      <c r="G30">
        <v>8</v>
      </c>
      <c r="H30" t="s">
        <v>13</v>
      </c>
      <c r="I30">
        <v>362.41</v>
      </c>
      <c r="J30">
        <v>362.41</v>
      </c>
    </row>
    <row r="31" spans="1:10" x14ac:dyDescent="0.25">
      <c r="A31">
        <v>405</v>
      </c>
      <c r="B31">
        <v>21</v>
      </c>
      <c r="C31" t="s">
        <v>12</v>
      </c>
      <c r="D31" s="3">
        <v>42889</v>
      </c>
      <c r="E31">
        <v>12</v>
      </c>
      <c r="F31">
        <v>2</v>
      </c>
      <c r="G31">
        <v>20</v>
      </c>
      <c r="H31" t="s">
        <v>13</v>
      </c>
      <c r="I31">
        <v>789.92</v>
      </c>
      <c r="J31">
        <v>789.92</v>
      </c>
    </row>
    <row r="32" spans="1:10" x14ac:dyDescent="0.25">
      <c r="A32">
        <v>420</v>
      </c>
      <c r="B32">
        <v>46</v>
      </c>
      <c r="C32" t="s">
        <v>12</v>
      </c>
      <c r="D32" s="3">
        <v>60671</v>
      </c>
      <c r="E32">
        <v>57</v>
      </c>
      <c r="F32">
        <v>5</v>
      </c>
      <c r="G32">
        <v>48</v>
      </c>
      <c r="H32" t="s">
        <v>13</v>
      </c>
      <c r="I32">
        <v>817.69</v>
      </c>
      <c r="J32">
        <v>817.69</v>
      </c>
    </row>
    <row r="33" spans="1:10" x14ac:dyDescent="0.25">
      <c r="A33">
        <v>449</v>
      </c>
      <c r="B33">
        <v>50</v>
      </c>
      <c r="C33" t="s">
        <v>12</v>
      </c>
      <c r="D33" s="3">
        <v>46524</v>
      </c>
      <c r="E33">
        <v>1</v>
      </c>
      <c r="F33">
        <v>4</v>
      </c>
      <c r="G33">
        <v>7</v>
      </c>
      <c r="H33" t="s">
        <v>13</v>
      </c>
      <c r="I33">
        <v>371.62</v>
      </c>
      <c r="J33">
        <v>371.62</v>
      </c>
    </row>
    <row r="34" spans="1:10" x14ac:dyDescent="0.25">
      <c r="A34">
        <v>454</v>
      </c>
      <c r="B34">
        <v>27</v>
      </c>
      <c r="C34" t="s">
        <v>12</v>
      </c>
      <c r="D34" s="3">
        <v>143992</v>
      </c>
      <c r="E34">
        <v>31</v>
      </c>
      <c r="F34">
        <v>2</v>
      </c>
      <c r="G34">
        <v>32</v>
      </c>
      <c r="H34" t="s">
        <v>13</v>
      </c>
      <c r="I34">
        <v>994.1</v>
      </c>
      <c r="J34">
        <v>994.1</v>
      </c>
    </row>
    <row r="35" spans="1:10" x14ac:dyDescent="0.25">
      <c r="A35">
        <v>461</v>
      </c>
      <c r="B35">
        <v>41</v>
      </c>
      <c r="C35" t="s">
        <v>12</v>
      </c>
      <c r="D35" s="3">
        <v>141605</v>
      </c>
      <c r="E35">
        <v>100</v>
      </c>
      <c r="F35">
        <v>4</v>
      </c>
      <c r="G35">
        <v>20</v>
      </c>
      <c r="H35" t="s">
        <v>13</v>
      </c>
      <c r="I35">
        <v>693.02</v>
      </c>
      <c r="J35">
        <v>693.02</v>
      </c>
    </row>
    <row r="36" spans="1:10" x14ac:dyDescent="0.25">
      <c r="A36">
        <v>485</v>
      </c>
      <c r="B36">
        <v>65</v>
      </c>
      <c r="C36" t="s">
        <v>12</v>
      </c>
      <c r="D36" s="3">
        <v>39113</v>
      </c>
      <c r="E36">
        <v>85</v>
      </c>
      <c r="F36">
        <v>9</v>
      </c>
      <c r="G36">
        <v>42</v>
      </c>
      <c r="H36" t="s">
        <v>13</v>
      </c>
      <c r="I36">
        <v>964.87</v>
      </c>
      <c r="J36">
        <v>964.87</v>
      </c>
    </row>
    <row r="37" spans="1:10" x14ac:dyDescent="0.25">
      <c r="A37">
        <v>532</v>
      </c>
      <c r="B37">
        <v>19</v>
      </c>
      <c r="C37" t="s">
        <v>12</v>
      </c>
      <c r="D37" s="3">
        <v>146165</v>
      </c>
      <c r="E37">
        <v>38</v>
      </c>
      <c r="F37">
        <v>9</v>
      </c>
      <c r="G37">
        <v>45</v>
      </c>
      <c r="H37" t="s">
        <v>13</v>
      </c>
      <c r="I37">
        <v>819.92</v>
      </c>
      <c r="J37">
        <v>819.92</v>
      </c>
    </row>
    <row r="38" spans="1:10" x14ac:dyDescent="0.25">
      <c r="A38">
        <v>557</v>
      </c>
      <c r="B38">
        <v>45</v>
      </c>
      <c r="C38" t="s">
        <v>12</v>
      </c>
      <c r="D38" s="3">
        <v>95367</v>
      </c>
      <c r="E38">
        <v>83</v>
      </c>
      <c r="F38">
        <v>5</v>
      </c>
      <c r="G38">
        <v>30</v>
      </c>
      <c r="H38" t="s">
        <v>13</v>
      </c>
      <c r="I38">
        <v>845.33</v>
      </c>
      <c r="J38">
        <v>845.33</v>
      </c>
    </row>
    <row r="39" spans="1:10" x14ac:dyDescent="0.25">
      <c r="A39">
        <v>559</v>
      </c>
      <c r="B39">
        <v>33</v>
      </c>
      <c r="C39" t="s">
        <v>12</v>
      </c>
      <c r="D39" s="3">
        <v>121639</v>
      </c>
      <c r="E39">
        <v>17</v>
      </c>
      <c r="F39">
        <v>7</v>
      </c>
      <c r="G39">
        <v>28</v>
      </c>
      <c r="H39" t="s">
        <v>13</v>
      </c>
      <c r="I39">
        <v>422.14</v>
      </c>
      <c r="J39">
        <v>422.14</v>
      </c>
    </row>
    <row r="40" spans="1:10" x14ac:dyDescent="0.25">
      <c r="A40">
        <v>560</v>
      </c>
      <c r="B40">
        <v>63</v>
      </c>
      <c r="C40" t="s">
        <v>12</v>
      </c>
      <c r="D40" s="3">
        <v>82296</v>
      </c>
      <c r="E40">
        <v>61</v>
      </c>
      <c r="F40">
        <v>4</v>
      </c>
      <c r="G40">
        <v>43</v>
      </c>
      <c r="H40" t="s">
        <v>13</v>
      </c>
      <c r="I40">
        <v>390.89</v>
      </c>
      <c r="J40">
        <v>390.89</v>
      </c>
    </row>
    <row r="41" spans="1:10" x14ac:dyDescent="0.25">
      <c r="A41">
        <v>583</v>
      </c>
      <c r="B41">
        <v>33</v>
      </c>
      <c r="C41" t="s">
        <v>12</v>
      </c>
      <c r="D41" s="3">
        <v>38240</v>
      </c>
      <c r="E41">
        <v>92</v>
      </c>
      <c r="F41">
        <v>3</v>
      </c>
      <c r="G41">
        <v>37</v>
      </c>
      <c r="H41" t="s">
        <v>13</v>
      </c>
      <c r="I41">
        <v>626.82000000000005</v>
      </c>
      <c r="J41">
        <v>626.82000000000005</v>
      </c>
    </row>
    <row r="42" spans="1:10" x14ac:dyDescent="0.25">
      <c r="A42">
        <v>596</v>
      </c>
      <c r="B42">
        <v>46</v>
      </c>
      <c r="C42" t="s">
        <v>12</v>
      </c>
      <c r="D42" s="3">
        <v>73370</v>
      </c>
      <c r="E42">
        <v>2</v>
      </c>
      <c r="F42">
        <v>4</v>
      </c>
      <c r="G42">
        <v>29</v>
      </c>
      <c r="H42" t="s">
        <v>13</v>
      </c>
      <c r="I42">
        <v>486.5</v>
      </c>
      <c r="J42">
        <v>486.5</v>
      </c>
    </row>
    <row r="43" spans="1:10" x14ac:dyDescent="0.25">
      <c r="A43">
        <v>597</v>
      </c>
      <c r="B43">
        <v>50</v>
      </c>
      <c r="C43" t="s">
        <v>12</v>
      </c>
      <c r="D43" s="3">
        <v>132598</v>
      </c>
      <c r="E43">
        <v>57</v>
      </c>
      <c r="F43">
        <v>7</v>
      </c>
      <c r="G43">
        <v>21</v>
      </c>
      <c r="H43" t="s">
        <v>13</v>
      </c>
      <c r="I43">
        <v>930.91</v>
      </c>
      <c r="J43">
        <v>930.91</v>
      </c>
    </row>
    <row r="44" spans="1:10" x14ac:dyDescent="0.25">
      <c r="A44">
        <v>604</v>
      </c>
      <c r="B44">
        <v>47</v>
      </c>
      <c r="C44" t="s">
        <v>12</v>
      </c>
      <c r="D44" s="3">
        <v>64592</v>
      </c>
      <c r="E44">
        <v>25</v>
      </c>
      <c r="F44">
        <v>4</v>
      </c>
      <c r="G44">
        <v>12</v>
      </c>
      <c r="H44" t="s">
        <v>13</v>
      </c>
      <c r="I44">
        <v>237.34</v>
      </c>
      <c r="J44">
        <v>237.34</v>
      </c>
    </row>
    <row r="45" spans="1:10" x14ac:dyDescent="0.25">
      <c r="A45">
        <v>606</v>
      </c>
      <c r="B45">
        <v>39</v>
      </c>
      <c r="C45" t="s">
        <v>12</v>
      </c>
      <c r="D45" s="3">
        <v>48641</v>
      </c>
      <c r="E45">
        <v>45</v>
      </c>
      <c r="F45">
        <v>3</v>
      </c>
      <c r="G45">
        <v>46</v>
      </c>
      <c r="H45" t="s">
        <v>13</v>
      </c>
      <c r="I45">
        <v>415.19</v>
      </c>
      <c r="J45">
        <v>415.19</v>
      </c>
    </row>
    <row r="46" spans="1:10" x14ac:dyDescent="0.25">
      <c r="A46">
        <v>607</v>
      </c>
      <c r="B46">
        <v>30</v>
      </c>
      <c r="C46" t="s">
        <v>12</v>
      </c>
      <c r="D46" s="3">
        <v>102200</v>
      </c>
      <c r="E46">
        <v>88</v>
      </c>
      <c r="F46">
        <v>5</v>
      </c>
      <c r="G46">
        <v>47</v>
      </c>
      <c r="H46" t="s">
        <v>13</v>
      </c>
      <c r="I46">
        <v>131.84</v>
      </c>
      <c r="J46">
        <v>131.84</v>
      </c>
    </row>
    <row r="47" spans="1:10" x14ac:dyDescent="0.25">
      <c r="A47">
        <v>625</v>
      </c>
      <c r="B47">
        <v>41</v>
      </c>
      <c r="C47" t="s">
        <v>12</v>
      </c>
      <c r="D47" s="3">
        <v>36763</v>
      </c>
      <c r="E47">
        <v>50</v>
      </c>
      <c r="F47">
        <v>5</v>
      </c>
      <c r="G47">
        <v>36</v>
      </c>
      <c r="H47" t="s">
        <v>13</v>
      </c>
      <c r="I47">
        <v>490.62</v>
      </c>
      <c r="J47">
        <v>490.62</v>
      </c>
    </row>
    <row r="48" spans="1:10" x14ac:dyDescent="0.25">
      <c r="A48">
        <v>640</v>
      </c>
      <c r="B48">
        <v>57</v>
      </c>
      <c r="C48" t="s">
        <v>12</v>
      </c>
      <c r="D48" s="3">
        <v>97035</v>
      </c>
      <c r="E48">
        <v>28</v>
      </c>
      <c r="F48">
        <v>6</v>
      </c>
      <c r="G48">
        <v>42</v>
      </c>
      <c r="H48" t="s">
        <v>13</v>
      </c>
      <c r="I48">
        <v>741.41</v>
      </c>
      <c r="J48">
        <v>741.41</v>
      </c>
    </row>
    <row r="49" spans="1:10" x14ac:dyDescent="0.25">
      <c r="A49">
        <v>653</v>
      </c>
      <c r="B49">
        <v>41</v>
      </c>
      <c r="C49" t="s">
        <v>12</v>
      </c>
      <c r="D49" s="3">
        <v>140959</v>
      </c>
      <c r="E49">
        <v>35</v>
      </c>
      <c r="F49">
        <v>7</v>
      </c>
      <c r="G49">
        <v>14</v>
      </c>
      <c r="H49" t="s">
        <v>13</v>
      </c>
      <c r="I49">
        <v>232.42</v>
      </c>
      <c r="J49">
        <v>232.42</v>
      </c>
    </row>
    <row r="50" spans="1:10" x14ac:dyDescent="0.25">
      <c r="A50">
        <v>665</v>
      </c>
      <c r="B50">
        <v>37</v>
      </c>
      <c r="C50" t="s">
        <v>12</v>
      </c>
      <c r="D50" s="3">
        <v>105623</v>
      </c>
      <c r="E50">
        <v>26</v>
      </c>
      <c r="F50">
        <v>5</v>
      </c>
      <c r="G50">
        <v>47</v>
      </c>
      <c r="H50" t="s">
        <v>13</v>
      </c>
      <c r="I50">
        <v>94.79</v>
      </c>
      <c r="J50">
        <v>94.79</v>
      </c>
    </row>
    <row r="51" spans="1:10" x14ac:dyDescent="0.25">
      <c r="A51">
        <v>671</v>
      </c>
      <c r="B51">
        <v>34</v>
      </c>
      <c r="C51" t="s">
        <v>12</v>
      </c>
      <c r="D51" s="3">
        <v>54274</v>
      </c>
      <c r="E51">
        <v>27</v>
      </c>
      <c r="F51">
        <v>2</v>
      </c>
      <c r="G51">
        <v>17</v>
      </c>
      <c r="H51" t="s">
        <v>13</v>
      </c>
      <c r="I51">
        <v>954.46</v>
      </c>
      <c r="J51">
        <v>954.46</v>
      </c>
    </row>
    <row r="52" spans="1:10" x14ac:dyDescent="0.25">
      <c r="A52">
        <v>672</v>
      </c>
      <c r="B52">
        <v>30</v>
      </c>
      <c r="C52" t="s">
        <v>12</v>
      </c>
      <c r="D52" s="3">
        <v>94803</v>
      </c>
      <c r="E52">
        <v>76</v>
      </c>
      <c r="F52">
        <v>6</v>
      </c>
      <c r="G52">
        <v>33</v>
      </c>
      <c r="H52" t="s">
        <v>13</v>
      </c>
      <c r="I52">
        <v>596.98</v>
      </c>
      <c r="J52">
        <v>596.98</v>
      </c>
    </row>
    <row r="53" spans="1:10" x14ac:dyDescent="0.25">
      <c r="A53">
        <v>685</v>
      </c>
      <c r="B53">
        <v>37</v>
      </c>
      <c r="C53" t="s">
        <v>12</v>
      </c>
      <c r="D53" s="3">
        <v>104041</v>
      </c>
      <c r="E53">
        <v>64</v>
      </c>
      <c r="F53">
        <v>9</v>
      </c>
      <c r="G53">
        <v>49</v>
      </c>
      <c r="H53" t="s">
        <v>13</v>
      </c>
      <c r="I53">
        <v>117.52</v>
      </c>
      <c r="J53">
        <v>117.52</v>
      </c>
    </row>
    <row r="54" spans="1:10" x14ac:dyDescent="0.25">
      <c r="A54">
        <v>687</v>
      </c>
      <c r="B54">
        <v>59</v>
      </c>
      <c r="C54" t="s">
        <v>12</v>
      </c>
      <c r="D54" s="3">
        <v>65196</v>
      </c>
      <c r="E54">
        <v>22</v>
      </c>
      <c r="F54">
        <v>2</v>
      </c>
      <c r="G54">
        <v>36</v>
      </c>
      <c r="H54" t="s">
        <v>13</v>
      </c>
      <c r="I54">
        <v>625.33000000000004</v>
      </c>
      <c r="J54">
        <v>625.33000000000004</v>
      </c>
    </row>
    <row r="55" spans="1:10" x14ac:dyDescent="0.25">
      <c r="A55">
        <v>712</v>
      </c>
      <c r="B55">
        <v>18</v>
      </c>
      <c r="C55" t="s">
        <v>12</v>
      </c>
      <c r="D55" s="3">
        <v>141318</v>
      </c>
      <c r="E55">
        <v>37</v>
      </c>
      <c r="F55">
        <v>6</v>
      </c>
      <c r="G55">
        <v>28</v>
      </c>
      <c r="H55" t="s">
        <v>13</v>
      </c>
      <c r="I55">
        <v>428.33</v>
      </c>
      <c r="J55">
        <v>428.33</v>
      </c>
    </row>
    <row r="56" spans="1:10" x14ac:dyDescent="0.25">
      <c r="A56">
        <v>722</v>
      </c>
      <c r="B56">
        <v>45</v>
      </c>
      <c r="C56" t="s">
        <v>12</v>
      </c>
      <c r="D56" s="3">
        <v>127989</v>
      </c>
      <c r="E56">
        <v>99</v>
      </c>
      <c r="F56">
        <v>1</v>
      </c>
      <c r="G56">
        <v>42</v>
      </c>
      <c r="H56" t="s">
        <v>13</v>
      </c>
      <c r="I56">
        <v>683.99</v>
      </c>
      <c r="J56">
        <v>683.99</v>
      </c>
    </row>
    <row r="57" spans="1:10" x14ac:dyDescent="0.25">
      <c r="A57">
        <v>730</v>
      </c>
      <c r="B57">
        <v>19</v>
      </c>
      <c r="C57" t="s">
        <v>12</v>
      </c>
      <c r="D57" s="3">
        <v>85349</v>
      </c>
      <c r="E57">
        <v>77</v>
      </c>
      <c r="F57">
        <v>8</v>
      </c>
      <c r="G57">
        <v>29</v>
      </c>
      <c r="H57" t="s">
        <v>13</v>
      </c>
      <c r="I57">
        <v>381.04</v>
      </c>
      <c r="J57">
        <v>381.04</v>
      </c>
    </row>
    <row r="58" spans="1:10" x14ac:dyDescent="0.25">
      <c r="A58">
        <v>749</v>
      </c>
      <c r="B58">
        <v>22</v>
      </c>
      <c r="C58" t="s">
        <v>12</v>
      </c>
      <c r="D58" s="3">
        <v>73023</v>
      </c>
      <c r="E58">
        <v>30</v>
      </c>
      <c r="F58">
        <v>1</v>
      </c>
      <c r="G58">
        <v>19</v>
      </c>
      <c r="H58" t="s">
        <v>13</v>
      </c>
      <c r="I58">
        <v>661.7</v>
      </c>
      <c r="J58">
        <v>661.7</v>
      </c>
    </row>
    <row r="59" spans="1:10" x14ac:dyDescent="0.25">
      <c r="A59">
        <v>752</v>
      </c>
      <c r="B59">
        <v>31</v>
      </c>
      <c r="C59" t="s">
        <v>12</v>
      </c>
      <c r="D59" s="3">
        <v>85928</v>
      </c>
      <c r="E59">
        <v>10</v>
      </c>
      <c r="F59">
        <v>2</v>
      </c>
      <c r="G59">
        <v>40</v>
      </c>
      <c r="H59" t="s">
        <v>13</v>
      </c>
      <c r="I59">
        <v>34.1</v>
      </c>
      <c r="J59">
        <v>34.1</v>
      </c>
    </row>
    <row r="60" spans="1:10" x14ac:dyDescent="0.25">
      <c r="A60">
        <v>758</v>
      </c>
      <c r="B60">
        <v>35</v>
      </c>
      <c r="C60" t="s">
        <v>12</v>
      </c>
      <c r="D60" s="3">
        <v>94896</v>
      </c>
      <c r="E60">
        <v>36</v>
      </c>
      <c r="F60">
        <v>6</v>
      </c>
      <c r="G60">
        <v>4</v>
      </c>
      <c r="H60" t="s">
        <v>13</v>
      </c>
      <c r="I60">
        <v>102.23</v>
      </c>
      <c r="J60">
        <v>102.23</v>
      </c>
    </row>
    <row r="61" spans="1:10" x14ac:dyDescent="0.25">
      <c r="A61">
        <v>761</v>
      </c>
      <c r="B61">
        <v>47</v>
      </c>
      <c r="C61" t="s">
        <v>12</v>
      </c>
      <c r="D61" s="3">
        <v>112510</v>
      </c>
      <c r="E61">
        <v>1</v>
      </c>
      <c r="F61">
        <v>2</v>
      </c>
      <c r="G61">
        <v>10</v>
      </c>
      <c r="H61" t="s">
        <v>13</v>
      </c>
      <c r="I61">
        <v>618.20000000000005</v>
      </c>
      <c r="J61">
        <v>618.20000000000005</v>
      </c>
    </row>
    <row r="62" spans="1:10" x14ac:dyDescent="0.25">
      <c r="A62">
        <v>763</v>
      </c>
      <c r="B62">
        <v>63</v>
      </c>
      <c r="C62" t="s">
        <v>12</v>
      </c>
      <c r="D62" s="3">
        <v>115204</v>
      </c>
      <c r="E62">
        <v>12</v>
      </c>
      <c r="F62">
        <v>2</v>
      </c>
      <c r="G62">
        <v>19</v>
      </c>
      <c r="H62" t="s">
        <v>13</v>
      </c>
      <c r="I62">
        <v>910.59</v>
      </c>
      <c r="J62">
        <v>910.59</v>
      </c>
    </row>
    <row r="63" spans="1:10" x14ac:dyDescent="0.25">
      <c r="A63">
        <v>774</v>
      </c>
      <c r="B63">
        <v>52</v>
      </c>
      <c r="C63" t="s">
        <v>12</v>
      </c>
      <c r="D63" s="3">
        <v>52167</v>
      </c>
      <c r="E63">
        <v>19</v>
      </c>
      <c r="F63">
        <v>5</v>
      </c>
      <c r="G63">
        <v>50</v>
      </c>
      <c r="H63" t="s">
        <v>13</v>
      </c>
      <c r="I63">
        <v>961.55</v>
      </c>
      <c r="J63">
        <v>961.55</v>
      </c>
    </row>
    <row r="64" spans="1:10" x14ac:dyDescent="0.25">
      <c r="A64">
        <v>781</v>
      </c>
      <c r="B64">
        <v>53</v>
      </c>
      <c r="C64" t="s">
        <v>12</v>
      </c>
      <c r="D64" s="3">
        <v>147355</v>
      </c>
      <c r="E64">
        <v>10</v>
      </c>
      <c r="F64">
        <v>2</v>
      </c>
      <c r="G64">
        <v>38</v>
      </c>
      <c r="H64" t="s">
        <v>13</v>
      </c>
      <c r="I64">
        <v>866.3</v>
      </c>
      <c r="J64">
        <v>866.3</v>
      </c>
    </row>
    <row r="65" spans="1:10" x14ac:dyDescent="0.25">
      <c r="A65">
        <v>788</v>
      </c>
      <c r="B65">
        <v>33</v>
      </c>
      <c r="C65" t="s">
        <v>12</v>
      </c>
      <c r="D65" s="3">
        <v>38558</v>
      </c>
      <c r="E65">
        <v>71</v>
      </c>
      <c r="F65">
        <v>8</v>
      </c>
      <c r="G65">
        <v>22</v>
      </c>
      <c r="H65" t="s">
        <v>13</v>
      </c>
      <c r="I65">
        <v>223.73</v>
      </c>
      <c r="J65">
        <v>223.73</v>
      </c>
    </row>
    <row r="66" spans="1:10" x14ac:dyDescent="0.25">
      <c r="A66">
        <v>796</v>
      </c>
      <c r="B66">
        <v>47</v>
      </c>
      <c r="C66" t="s">
        <v>12</v>
      </c>
      <c r="D66" s="3">
        <v>92114</v>
      </c>
      <c r="E66">
        <v>17</v>
      </c>
      <c r="F66">
        <v>7</v>
      </c>
      <c r="G66">
        <v>8</v>
      </c>
      <c r="H66" t="s">
        <v>13</v>
      </c>
      <c r="I66">
        <v>997.15</v>
      </c>
      <c r="J66">
        <v>997.15</v>
      </c>
    </row>
    <row r="67" spans="1:10" x14ac:dyDescent="0.25">
      <c r="A67">
        <v>797</v>
      </c>
      <c r="B67">
        <v>47</v>
      </c>
      <c r="C67" t="s">
        <v>12</v>
      </c>
      <c r="D67" s="3">
        <v>86651</v>
      </c>
      <c r="E67">
        <v>54</v>
      </c>
      <c r="F67">
        <v>3</v>
      </c>
      <c r="G67">
        <v>49</v>
      </c>
      <c r="H67" t="s">
        <v>13</v>
      </c>
      <c r="I67">
        <v>678.41</v>
      </c>
      <c r="J67">
        <v>678.41</v>
      </c>
    </row>
    <row r="68" spans="1:10" x14ac:dyDescent="0.25">
      <c r="A68">
        <v>818</v>
      </c>
      <c r="B68">
        <v>69</v>
      </c>
      <c r="C68" t="s">
        <v>12</v>
      </c>
      <c r="D68" s="3">
        <v>129445</v>
      </c>
      <c r="E68">
        <v>32</v>
      </c>
      <c r="F68">
        <v>3</v>
      </c>
      <c r="G68">
        <v>6</v>
      </c>
      <c r="H68" t="s">
        <v>13</v>
      </c>
      <c r="I68">
        <v>42.19</v>
      </c>
      <c r="J68">
        <v>42.19</v>
      </c>
    </row>
    <row r="69" spans="1:10" x14ac:dyDescent="0.25">
      <c r="A69">
        <v>829</v>
      </c>
      <c r="B69">
        <v>37</v>
      </c>
      <c r="C69" t="s">
        <v>12</v>
      </c>
      <c r="D69" s="3">
        <v>112949</v>
      </c>
      <c r="E69">
        <v>33</v>
      </c>
      <c r="F69">
        <v>8</v>
      </c>
      <c r="G69">
        <v>40</v>
      </c>
      <c r="H69" t="s">
        <v>13</v>
      </c>
      <c r="I69">
        <v>424.07</v>
      </c>
      <c r="J69">
        <v>424.07</v>
      </c>
    </row>
    <row r="70" spans="1:10" x14ac:dyDescent="0.25">
      <c r="A70">
        <v>830</v>
      </c>
      <c r="B70">
        <v>28</v>
      </c>
      <c r="C70" t="s">
        <v>12</v>
      </c>
      <c r="D70" s="3">
        <v>136418</v>
      </c>
      <c r="E70">
        <v>17</v>
      </c>
      <c r="F70">
        <v>5</v>
      </c>
      <c r="G70">
        <v>17</v>
      </c>
      <c r="H70" t="s">
        <v>13</v>
      </c>
      <c r="I70">
        <v>765.53</v>
      </c>
      <c r="J70">
        <v>765.53</v>
      </c>
    </row>
    <row r="71" spans="1:10" x14ac:dyDescent="0.25">
      <c r="A71">
        <v>844</v>
      </c>
      <c r="B71">
        <v>43</v>
      </c>
      <c r="C71" t="s">
        <v>12</v>
      </c>
      <c r="D71" s="3">
        <v>140638</v>
      </c>
      <c r="E71">
        <v>62</v>
      </c>
      <c r="F71">
        <v>10</v>
      </c>
      <c r="G71">
        <v>18</v>
      </c>
      <c r="H71" t="s">
        <v>13</v>
      </c>
      <c r="I71">
        <v>78.52</v>
      </c>
      <c r="J71">
        <v>78.52</v>
      </c>
    </row>
    <row r="72" spans="1:10" x14ac:dyDescent="0.25">
      <c r="A72">
        <v>895</v>
      </c>
      <c r="B72">
        <v>27</v>
      </c>
      <c r="C72" t="s">
        <v>12</v>
      </c>
      <c r="D72" s="3">
        <v>128640</v>
      </c>
      <c r="E72">
        <v>3</v>
      </c>
      <c r="F72">
        <v>5</v>
      </c>
      <c r="G72">
        <v>2</v>
      </c>
      <c r="H72" t="s">
        <v>13</v>
      </c>
      <c r="I72">
        <v>140.52000000000001</v>
      </c>
      <c r="J72">
        <v>140.52000000000001</v>
      </c>
    </row>
    <row r="73" spans="1:10" x14ac:dyDescent="0.25">
      <c r="A73">
        <v>921</v>
      </c>
      <c r="B73">
        <v>66</v>
      </c>
      <c r="C73" t="s">
        <v>12</v>
      </c>
      <c r="D73" s="3">
        <v>122436</v>
      </c>
      <c r="E73">
        <v>73</v>
      </c>
      <c r="F73">
        <v>7</v>
      </c>
      <c r="G73">
        <v>47</v>
      </c>
      <c r="H73" t="s">
        <v>13</v>
      </c>
      <c r="I73">
        <v>666.62</v>
      </c>
      <c r="J73">
        <v>666.62</v>
      </c>
    </row>
    <row r="74" spans="1:10" x14ac:dyDescent="0.25">
      <c r="A74">
        <v>931</v>
      </c>
      <c r="B74">
        <v>59</v>
      </c>
      <c r="C74" t="s">
        <v>12</v>
      </c>
      <c r="D74" s="3">
        <v>48329</v>
      </c>
      <c r="E74">
        <v>6</v>
      </c>
      <c r="F74">
        <v>8</v>
      </c>
      <c r="G74">
        <v>26</v>
      </c>
      <c r="H74" t="s">
        <v>13</v>
      </c>
      <c r="I74">
        <v>36.76</v>
      </c>
      <c r="J74">
        <v>36.76</v>
      </c>
    </row>
    <row r="75" spans="1:10" x14ac:dyDescent="0.25">
      <c r="A75">
        <v>936</v>
      </c>
      <c r="B75">
        <v>51</v>
      </c>
      <c r="C75" t="s">
        <v>12</v>
      </c>
      <c r="D75" s="3">
        <v>148784</v>
      </c>
      <c r="E75">
        <v>17</v>
      </c>
      <c r="F75">
        <v>1</v>
      </c>
      <c r="G75">
        <v>50</v>
      </c>
      <c r="H75" t="s">
        <v>13</v>
      </c>
      <c r="I75">
        <v>302.81</v>
      </c>
      <c r="J75">
        <v>302.81</v>
      </c>
    </row>
    <row r="76" spans="1:10" x14ac:dyDescent="0.25">
      <c r="A76">
        <v>939</v>
      </c>
      <c r="B76">
        <v>37</v>
      </c>
      <c r="C76" t="s">
        <v>12</v>
      </c>
      <c r="D76" s="3">
        <v>70213</v>
      </c>
      <c r="E76">
        <v>84</v>
      </c>
      <c r="F76">
        <v>3</v>
      </c>
      <c r="G76">
        <v>37</v>
      </c>
      <c r="H76" t="s">
        <v>13</v>
      </c>
      <c r="I76">
        <v>785.53</v>
      </c>
      <c r="J76">
        <v>785.53</v>
      </c>
    </row>
    <row r="77" spans="1:10" x14ac:dyDescent="0.25">
      <c r="A77">
        <v>981</v>
      </c>
      <c r="B77">
        <v>30</v>
      </c>
      <c r="C77" t="s">
        <v>12</v>
      </c>
      <c r="D77" s="3">
        <v>117373</v>
      </c>
      <c r="E77">
        <v>32</v>
      </c>
      <c r="F77">
        <v>1</v>
      </c>
      <c r="G77">
        <v>49</v>
      </c>
      <c r="H77" t="s">
        <v>13</v>
      </c>
      <c r="I77">
        <v>129.35</v>
      </c>
      <c r="J77">
        <v>129.35</v>
      </c>
    </row>
    <row r="78" spans="1:10" x14ac:dyDescent="0.25">
      <c r="A78">
        <v>989</v>
      </c>
      <c r="B78">
        <v>26</v>
      </c>
      <c r="C78" t="s">
        <v>12</v>
      </c>
      <c r="D78" s="3">
        <v>45147</v>
      </c>
      <c r="E78">
        <v>93</v>
      </c>
      <c r="F78">
        <v>1</v>
      </c>
      <c r="G78">
        <v>32</v>
      </c>
      <c r="H78" t="s">
        <v>13</v>
      </c>
      <c r="I78">
        <v>750.58</v>
      </c>
      <c r="J78">
        <v>750.58</v>
      </c>
    </row>
    <row r="79" spans="1:10" x14ac:dyDescent="0.25">
      <c r="A79">
        <v>30</v>
      </c>
      <c r="B79">
        <v>23</v>
      </c>
      <c r="C79" t="s">
        <v>12</v>
      </c>
      <c r="D79" s="3">
        <v>104106</v>
      </c>
      <c r="E79">
        <v>30</v>
      </c>
      <c r="F79">
        <v>4</v>
      </c>
      <c r="G79">
        <v>20</v>
      </c>
      <c r="H79" t="s">
        <v>14</v>
      </c>
      <c r="I79">
        <v>950.56</v>
      </c>
      <c r="J79">
        <v>950.56</v>
      </c>
    </row>
    <row r="80" spans="1:10" x14ac:dyDescent="0.25">
      <c r="A80">
        <v>33</v>
      </c>
      <c r="B80">
        <v>29</v>
      </c>
      <c r="C80" t="s">
        <v>12</v>
      </c>
      <c r="D80" s="3">
        <v>71951</v>
      </c>
      <c r="E80">
        <v>2</v>
      </c>
      <c r="F80">
        <v>6</v>
      </c>
      <c r="G80">
        <v>47</v>
      </c>
      <c r="H80" t="s">
        <v>14</v>
      </c>
      <c r="I80">
        <v>91.94</v>
      </c>
      <c r="J80">
        <v>91.94</v>
      </c>
    </row>
    <row r="81" spans="1:10" x14ac:dyDescent="0.25">
      <c r="A81">
        <v>37</v>
      </c>
      <c r="B81">
        <v>47</v>
      </c>
      <c r="C81" t="s">
        <v>12</v>
      </c>
      <c r="D81" s="3">
        <v>108074</v>
      </c>
      <c r="E81">
        <v>78</v>
      </c>
      <c r="F81">
        <v>4</v>
      </c>
      <c r="G81">
        <v>38</v>
      </c>
      <c r="H81" t="s">
        <v>14</v>
      </c>
      <c r="I81">
        <v>128.19999999999999</v>
      </c>
      <c r="J81">
        <v>128.19999999999999</v>
      </c>
    </row>
    <row r="82" spans="1:10" x14ac:dyDescent="0.25">
      <c r="A82">
        <v>47</v>
      </c>
      <c r="B82">
        <v>56</v>
      </c>
      <c r="C82" t="s">
        <v>12</v>
      </c>
      <c r="D82" s="3">
        <v>129005</v>
      </c>
      <c r="E82">
        <v>40</v>
      </c>
      <c r="F82">
        <v>6</v>
      </c>
      <c r="G82">
        <v>8</v>
      </c>
      <c r="H82" t="s">
        <v>14</v>
      </c>
      <c r="I82">
        <v>355.34</v>
      </c>
      <c r="J82">
        <v>355.34</v>
      </c>
    </row>
    <row r="83" spans="1:10" x14ac:dyDescent="0.25">
      <c r="A83">
        <v>48</v>
      </c>
      <c r="B83">
        <v>48</v>
      </c>
      <c r="C83" t="s">
        <v>12</v>
      </c>
      <c r="D83" s="3">
        <v>76317</v>
      </c>
      <c r="E83">
        <v>94</v>
      </c>
      <c r="F83">
        <v>9</v>
      </c>
      <c r="G83">
        <v>3</v>
      </c>
      <c r="H83" t="s">
        <v>14</v>
      </c>
      <c r="I83">
        <v>189.28</v>
      </c>
      <c r="J83">
        <v>189.28</v>
      </c>
    </row>
    <row r="84" spans="1:10" x14ac:dyDescent="0.25">
      <c r="A84">
        <v>69</v>
      </c>
      <c r="B84">
        <v>32</v>
      </c>
      <c r="C84" t="s">
        <v>12</v>
      </c>
      <c r="D84" s="3">
        <v>135861</v>
      </c>
      <c r="E84">
        <v>88</v>
      </c>
      <c r="F84">
        <v>5</v>
      </c>
      <c r="G84">
        <v>16</v>
      </c>
      <c r="H84" t="s">
        <v>14</v>
      </c>
      <c r="I84">
        <v>103.33</v>
      </c>
      <c r="J84">
        <v>103.33</v>
      </c>
    </row>
    <row r="85" spans="1:10" x14ac:dyDescent="0.25">
      <c r="A85">
        <v>84</v>
      </c>
      <c r="B85">
        <v>56</v>
      </c>
      <c r="C85" t="s">
        <v>12</v>
      </c>
      <c r="D85" s="3">
        <v>58971</v>
      </c>
      <c r="E85">
        <v>77</v>
      </c>
      <c r="F85">
        <v>9</v>
      </c>
      <c r="G85">
        <v>35</v>
      </c>
      <c r="H85" t="s">
        <v>14</v>
      </c>
      <c r="I85">
        <v>13.16</v>
      </c>
      <c r="J85">
        <v>13.16</v>
      </c>
    </row>
    <row r="86" spans="1:10" x14ac:dyDescent="0.25">
      <c r="A86">
        <v>93</v>
      </c>
      <c r="B86">
        <v>65</v>
      </c>
      <c r="C86" t="s">
        <v>12</v>
      </c>
      <c r="D86" s="3">
        <v>62792</v>
      </c>
      <c r="E86">
        <v>83</v>
      </c>
      <c r="F86">
        <v>8</v>
      </c>
      <c r="G86">
        <v>11</v>
      </c>
      <c r="H86" t="s">
        <v>14</v>
      </c>
      <c r="I86">
        <v>230.58</v>
      </c>
      <c r="J86">
        <v>230.58</v>
      </c>
    </row>
    <row r="87" spans="1:10" x14ac:dyDescent="0.25">
      <c r="A87">
        <v>115</v>
      </c>
      <c r="B87">
        <v>64</v>
      </c>
      <c r="C87" t="s">
        <v>12</v>
      </c>
      <c r="D87" s="3">
        <v>87595</v>
      </c>
      <c r="E87">
        <v>11</v>
      </c>
      <c r="F87">
        <v>5</v>
      </c>
      <c r="G87">
        <v>21</v>
      </c>
      <c r="H87" t="s">
        <v>14</v>
      </c>
      <c r="I87">
        <v>69.78</v>
      </c>
      <c r="J87">
        <v>69.78</v>
      </c>
    </row>
    <row r="88" spans="1:10" x14ac:dyDescent="0.25">
      <c r="A88">
        <v>117</v>
      </c>
      <c r="B88">
        <v>62</v>
      </c>
      <c r="C88" t="s">
        <v>12</v>
      </c>
      <c r="D88" s="3">
        <v>128322</v>
      </c>
      <c r="E88">
        <v>44</v>
      </c>
      <c r="F88">
        <v>4</v>
      </c>
      <c r="G88">
        <v>31</v>
      </c>
      <c r="H88" t="s">
        <v>14</v>
      </c>
      <c r="I88">
        <v>668.91</v>
      </c>
      <c r="J88">
        <v>668.91</v>
      </c>
    </row>
    <row r="89" spans="1:10" x14ac:dyDescent="0.25">
      <c r="A89">
        <v>122</v>
      </c>
      <c r="B89">
        <v>43</v>
      </c>
      <c r="C89" t="s">
        <v>12</v>
      </c>
      <c r="D89" s="3">
        <v>42855</v>
      </c>
      <c r="E89">
        <v>66</v>
      </c>
      <c r="F89">
        <v>6</v>
      </c>
      <c r="G89">
        <v>23</v>
      </c>
      <c r="H89" t="s">
        <v>14</v>
      </c>
      <c r="I89">
        <v>138.51</v>
      </c>
      <c r="J89">
        <v>138.51</v>
      </c>
    </row>
    <row r="90" spans="1:10" x14ac:dyDescent="0.25">
      <c r="A90">
        <v>147</v>
      </c>
      <c r="B90">
        <v>69</v>
      </c>
      <c r="C90" t="s">
        <v>12</v>
      </c>
      <c r="D90" s="3">
        <v>90929</v>
      </c>
      <c r="E90">
        <v>2</v>
      </c>
      <c r="F90">
        <v>10</v>
      </c>
      <c r="G90">
        <v>29</v>
      </c>
      <c r="H90" t="s">
        <v>14</v>
      </c>
      <c r="I90">
        <v>518.70000000000005</v>
      </c>
      <c r="J90">
        <v>518.70000000000005</v>
      </c>
    </row>
    <row r="91" spans="1:10" x14ac:dyDescent="0.25">
      <c r="A91">
        <v>182</v>
      </c>
      <c r="B91">
        <v>40</v>
      </c>
      <c r="C91" t="s">
        <v>12</v>
      </c>
      <c r="D91" s="3">
        <v>136323</v>
      </c>
      <c r="E91">
        <v>36</v>
      </c>
      <c r="F91">
        <v>6</v>
      </c>
      <c r="G91">
        <v>25</v>
      </c>
      <c r="H91" t="s">
        <v>14</v>
      </c>
      <c r="I91">
        <v>625.28</v>
      </c>
      <c r="J91">
        <v>625.28</v>
      </c>
    </row>
    <row r="92" spans="1:10" x14ac:dyDescent="0.25">
      <c r="A92">
        <v>187</v>
      </c>
      <c r="B92">
        <v>35</v>
      </c>
      <c r="C92" t="s">
        <v>12</v>
      </c>
      <c r="D92" s="3">
        <v>137307</v>
      </c>
      <c r="E92">
        <v>32</v>
      </c>
      <c r="F92">
        <v>6</v>
      </c>
      <c r="G92">
        <v>24</v>
      </c>
      <c r="H92" t="s">
        <v>14</v>
      </c>
      <c r="I92">
        <v>111.27</v>
      </c>
      <c r="J92">
        <v>111.27</v>
      </c>
    </row>
    <row r="93" spans="1:10" x14ac:dyDescent="0.25">
      <c r="A93">
        <v>189</v>
      </c>
      <c r="B93">
        <v>45</v>
      </c>
      <c r="C93" t="s">
        <v>12</v>
      </c>
      <c r="D93" s="3">
        <v>108335</v>
      </c>
      <c r="E93">
        <v>62</v>
      </c>
      <c r="F93">
        <v>1</v>
      </c>
      <c r="G93">
        <v>35</v>
      </c>
      <c r="H93" t="s">
        <v>14</v>
      </c>
      <c r="I93">
        <v>940.93</v>
      </c>
      <c r="J93">
        <v>940.93</v>
      </c>
    </row>
    <row r="94" spans="1:10" x14ac:dyDescent="0.25">
      <c r="A94">
        <v>191</v>
      </c>
      <c r="B94">
        <v>35</v>
      </c>
      <c r="C94" t="s">
        <v>12</v>
      </c>
      <c r="D94" s="3">
        <v>100208</v>
      </c>
      <c r="E94">
        <v>80</v>
      </c>
      <c r="F94">
        <v>2</v>
      </c>
      <c r="G94">
        <v>27</v>
      </c>
      <c r="H94" t="s">
        <v>14</v>
      </c>
      <c r="I94">
        <v>23.73</v>
      </c>
      <c r="J94">
        <v>23.73</v>
      </c>
    </row>
    <row r="95" spans="1:10" x14ac:dyDescent="0.25">
      <c r="A95">
        <v>205</v>
      </c>
      <c r="B95">
        <v>27</v>
      </c>
      <c r="C95" t="s">
        <v>12</v>
      </c>
      <c r="D95" s="3">
        <v>132541</v>
      </c>
      <c r="E95">
        <v>78</v>
      </c>
      <c r="F95">
        <v>8</v>
      </c>
      <c r="G95">
        <v>42</v>
      </c>
      <c r="H95" t="s">
        <v>14</v>
      </c>
      <c r="I95">
        <v>825.01</v>
      </c>
      <c r="J95">
        <v>825.01</v>
      </c>
    </row>
    <row r="96" spans="1:10" x14ac:dyDescent="0.25">
      <c r="A96">
        <v>206</v>
      </c>
      <c r="B96">
        <v>34</v>
      </c>
      <c r="C96" t="s">
        <v>12</v>
      </c>
      <c r="D96" s="3">
        <v>97962</v>
      </c>
      <c r="E96">
        <v>18</v>
      </c>
      <c r="F96">
        <v>3</v>
      </c>
      <c r="G96">
        <v>19</v>
      </c>
      <c r="H96" t="s">
        <v>14</v>
      </c>
      <c r="I96">
        <v>947.73</v>
      </c>
      <c r="J96">
        <v>947.73</v>
      </c>
    </row>
    <row r="97" spans="1:10" x14ac:dyDescent="0.25">
      <c r="A97">
        <v>220</v>
      </c>
      <c r="B97">
        <v>69</v>
      </c>
      <c r="C97" t="s">
        <v>12</v>
      </c>
      <c r="D97" s="3">
        <v>142216</v>
      </c>
      <c r="E97">
        <v>90</v>
      </c>
      <c r="F97">
        <v>7</v>
      </c>
      <c r="G97">
        <v>29</v>
      </c>
      <c r="H97" t="s">
        <v>14</v>
      </c>
      <c r="I97">
        <v>559.73</v>
      </c>
      <c r="J97">
        <v>559.73</v>
      </c>
    </row>
    <row r="98" spans="1:10" x14ac:dyDescent="0.25">
      <c r="A98">
        <v>227</v>
      </c>
      <c r="B98">
        <v>65</v>
      </c>
      <c r="C98" t="s">
        <v>12</v>
      </c>
      <c r="D98" s="3">
        <v>89274</v>
      </c>
      <c r="E98">
        <v>71</v>
      </c>
      <c r="F98">
        <v>10</v>
      </c>
      <c r="G98">
        <v>34</v>
      </c>
      <c r="H98" t="s">
        <v>14</v>
      </c>
      <c r="I98">
        <v>840.45</v>
      </c>
      <c r="J98">
        <v>840.45</v>
      </c>
    </row>
    <row r="99" spans="1:10" x14ac:dyDescent="0.25">
      <c r="A99">
        <v>230</v>
      </c>
      <c r="B99">
        <v>56</v>
      </c>
      <c r="C99" t="s">
        <v>12</v>
      </c>
      <c r="D99" s="3">
        <v>31154</v>
      </c>
      <c r="E99">
        <v>40</v>
      </c>
      <c r="F99">
        <v>4</v>
      </c>
      <c r="G99">
        <v>25</v>
      </c>
      <c r="H99" t="s">
        <v>14</v>
      </c>
      <c r="I99">
        <v>197.54</v>
      </c>
      <c r="J99">
        <v>197.54</v>
      </c>
    </row>
    <row r="100" spans="1:10" x14ac:dyDescent="0.25">
      <c r="A100">
        <v>246</v>
      </c>
      <c r="B100">
        <v>44</v>
      </c>
      <c r="C100" t="s">
        <v>12</v>
      </c>
      <c r="D100" s="3">
        <v>83880</v>
      </c>
      <c r="E100">
        <v>31</v>
      </c>
      <c r="F100">
        <v>6</v>
      </c>
      <c r="G100">
        <v>32</v>
      </c>
      <c r="H100" t="s">
        <v>14</v>
      </c>
      <c r="I100">
        <v>464.42</v>
      </c>
      <c r="J100">
        <v>464.42</v>
      </c>
    </row>
    <row r="101" spans="1:10" x14ac:dyDescent="0.25">
      <c r="A101">
        <v>251</v>
      </c>
      <c r="B101">
        <v>43</v>
      </c>
      <c r="C101" t="s">
        <v>12</v>
      </c>
      <c r="D101" s="3">
        <v>89688</v>
      </c>
      <c r="E101">
        <v>27</v>
      </c>
      <c r="F101">
        <v>10</v>
      </c>
      <c r="G101">
        <v>30</v>
      </c>
      <c r="H101" t="s">
        <v>14</v>
      </c>
      <c r="I101">
        <v>223.64</v>
      </c>
      <c r="J101">
        <v>223.64</v>
      </c>
    </row>
    <row r="102" spans="1:10" x14ac:dyDescent="0.25">
      <c r="A102">
        <v>283</v>
      </c>
      <c r="B102">
        <v>33</v>
      </c>
      <c r="C102" t="s">
        <v>12</v>
      </c>
      <c r="D102" s="3">
        <v>113187</v>
      </c>
      <c r="E102">
        <v>27</v>
      </c>
      <c r="F102">
        <v>9</v>
      </c>
      <c r="G102">
        <v>46</v>
      </c>
      <c r="H102" t="s">
        <v>14</v>
      </c>
      <c r="I102">
        <v>886.3</v>
      </c>
      <c r="J102">
        <v>886.3</v>
      </c>
    </row>
    <row r="103" spans="1:10" x14ac:dyDescent="0.25">
      <c r="A103">
        <v>284</v>
      </c>
      <c r="B103">
        <v>43</v>
      </c>
      <c r="C103" t="s">
        <v>12</v>
      </c>
      <c r="D103" s="3">
        <v>77006</v>
      </c>
      <c r="E103">
        <v>27</v>
      </c>
      <c r="F103">
        <v>3</v>
      </c>
      <c r="G103">
        <v>36</v>
      </c>
      <c r="H103" t="s">
        <v>14</v>
      </c>
      <c r="I103">
        <v>223.98</v>
      </c>
      <c r="J103">
        <v>223.98</v>
      </c>
    </row>
    <row r="104" spans="1:10" x14ac:dyDescent="0.25">
      <c r="A104">
        <v>290</v>
      </c>
      <c r="B104">
        <v>43</v>
      </c>
      <c r="C104" t="s">
        <v>12</v>
      </c>
      <c r="D104" s="3">
        <v>64136</v>
      </c>
      <c r="E104">
        <v>61</v>
      </c>
      <c r="F104">
        <v>1</v>
      </c>
      <c r="G104">
        <v>19</v>
      </c>
      <c r="H104" t="s">
        <v>14</v>
      </c>
      <c r="I104">
        <v>680.92</v>
      </c>
      <c r="J104">
        <v>680.92</v>
      </c>
    </row>
    <row r="105" spans="1:10" x14ac:dyDescent="0.25">
      <c r="A105">
        <v>311</v>
      </c>
      <c r="B105">
        <v>53</v>
      </c>
      <c r="C105" t="s">
        <v>12</v>
      </c>
      <c r="D105" s="3">
        <v>138922</v>
      </c>
      <c r="E105">
        <v>45</v>
      </c>
      <c r="F105">
        <v>5</v>
      </c>
      <c r="G105">
        <v>22</v>
      </c>
      <c r="H105" t="s">
        <v>14</v>
      </c>
      <c r="I105">
        <v>154.06</v>
      </c>
      <c r="J105">
        <v>154.06</v>
      </c>
    </row>
    <row r="106" spans="1:10" x14ac:dyDescent="0.25">
      <c r="A106">
        <v>358</v>
      </c>
      <c r="B106">
        <v>57</v>
      </c>
      <c r="C106" t="s">
        <v>12</v>
      </c>
      <c r="D106" s="3">
        <v>137205</v>
      </c>
      <c r="E106">
        <v>18</v>
      </c>
      <c r="F106">
        <v>1</v>
      </c>
      <c r="G106">
        <v>21</v>
      </c>
      <c r="H106" t="s">
        <v>14</v>
      </c>
      <c r="I106">
        <v>862.12</v>
      </c>
      <c r="J106">
        <v>862.12</v>
      </c>
    </row>
    <row r="107" spans="1:10" x14ac:dyDescent="0.25">
      <c r="A107">
        <v>360</v>
      </c>
      <c r="B107">
        <v>38</v>
      </c>
      <c r="C107" t="s">
        <v>12</v>
      </c>
      <c r="D107" s="3">
        <v>40590</v>
      </c>
      <c r="E107">
        <v>91</v>
      </c>
      <c r="F107">
        <v>7</v>
      </c>
      <c r="G107">
        <v>27</v>
      </c>
      <c r="H107" t="s">
        <v>14</v>
      </c>
      <c r="I107">
        <v>617.64</v>
      </c>
      <c r="J107">
        <v>617.64</v>
      </c>
    </row>
    <row r="108" spans="1:10" x14ac:dyDescent="0.25">
      <c r="A108">
        <v>390</v>
      </c>
      <c r="B108">
        <v>37</v>
      </c>
      <c r="C108" t="s">
        <v>12</v>
      </c>
      <c r="D108" s="3">
        <v>65343</v>
      </c>
      <c r="E108">
        <v>89</v>
      </c>
      <c r="F108">
        <v>3</v>
      </c>
      <c r="G108">
        <v>2</v>
      </c>
      <c r="H108" t="s">
        <v>14</v>
      </c>
      <c r="I108">
        <v>668.23</v>
      </c>
      <c r="J108">
        <v>668.23</v>
      </c>
    </row>
    <row r="109" spans="1:10" x14ac:dyDescent="0.25">
      <c r="A109">
        <v>425</v>
      </c>
      <c r="B109">
        <v>41</v>
      </c>
      <c r="C109" t="s">
        <v>12</v>
      </c>
      <c r="D109" s="3">
        <v>67039</v>
      </c>
      <c r="E109">
        <v>100</v>
      </c>
      <c r="F109">
        <v>1</v>
      </c>
      <c r="G109">
        <v>36</v>
      </c>
      <c r="H109" t="s">
        <v>14</v>
      </c>
      <c r="I109">
        <v>178.68</v>
      </c>
      <c r="J109">
        <v>178.68</v>
      </c>
    </row>
    <row r="110" spans="1:10" x14ac:dyDescent="0.25">
      <c r="A110">
        <v>429</v>
      </c>
      <c r="B110">
        <v>20</v>
      </c>
      <c r="C110" t="s">
        <v>12</v>
      </c>
      <c r="D110" s="3">
        <v>49308</v>
      </c>
      <c r="E110">
        <v>29</v>
      </c>
      <c r="F110">
        <v>6</v>
      </c>
      <c r="G110">
        <v>19</v>
      </c>
      <c r="H110" t="s">
        <v>14</v>
      </c>
      <c r="I110">
        <v>351.64</v>
      </c>
      <c r="J110">
        <v>351.64</v>
      </c>
    </row>
    <row r="111" spans="1:10" x14ac:dyDescent="0.25">
      <c r="A111">
        <v>434</v>
      </c>
      <c r="B111">
        <v>57</v>
      </c>
      <c r="C111" t="s">
        <v>12</v>
      </c>
      <c r="D111" s="3">
        <v>60668</v>
      </c>
      <c r="E111">
        <v>66</v>
      </c>
      <c r="F111">
        <v>6</v>
      </c>
      <c r="G111">
        <v>28</v>
      </c>
      <c r="H111" t="s">
        <v>14</v>
      </c>
      <c r="I111">
        <v>984.6</v>
      </c>
      <c r="J111">
        <v>984.6</v>
      </c>
    </row>
    <row r="112" spans="1:10" x14ac:dyDescent="0.25">
      <c r="A112">
        <v>446</v>
      </c>
      <c r="B112">
        <v>53</v>
      </c>
      <c r="C112" t="s">
        <v>12</v>
      </c>
      <c r="D112" s="3">
        <v>56570</v>
      </c>
      <c r="E112">
        <v>29</v>
      </c>
      <c r="F112">
        <v>7</v>
      </c>
      <c r="G112">
        <v>37</v>
      </c>
      <c r="H112" t="s">
        <v>14</v>
      </c>
      <c r="I112">
        <v>432.65</v>
      </c>
      <c r="J112">
        <v>432.65</v>
      </c>
    </row>
    <row r="113" spans="1:10" x14ac:dyDescent="0.25">
      <c r="A113">
        <v>450</v>
      </c>
      <c r="B113">
        <v>48</v>
      </c>
      <c r="C113" t="s">
        <v>12</v>
      </c>
      <c r="D113" s="3">
        <v>60382</v>
      </c>
      <c r="E113">
        <v>13</v>
      </c>
      <c r="F113">
        <v>3</v>
      </c>
      <c r="G113">
        <v>27</v>
      </c>
      <c r="H113" t="s">
        <v>14</v>
      </c>
      <c r="I113">
        <v>694.59</v>
      </c>
      <c r="J113">
        <v>694.59</v>
      </c>
    </row>
    <row r="114" spans="1:10" x14ac:dyDescent="0.25">
      <c r="A114">
        <v>453</v>
      </c>
      <c r="B114">
        <v>30</v>
      </c>
      <c r="C114" t="s">
        <v>12</v>
      </c>
      <c r="D114" s="3">
        <v>35565</v>
      </c>
      <c r="E114">
        <v>83</v>
      </c>
      <c r="F114">
        <v>8</v>
      </c>
      <c r="G114">
        <v>17</v>
      </c>
      <c r="H114" t="s">
        <v>14</v>
      </c>
      <c r="I114">
        <v>238.79</v>
      </c>
      <c r="J114">
        <v>238.79</v>
      </c>
    </row>
    <row r="115" spans="1:10" x14ac:dyDescent="0.25">
      <c r="A115">
        <v>503</v>
      </c>
      <c r="B115">
        <v>22</v>
      </c>
      <c r="C115" t="s">
        <v>12</v>
      </c>
      <c r="D115" s="3">
        <v>75626</v>
      </c>
      <c r="E115">
        <v>52</v>
      </c>
      <c r="F115">
        <v>7</v>
      </c>
      <c r="G115">
        <v>34</v>
      </c>
      <c r="H115" t="s">
        <v>14</v>
      </c>
      <c r="I115">
        <v>154.66999999999999</v>
      </c>
      <c r="J115">
        <v>154.66999999999999</v>
      </c>
    </row>
    <row r="116" spans="1:10" x14ac:dyDescent="0.25">
      <c r="A116">
        <v>505</v>
      </c>
      <c r="B116">
        <v>22</v>
      </c>
      <c r="C116" t="s">
        <v>12</v>
      </c>
      <c r="D116" s="3">
        <v>53863</v>
      </c>
      <c r="E116">
        <v>96</v>
      </c>
      <c r="F116">
        <v>10</v>
      </c>
      <c r="G116">
        <v>41</v>
      </c>
      <c r="H116" t="s">
        <v>14</v>
      </c>
      <c r="I116">
        <v>491.64</v>
      </c>
      <c r="J116">
        <v>491.64</v>
      </c>
    </row>
    <row r="117" spans="1:10" x14ac:dyDescent="0.25">
      <c r="A117">
        <v>520</v>
      </c>
      <c r="B117">
        <v>38</v>
      </c>
      <c r="C117" t="s">
        <v>12</v>
      </c>
      <c r="D117" s="3">
        <v>54918</v>
      </c>
      <c r="E117">
        <v>1</v>
      </c>
      <c r="F117">
        <v>6</v>
      </c>
      <c r="G117">
        <v>6</v>
      </c>
      <c r="H117" t="s">
        <v>14</v>
      </c>
      <c r="I117">
        <v>979.26</v>
      </c>
      <c r="J117">
        <v>979.26</v>
      </c>
    </row>
    <row r="118" spans="1:10" x14ac:dyDescent="0.25">
      <c r="A118">
        <v>539</v>
      </c>
      <c r="B118">
        <v>27</v>
      </c>
      <c r="C118" t="s">
        <v>12</v>
      </c>
      <c r="D118" s="3">
        <v>73823</v>
      </c>
      <c r="E118">
        <v>11</v>
      </c>
      <c r="F118">
        <v>8</v>
      </c>
      <c r="G118">
        <v>23</v>
      </c>
      <c r="H118" t="s">
        <v>14</v>
      </c>
      <c r="I118">
        <v>27.4</v>
      </c>
      <c r="J118">
        <v>27.4</v>
      </c>
    </row>
    <row r="119" spans="1:10" x14ac:dyDescent="0.25">
      <c r="A119">
        <v>551</v>
      </c>
      <c r="B119">
        <v>50</v>
      </c>
      <c r="C119" t="s">
        <v>12</v>
      </c>
      <c r="D119" s="3">
        <v>43965</v>
      </c>
      <c r="E119">
        <v>83</v>
      </c>
      <c r="F119">
        <v>3</v>
      </c>
      <c r="G119">
        <v>17</v>
      </c>
      <c r="H119" t="s">
        <v>14</v>
      </c>
      <c r="I119">
        <v>83.38</v>
      </c>
      <c r="J119">
        <v>83.38</v>
      </c>
    </row>
    <row r="120" spans="1:10" x14ac:dyDescent="0.25">
      <c r="A120">
        <v>572</v>
      </c>
      <c r="B120">
        <v>19</v>
      </c>
      <c r="C120" t="s">
        <v>12</v>
      </c>
      <c r="D120" s="3">
        <v>134193</v>
      </c>
      <c r="E120">
        <v>95</v>
      </c>
      <c r="F120">
        <v>7</v>
      </c>
      <c r="G120">
        <v>44</v>
      </c>
      <c r="H120" t="s">
        <v>14</v>
      </c>
      <c r="I120">
        <v>97.65</v>
      </c>
      <c r="J120">
        <v>97.65</v>
      </c>
    </row>
    <row r="121" spans="1:10" x14ac:dyDescent="0.25">
      <c r="A121">
        <v>578</v>
      </c>
      <c r="B121">
        <v>64</v>
      </c>
      <c r="C121" t="s">
        <v>12</v>
      </c>
      <c r="D121" s="3">
        <v>43175</v>
      </c>
      <c r="E121">
        <v>59</v>
      </c>
      <c r="F121">
        <v>10</v>
      </c>
      <c r="G121">
        <v>35</v>
      </c>
      <c r="H121" t="s">
        <v>14</v>
      </c>
      <c r="I121">
        <v>363.86</v>
      </c>
      <c r="J121">
        <v>363.86</v>
      </c>
    </row>
    <row r="122" spans="1:10" x14ac:dyDescent="0.25">
      <c r="A122">
        <v>582</v>
      </c>
      <c r="B122">
        <v>19</v>
      </c>
      <c r="C122" t="s">
        <v>12</v>
      </c>
      <c r="D122" s="3">
        <v>135968</v>
      </c>
      <c r="E122">
        <v>50</v>
      </c>
      <c r="F122">
        <v>4</v>
      </c>
      <c r="G122">
        <v>49</v>
      </c>
      <c r="H122" t="s">
        <v>14</v>
      </c>
      <c r="I122">
        <v>174.43</v>
      </c>
      <c r="J122">
        <v>174.43</v>
      </c>
    </row>
    <row r="123" spans="1:10" x14ac:dyDescent="0.25">
      <c r="A123">
        <v>591</v>
      </c>
      <c r="B123">
        <v>53</v>
      </c>
      <c r="C123" t="s">
        <v>12</v>
      </c>
      <c r="D123" s="3">
        <v>108263</v>
      </c>
      <c r="E123">
        <v>21</v>
      </c>
      <c r="F123">
        <v>1</v>
      </c>
      <c r="G123">
        <v>47</v>
      </c>
      <c r="H123" t="s">
        <v>14</v>
      </c>
      <c r="I123">
        <v>734.48</v>
      </c>
      <c r="J123">
        <v>734.48</v>
      </c>
    </row>
    <row r="124" spans="1:10" x14ac:dyDescent="0.25">
      <c r="A124">
        <v>602</v>
      </c>
      <c r="B124">
        <v>20</v>
      </c>
      <c r="C124" t="s">
        <v>12</v>
      </c>
      <c r="D124" s="3">
        <v>145924</v>
      </c>
      <c r="E124">
        <v>64</v>
      </c>
      <c r="F124">
        <v>5</v>
      </c>
      <c r="G124">
        <v>18</v>
      </c>
      <c r="H124" t="s">
        <v>14</v>
      </c>
      <c r="I124">
        <v>495.49</v>
      </c>
      <c r="J124">
        <v>495.49</v>
      </c>
    </row>
    <row r="125" spans="1:10" x14ac:dyDescent="0.25">
      <c r="A125">
        <v>615</v>
      </c>
      <c r="B125">
        <v>69</v>
      </c>
      <c r="C125" t="s">
        <v>12</v>
      </c>
      <c r="D125" s="3">
        <v>141965</v>
      </c>
      <c r="E125">
        <v>98</v>
      </c>
      <c r="F125">
        <v>5</v>
      </c>
      <c r="G125">
        <v>35</v>
      </c>
      <c r="H125" t="s">
        <v>14</v>
      </c>
      <c r="I125">
        <v>616.66</v>
      </c>
      <c r="J125">
        <v>616.66</v>
      </c>
    </row>
    <row r="126" spans="1:10" x14ac:dyDescent="0.25">
      <c r="A126">
        <v>621</v>
      </c>
      <c r="B126">
        <v>20</v>
      </c>
      <c r="C126" t="s">
        <v>12</v>
      </c>
      <c r="D126" s="3">
        <v>122028</v>
      </c>
      <c r="E126">
        <v>40</v>
      </c>
      <c r="F126">
        <v>3</v>
      </c>
      <c r="G126">
        <v>6</v>
      </c>
      <c r="H126" t="s">
        <v>14</v>
      </c>
      <c r="I126">
        <v>777.44</v>
      </c>
      <c r="J126">
        <v>777.44</v>
      </c>
    </row>
    <row r="127" spans="1:10" x14ac:dyDescent="0.25">
      <c r="A127">
        <v>646</v>
      </c>
      <c r="B127">
        <v>62</v>
      </c>
      <c r="C127" t="s">
        <v>12</v>
      </c>
      <c r="D127" s="3">
        <v>113856</v>
      </c>
      <c r="E127">
        <v>78</v>
      </c>
      <c r="F127">
        <v>6</v>
      </c>
      <c r="G127">
        <v>50</v>
      </c>
      <c r="H127" t="s">
        <v>14</v>
      </c>
      <c r="I127">
        <v>720.47</v>
      </c>
      <c r="J127">
        <v>720.47</v>
      </c>
    </row>
    <row r="128" spans="1:10" x14ac:dyDescent="0.25">
      <c r="A128">
        <v>657</v>
      </c>
      <c r="B128">
        <v>27</v>
      </c>
      <c r="C128" t="s">
        <v>12</v>
      </c>
      <c r="D128" s="3">
        <v>81110</v>
      </c>
      <c r="E128">
        <v>44</v>
      </c>
      <c r="F128">
        <v>6</v>
      </c>
      <c r="G128">
        <v>8</v>
      </c>
      <c r="H128" t="s">
        <v>14</v>
      </c>
      <c r="I128">
        <v>654.04999999999995</v>
      </c>
      <c r="J128">
        <v>654.04999999999995</v>
      </c>
    </row>
    <row r="129" spans="1:10" x14ac:dyDescent="0.25">
      <c r="A129">
        <v>682</v>
      </c>
      <c r="B129">
        <v>61</v>
      </c>
      <c r="C129" t="s">
        <v>12</v>
      </c>
      <c r="D129" s="3">
        <v>136973</v>
      </c>
      <c r="E129">
        <v>27</v>
      </c>
      <c r="F129">
        <v>7</v>
      </c>
      <c r="G129">
        <v>2</v>
      </c>
      <c r="H129" t="s">
        <v>14</v>
      </c>
      <c r="I129">
        <v>269.2</v>
      </c>
      <c r="J129">
        <v>269.2</v>
      </c>
    </row>
    <row r="130" spans="1:10" x14ac:dyDescent="0.25">
      <c r="A130">
        <v>692</v>
      </c>
      <c r="B130">
        <v>23</v>
      </c>
      <c r="C130" t="s">
        <v>12</v>
      </c>
      <c r="D130" s="3">
        <v>57558</v>
      </c>
      <c r="E130">
        <v>28</v>
      </c>
      <c r="F130">
        <v>6</v>
      </c>
      <c r="G130">
        <v>23</v>
      </c>
      <c r="H130" t="s">
        <v>14</v>
      </c>
      <c r="I130">
        <v>800.78</v>
      </c>
      <c r="J130">
        <v>800.78</v>
      </c>
    </row>
    <row r="131" spans="1:10" x14ac:dyDescent="0.25">
      <c r="A131">
        <v>695</v>
      </c>
      <c r="B131">
        <v>45</v>
      </c>
      <c r="C131" t="s">
        <v>12</v>
      </c>
      <c r="D131" s="3">
        <v>53474</v>
      </c>
      <c r="E131">
        <v>79</v>
      </c>
      <c r="F131">
        <v>8</v>
      </c>
      <c r="G131">
        <v>21</v>
      </c>
      <c r="H131" t="s">
        <v>14</v>
      </c>
      <c r="I131">
        <v>40.32</v>
      </c>
      <c r="J131">
        <v>40.32</v>
      </c>
    </row>
    <row r="132" spans="1:10" x14ac:dyDescent="0.25">
      <c r="A132">
        <v>700</v>
      </c>
      <c r="B132">
        <v>31</v>
      </c>
      <c r="C132" t="s">
        <v>12</v>
      </c>
      <c r="D132" s="3">
        <v>33604</v>
      </c>
      <c r="E132">
        <v>8</v>
      </c>
      <c r="F132">
        <v>5</v>
      </c>
      <c r="G132">
        <v>2</v>
      </c>
      <c r="H132" t="s">
        <v>14</v>
      </c>
      <c r="I132">
        <v>984.15</v>
      </c>
      <c r="J132">
        <v>984.15</v>
      </c>
    </row>
    <row r="133" spans="1:10" x14ac:dyDescent="0.25">
      <c r="A133">
        <v>733</v>
      </c>
      <c r="B133">
        <v>49</v>
      </c>
      <c r="C133" t="s">
        <v>12</v>
      </c>
      <c r="D133" s="3">
        <v>56707</v>
      </c>
      <c r="E133">
        <v>6</v>
      </c>
      <c r="F133">
        <v>8</v>
      </c>
      <c r="G133">
        <v>29</v>
      </c>
      <c r="H133" t="s">
        <v>14</v>
      </c>
      <c r="I133">
        <v>604.53</v>
      </c>
      <c r="J133">
        <v>604.53</v>
      </c>
    </row>
    <row r="134" spans="1:10" x14ac:dyDescent="0.25">
      <c r="A134">
        <v>739</v>
      </c>
      <c r="B134">
        <v>61</v>
      </c>
      <c r="C134" t="s">
        <v>12</v>
      </c>
      <c r="D134" s="3">
        <v>113380</v>
      </c>
      <c r="E134">
        <v>27</v>
      </c>
      <c r="F134">
        <v>2</v>
      </c>
      <c r="G134">
        <v>17</v>
      </c>
      <c r="H134" t="s">
        <v>14</v>
      </c>
      <c r="I134">
        <v>177.5</v>
      </c>
      <c r="J134">
        <v>177.5</v>
      </c>
    </row>
    <row r="135" spans="1:10" x14ac:dyDescent="0.25">
      <c r="A135">
        <v>744</v>
      </c>
      <c r="B135">
        <v>56</v>
      </c>
      <c r="C135" t="s">
        <v>12</v>
      </c>
      <c r="D135" s="3">
        <v>90816</v>
      </c>
      <c r="E135">
        <v>20</v>
      </c>
      <c r="F135">
        <v>10</v>
      </c>
      <c r="G135">
        <v>35</v>
      </c>
      <c r="H135" t="s">
        <v>14</v>
      </c>
      <c r="I135">
        <v>808.16</v>
      </c>
      <c r="J135">
        <v>808.16</v>
      </c>
    </row>
    <row r="136" spans="1:10" x14ac:dyDescent="0.25">
      <c r="A136">
        <v>746</v>
      </c>
      <c r="B136">
        <v>60</v>
      </c>
      <c r="C136" t="s">
        <v>12</v>
      </c>
      <c r="D136" s="3">
        <v>34657</v>
      </c>
      <c r="E136">
        <v>99</v>
      </c>
      <c r="F136">
        <v>10</v>
      </c>
      <c r="G136">
        <v>3</v>
      </c>
      <c r="H136" t="s">
        <v>14</v>
      </c>
      <c r="I136">
        <v>983.3</v>
      </c>
      <c r="J136">
        <v>983.3</v>
      </c>
    </row>
    <row r="137" spans="1:10" x14ac:dyDescent="0.25">
      <c r="A137">
        <v>782</v>
      </c>
      <c r="B137">
        <v>22</v>
      </c>
      <c r="C137" t="s">
        <v>12</v>
      </c>
      <c r="D137" s="3">
        <v>118840</v>
      </c>
      <c r="E137">
        <v>32</v>
      </c>
      <c r="F137">
        <v>9</v>
      </c>
      <c r="G137">
        <v>9</v>
      </c>
      <c r="H137" t="s">
        <v>14</v>
      </c>
      <c r="I137">
        <v>819.14</v>
      </c>
      <c r="J137">
        <v>819.14</v>
      </c>
    </row>
    <row r="138" spans="1:10" x14ac:dyDescent="0.25">
      <c r="A138">
        <v>794</v>
      </c>
      <c r="B138">
        <v>50</v>
      </c>
      <c r="C138" t="s">
        <v>12</v>
      </c>
      <c r="D138" s="3">
        <v>103921</v>
      </c>
      <c r="E138">
        <v>58</v>
      </c>
      <c r="F138">
        <v>2</v>
      </c>
      <c r="G138">
        <v>3</v>
      </c>
      <c r="H138" t="s">
        <v>14</v>
      </c>
      <c r="I138">
        <v>687.32</v>
      </c>
      <c r="J138">
        <v>687.32</v>
      </c>
    </row>
    <row r="139" spans="1:10" x14ac:dyDescent="0.25">
      <c r="A139">
        <v>810</v>
      </c>
      <c r="B139">
        <v>35</v>
      </c>
      <c r="C139" t="s">
        <v>12</v>
      </c>
      <c r="D139" s="3">
        <v>83547</v>
      </c>
      <c r="E139">
        <v>27</v>
      </c>
      <c r="F139">
        <v>7</v>
      </c>
      <c r="G139">
        <v>40</v>
      </c>
      <c r="H139" t="s">
        <v>14</v>
      </c>
      <c r="I139">
        <v>570.08000000000004</v>
      </c>
      <c r="J139">
        <v>570.08000000000004</v>
      </c>
    </row>
    <row r="140" spans="1:10" x14ac:dyDescent="0.25">
      <c r="A140">
        <v>828</v>
      </c>
      <c r="B140">
        <v>34</v>
      </c>
      <c r="C140" t="s">
        <v>12</v>
      </c>
      <c r="D140" s="3">
        <v>43316</v>
      </c>
      <c r="E140">
        <v>72</v>
      </c>
      <c r="F140">
        <v>7</v>
      </c>
      <c r="G140">
        <v>13</v>
      </c>
      <c r="H140" t="s">
        <v>14</v>
      </c>
      <c r="I140">
        <v>274.88</v>
      </c>
      <c r="J140">
        <v>274.88</v>
      </c>
    </row>
    <row r="141" spans="1:10" x14ac:dyDescent="0.25">
      <c r="A141">
        <v>838</v>
      </c>
      <c r="B141">
        <v>57</v>
      </c>
      <c r="C141" t="s">
        <v>12</v>
      </c>
      <c r="D141" s="3">
        <v>98928</v>
      </c>
      <c r="E141">
        <v>80</v>
      </c>
      <c r="F141">
        <v>3</v>
      </c>
      <c r="G141">
        <v>33</v>
      </c>
      <c r="H141" t="s">
        <v>14</v>
      </c>
      <c r="I141">
        <v>934.98</v>
      </c>
      <c r="J141">
        <v>934.98</v>
      </c>
    </row>
    <row r="142" spans="1:10" x14ac:dyDescent="0.25">
      <c r="A142">
        <v>859</v>
      </c>
      <c r="B142">
        <v>22</v>
      </c>
      <c r="C142" t="s">
        <v>12</v>
      </c>
      <c r="D142" s="3">
        <v>62752</v>
      </c>
      <c r="E142">
        <v>2</v>
      </c>
      <c r="F142">
        <v>10</v>
      </c>
      <c r="G142">
        <v>22</v>
      </c>
      <c r="H142" t="s">
        <v>14</v>
      </c>
      <c r="I142">
        <v>469.36</v>
      </c>
      <c r="J142">
        <v>469.36</v>
      </c>
    </row>
    <row r="143" spans="1:10" x14ac:dyDescent="0.25">
      <c r="A143">
        <v>860</v>
      </c>
      <c r="B143">
        <v>22</v>
      </c>
      <c r="C143" t="s">
        <v>12</v>
      </c>
      <c r="D143" s="3">
        <v>46866</v>
      </c>
      <c r="E143">
        <v>3</v>
      </c>
      <c r="F143">
        <v>7</v>
      </c>
      <c r="G143">
        <v>46</v>
      </c>
      <c r="H143" t="s">
        <v>14</v>
      </c>
      <c r="I143">
        <v>737.44</v>
      </c>
      <c r="J143">
        <v>737.44</v>
      </c>
    </row>
    <row r="144" spans="1:10" x14ac:dyDescent="0.25">
      <c r="A144">
        <v>864</v>
      </c>
      <c r="B144">
        <v>41</v>
      </c>
      <c r="C144" t="s">
        <v>12</v>
      </c>
      <c r="D144" s="3">
        <v>92371</v>
      </c>
      <c r="E144">
        <v>28</v>
      </c>
      <c r="F144">
        <v>10</v>
      </c>
      <c r="G144">
        <v>48</v>
      </c>
      <c r="H144" t="s">
        <v>14</v>
      </c>
      <c r="I144">
        <v>594.96</v>
      </c>
      <c r="J144">
        <v>594.96</v>
      </c>
    </row>
    <row r="145" spans="1:10" x14ac:dyDescent="0.25">
      <c r="A145">
        <v>866</v>
      </c>
      <c r="B145">
        <v>22</v>
      </c>
      <c r="C145" t="s">
        <v>12</v>
      </c>
      <c r="D145" s="3">
        <v>48068</v>
      </c>
      <c r="E145">
        <v>57</v>
      </c>
      <c r="F145">
        <v>2</v>
      </c>
      <c r="G145">
        <v>24</v>
      </c>
      <c r="H145" t="s">
        <v>14</v>
      </c>
      <c r="I145">
        <v>683.02</v>
      </c>
      <c r="J145">
        <v>683.02</v>
      </c>
    </row>
    <row r="146" spans="1:10" x14ac:dyDescent="0.25">
      <c r="A146">
        <v>897</v>
      </c>
      <c r="B146">
        <v>32</v>
      </c>
      <c r="C146" t="s">
        <v>12</v>
      </c>
      <c r="D146" s="3">
        <v>81701</v>
      </c>
      <c r="E146">
        <v>96</v>
      </c>
      <c r="F146">
        <v>9</v>
      </c>
      <c r="G146">
        <v>49</v>
      </c>
      <c r="H146" t="s">
        <v>14</v>
      </c>
      <c r="I146">
        <v>77.45</v>
      </c>
      <c r="J146">
        <v>77.45</v>
      </c>
    </row>
    <row r="147" spans="1:10" x14ac:dyDescent="0.25">
      <c r="A147">
        <v>899</v>
      </c>
      <c r="B147">
        <v>48</v>
      </c>
      <c r="C147" t="s">
        <v>12</v>
      </c>
      <c r="D147" s="3">
        <v>134463</v>
      </c>
      <c r="E147">
        <v>32</v>
      </c>
      <c r="F147">
        <v>2</v>
      </c>
      <c r="G147">
        <v>7</v>
      </c>
      <c r="H147" t="s">
        <v>14</v>
      </c>
      <c r="I147">
        <v>535.1</v>
      </c>
      <c r="J147">
        <v>535.1</v>
      </c>
    </row>
    <row r="148" spans="1:10" x14ac:dyDescent="0.25">
      <c r="A148">
        <v>906</v>
      </c>
      <c r="B148">
        <v>25</v>
      </c>
      <c r="C148" t="s">
        <v>12</v>
      </c>
      <c r="D148" s="3">
        <v>130604</v>
      </c>
      <c r="E148">
        <v>100</v>
      </c>
      <c r="F148">
        <v>4</v>
      </c>
      <c r="G148">
        <v>41</v>
      </c>
      <c r="H148" t="s">
        <v>14</v>
      </c>
      <c r="I148">
        <v>355.45</v>
      </c>
      <c r="J148">
        <v>355.45</v>
      </c>
    </row>
    <row r="149" spans="1:10" x14ac:dyDescent="0.25">
      <c r="A149">
        <v>913</v>
      </c>
      <c r="B149">
        <v>38</v>
      </c>
      <c r="C149" t="s">
        <v>12</v>
      </c>
      <c r="D149" s="3">
        <v>45551</v>
      </c>
      <c r="E149">
        <v>100</v>
      </c>
      <c r="F149">
        <v>10</v>
      </c>
      <c r="G149">
        <v>22</v>
      </c>
      <c r="H149" t="s">
        <v>14</v>
      </c>
      <c r="I149">
        <v>99.63</v>
      </c>
      <c r="J149">
        <v>99.63</v>
      </c>
    </row>
    <row r="150" spans="1:10" x14ac:dyDescent="0.25">
      <c r="A150">
        <v>914</v>
      </c>
      <c r="B150">
        <v>55</v>
      </c>
      <c r="C150" t="s">
        <v>12</v>
      </c>
      <c r="D150" s="3">
        <v>109314</v>
      </c>
      <c r="E150">
        <v>72</v>
      </c>
      <c r="F150">
        <v>10</v>
      </c>
      <c r="G150">
        <v>47</v>
      </c>
      <c r="H150" t="s">
        <v>14</v>
      </c>
      <c r="I150">
        <v>438.97</v>
      </c>
      <c r="J150">
        <v>438.97</v>
      </c>
    </row>
    <row r="151" spans="1:10" x14ac:dyDescent="0.25">
      <c r="A151">
        <v>929</v>
      </c>
      <c r="B151">
        <v>35</v>
      </c>
      <c r="C151" t="s">
        <v>12</v>
      </c>
      <c r="D151" s="3">
        <v>48768</v>
      </c>
      <c r="E151">
        <v>43</v>
      </c>
      <c r="F151">
        <v>2</v>
      </c>
      <c r="G151">
        <v>5</v>
      </c>
      <c r="H151" t="s">
        <v>14</v>
      </c>
      <c r="I151">
        <v>746.74</v>
      </c>
      <c r="J151">
        <v>746.74</v>
      </c>
    </row>
    <row r="152" spans="1:10" x14ac:dyDescent="0.25">
      <c r="A152">
        <v>933</v>
      </c>
      <c r="B152">
        <v>18</v>
      </c>
      <c r="C152" t="s">
        <v>12</v>
      </c>
      <c r="D152" s="3">
        <v>117893</v>
      </c>
      <c r="E152">
        <v>84</v>
      </c>
      <c r="F152">
        <v>3</v>
      </c>
      <c r="G152">
        <v>24</v>
      </c>
      <c r="H152" t="s">
        <v>14</v>
      </c>
      <c r="I152">
        <v>413.27</v>
      </c>
      <c r="J152">
        <v>413.27</v>
      </c>
    </row>
    <row r="153" spans="1:10" x14ac:dyDescent="0.25">
      <c r="A153">
        <v>954</v>
      </c>
      <c r="B153">
        <v>44</v>
      </c>
      <c r="C153" t="s">
        <v>12</v>
      </c>
      <c r="D153" s="3">
        <v>123822</v>
      </c>
      <c r="E153">
        <v>20</v>
      </c>
      <c r="F153">
        <v>4</v>
      </c>
      <c r="G153">
        <v>8</v>
      </c>
      <c r="H153" t="s">
        <v>14</v>
      </c>
      <c r="I153">
        <v>209.75</v>
      </c>
      <c r="J153">
        <v>209.75</v>
      </c>
    </row>
    <row r="154" spans="1:10" x14ac:dyDescent="0.25">
      <c r="A154">
        <v>976</v>
      </c>
      <c r="B154">
        <v>30</v>
      </c>
      <c r="C154" t="s">
        <v>12</v>
      </c>
      <c r="D154" s="3">
        <v>54930</v>
      </c>
      <c r="E154">
        <v>12</v>
      </c>
      <c r="F154">
        <v>9</v>
      </c>
      <c r="G154">
        <v>13</v>
      </c>
      <c r="H154" t="s">
        <v>14</v>
      </c>
      <c r="I154">
        <v>724.88</v>
      </c>
      <c r="J154">
        <v>724.88</v>
      </c>
    </row>
    <row r="155" spans="1:10" x14ac:dyDescent="0.25">
      <c r="A155">
        <v>9</v>
      </c>
      <c r="B155">
        <v>53</v>
      </c>
      <c r="C155" t="s">
        <v>12</v>
      </c>
      <c r="D155" s="3">
        <v>34424</v>
      </c>
      <c r="E155">
        <v>29</v>
      </c>
      <c r="F155">
        <v>6</v>
      </c>
      <c r="G155">
        <v>7</v>
      </c>
      <c r="H155" t="s">
        <v>15</v>
      </c>
      <c r="I155">
        <v>951.71</v>
      </c>
      <c r="J155">
        <v>951.71</v>
      </c>
    </row>
    <row r="156" spans="1:10" x14ac:dyDescent="0.25">
      <c r="A156">
        <v>18</v>
      </c>
      <c r="B156">
        <v>22</v>
      </c>
      <c r="C156" t="s">
        <v>12</v>
      </c>
      <c r="D156" s="3">
        <v>41849</v>
      </c>
      <c r="E156">
        <v>22</v>
      </c>
      <c r="F156">
        <v>1</v>
      </c>
      <c r="G156">
        <v>31</v>
      </c>
      <c r="H156" t="s">
        <v>15</v>
      </c>
      <c r="I156">
        <v>844.08</v>
      </c>
      <c r="J156">
        <v>844.08</v>
      </c>
    </row>
    <row r="157" spans="1:10" x14ac:dyDescent="0.25">
      <c r="A157">
        <v>88</v>
      </c>
      <c r="B157">
        <v>31</v>
      </c>
      <c r="C157" t="s">
        <v>12</v>
      </c>
      <c r="D157" s="3">
        <v>55100</v>
      </c>
      <c r="E157">
        <v>20</v>
      </c>
      <c r="F157">
        <v>7</v>
      </c>
      <c r="G157">
        <v>31</v>
      </c>
      <c r="H157" t="s">
        <v>15</v>
      </c>
      <c r="I157">
        <v>59.84</v>
      </c>
      <c r="J157">
        <v>59.84</v>
      </c>
    </row>
    <row r="158" spans="1:10" x14ac:dyDescent="0.25">
      <c r="A158">
        <v>111</v>
      </c>
      <c r="B158">
        <v>37</v>
      </c>
      <c r="C158" t="s">
        <v>12</v>
      </c>
      <c r="D158" s="3">
        <v>111242</v>
      </c>
      <c r="E158">
        <v>33</v>
      </c>
      <c r="F158">
        <v>5</v>
      </c>
      <c r="G158">
        <v>34</v>
      </c>
      <c r="H158" t="s">
        <v>15</v>
      </c>
      <c r="I158">
        <v>756.32</v>
      </c>
      <c r="J158">
        <v>756.32</v>
      </c>
    </row>
    <row r="159" spans="1:10" x14ac:dyDescent="0.25">
      <c r="A159">
        <v>114</v>
      </c>
      <c r="B159">
        <v>32</v>
      </c>
      <c r="C159" t="s">
        <v>12</v>
      </c>
      <c r="D159" s="3">
        <v>35514</v>
      </c>
      <c r="E159">
        <v>4</v>
      </c>
      <c r="F159">
        <v>5</v>
      </c>
      <c r="G159">
        <v>36</v>
      </c>
      <c r="H159" t="s">
        <v>15</v>
      </c>
      <c r="I159">
        <v>415.44</v>
      </c>
      <c r="J159">
        <v>415.44</v>
      </c>
    </row>
    <row r="160" spans="1:10" x14ac:dyDescent="0.25">
      <c r="A160">
        <v>127</v>
      </c>
      <c r="B160">
        <v>58</v>
      </c>
      <c r="C160" t="s">
        <v>12</v>
      </c>
      <c r="D160" s="3">
        <v>32860</v>
      </c>
      <c r="E160">
        <v>90</v>
      </c>
      <c r="F160">
        <v>5</v>
      </c>
      <c r="G160">
        <v>18</v>
      </c>
      <c r="H160" t="s">
        <v>15</v>
      </c>
      <c r="I160">
        <v>405.05</v>
      </c>
      <c r="J160">
        <v>405.05</v>
      </c>
    </row>
    <row r="161" spans="1:10" x14ac:dyDescent="0.25">
      <c r="A161">
        <v>131</v>
      </c>
      <c r="B161">
        <v>51</v>
      </c>
      <c r="C161" t="s">
        <v>12</v>
      </c>
      <c r="D161" s="3">
        <v>42337</v>
      </c>
      <c r="E161">
        <v>70</v>
      </c>
      <c r="F161">
        <v>9</v>
      </c>
      <c r="G161">
        <v>28</v>
      </c>
      <c r="H161" t="s">
        <v>15</v>
      </c>
      <c r="I161">
        <v>914.97</v>
      </c>
      <c r="J161">
        <v>914.97</v>
      </c>
    </row>
    <row r="162" spans="1:10" x14ac:dyDescent="0.25">
      <c r="A162">
        <v>134</v>
      </c>
      <c r="B162">
        <v>26</v>
      </c>
      <c r="C162" t="s">
        <v>12</v>
      </c>
      <c r="D162" s="3">
        <v>62131</v>
      </c>
      <c r="E162">
        <v>91</v>
      </c>
      <c r="F162">
        <v>6</v>
      </c>
      <c r="G162">
        <v>18</v>
      </c>
      <c r="H162" t="s">
        <v>15</v>
      </c>
      <c r="I162">
        <v>70.56</v>
      </c>
      <c r="J162">
        <v>70.56</v>
      </c>
    </row>
    <row r="163" spans="1:10" x14ac:dyDescent="0.25">
      <c r="A163">
        <v>136</v>
      </c>
      <c r="B163">
        <v>31</v>
      </c>
      <c r="C163" t="s">
        <v>12</v>
      </c>
      <c r="D163" s="3">
        <v>145261</v>
      </c>
      <c r="E163">
        <v>25</v>
      </c>
      <c r="F163">
        <v>10</v>
      </c>
      <c r="G163">
        <v>37</v>
      </c>
      <c r="H163" t="s">
        <v>15</v>
      </c>
      <c r="I163">
        <v>378.4</v>
      </c>
      <c r="J163">
        <v>378.4</v>
      </c>
    </row>
    <row r="164" spans="1:10" x14ac:dyDescent="0.25">
      <c r="A164">
        <v>137</v>
      </c>
      <c r="B164">
        <v>48</v>
      </c>
      <c r="C164" t="s">
        <v>12</v>
      </c>
      <c r="D164" s="3">
        <v>81763</v>
      </c>
      <c r="E164">
        <v>49</v>
      </c>
      <c r="F164">
        <v>6</v>
      </c>
      <c r="G164">
        <v>46</v>
      </c>
      <c r="H164" t="s">
        <v>15</v>
      </c>
      <c r="I164">
        <v>179.25</v>
      </c>
      <c r="J164">
        <v>179.25</v>
      </c>
    </row>
    <row r="165" spans="1:10" x14ac:dyDescent="0.25">
      <c r="A165">
        <v>163</v>
      </c>
      <c r="B165">
        <v>45</v>
      </c>
      <c r="C165" t="s">
        <v>12</v>
      </c>
      <c r="D165" s="3">
        <v>76259</v>
      </c>
      <c r="E165">
        <v>72</v>
      </c>
      <c r="F165">
        <v>5</v>
      </c>
      <c r="G165">
        <v>41</v>
      </c>
      <c r="H165" t="s">
        <v>15</v>
      </c>
      <c r="I165">
        <v>228.88</v>
      </c>
      <c r="J165">
        <v>228.88</v>
      </c>
    </row>
    <row r="166" spans="1:10" x14ac:dyDescent="0.25">
      <c r="A166">
        <v>176</v>
      </c>
      <c r="B166">
        <v>34</v>
      </c>
      <c r="C166" t="s">
        <v>12</v>
      </c>
      <c r="D166" s="3">
        <v>79572</v>
      </c>
      <c r="E166">
        <v>62</v>
      </c>
      <c r="F166">
        <v>2</v>
      </c>
      <c r="G166">
        <v>24</v>
      </c>
      <c r="H166" t="s">
        <v>15</v>
      </c>
      <c r="I166">
        <v>843.15</v>
      </c>
      <c r="J166">
        <v>843.15</v>
      </c>
    </row>
    <row r="167" spans="1:10" x14ac:dyDescent="0.25">
      <c r="A167">
        <v>188</v>
      </c>
      <c r="B167">
        <v>55</v>
      </c>
      <c r="C167" t="s">
        <v>12</v>
      </c>
      <c r="D167" s="3">
        <v>77060</v>
      </c>
      <c r="E167">
        <v>14</v>
      </c>
      <c r="F167">
        <v>2</v>
      </c>
      <c r="G167">
        <v>16</v>
      </c>
      <c r="H167" t="s">
        <v>15</v>
      </c>
      <c r="I167">
        <v>286.79000000000002</v>
      </c>
      <c r="J167">
        <v>286.79000000000002</v>
      </c>
    </row>
    <row r="168" spans="1:10" x14ac:dyDescent="0.25">
      <c r="A168">
        <v>202</v>
      </c>
      <c r="B168">
        <v>25</v>
      </c>
      <c r="C168" t="s">
        <v>12</v>
      </c>
      <c r="D168" s="3">
        <v>30570</v>
      </c>
      <c r="E168">
        <v>16</v>
      </c>
      <c r="F168">
        <v>8</v>
      </c>
      <c r="G168">
        <v>44</v>
      </c>
      <c r="H168" t="s">
        <v>15</v>
      </c>
      <c r="I168">
        <v>971.09</v>
      </c>
      <c r="J168">
        <v>971.09</v>
      </c>
    </row>
    <row r="169" spans="1:10" x14ac:dyDescent="0.25">
      <c r="A169">
        <v>207</v>
      </c>
      <c r="B169">
        <v>58</v>
      </c>
      <c r="C169" t="s">
        <v>12</v>
      </c>
      <c r="D169" s="3">
        <v>48714</v>
      </c>
      <c r="E169">
        <v>75</v>
      </c>
      <c r="F169">
        <v>10</v>
      </c>
      <c r="G169">
        <v>40</v>
      </c>
      <c r="H169" t="s">
        <v>15</v>
      </c>
      <c r="I169">
        <v>324.91000000000003</v>
      </c>
      <c r="J169">
        <v>324.91000000000003</v>
      </c>
    </row>
    <row r="170" spans="1:10" x14ac:dyDescent="0.25">
      <c r="A170">
        <v>257</v>
      </c>
      <c r="B170">
        <v>26</v>
      </c>
      <c r="C170" t="s">
        <v>12</v>
      </c>
      <c r="D170" s="3">
        <v>134203</v>
      </c>
      <c r="E170">
        <v>19</v>
      </c>
      <c r="F170">
        <v>3</v>
      </c>
      <c r="G170">
        <v>28</v>
      </c>
      <c r="H170" t="s">
        <v>15</v>
      </c>
      <c r="I170">
        <v>935.64</v>
      </c>
      <c r="J170">
        <v>935.64</v>
      </c>
    </row>
    <row r="171" spans="1:10" x14ac:dyDescent="0.25">
      <c r="A171">
        <v>289</v>
      </c>
      <c r="B171">
        <v>38</v>
      </c>
      <c r="C171" t="s">
        <v>12</v>
      </c>
      <c r="D171" s="3">
        <v>84577</v>
      </c>
      <c r="E171">
        <v>70</v>
      </c>
      <c r="F171">
        <v>7</v>
      </c>
      <c r="G171">
        <v>27</v>
      </c>
      <c r="H171" t="s">
        <v>15</v>
      </c>
      <c r="I171">
        <v>631.28</v>
      </c>
      <c r="J171">
        <v>631.28</v>
      </c>
    </row>
    <row r="172" spans="1:10" x14ac:dyDescent="0.25">
      <c r="A172">
        <v>297</v>
      </c>
      <c r="B172">
        <v>40</v>
      </c>
      <c r="C172" t="s">
        <v>12</v>
      </c>
      <c r="D172" s="3">
        <v>97995</v>
      </c>
      <c r="E172">
        <v>47</v>
      </c>
      <c r="F172">
        <v>4</v>
      </c>
      <c r="G172">
        <v>9</v>
      </c>
      <c r="H172" t="s">
        <v>15</v>
      </c>
      <c r="I172">
        <v>101.35</v>
      </c>
      <c r="J172">
        <v>101.35</v>
      </c>
    </row>
    <row r="173" spans="1:10" x14ac:dyDescent="0.25">
      <c r="A173">
        <v>298</v>
      </c>
      <c r="B173">
        <v>39</v>
      </c>
      <c r="C173" t="s">
        <v>12</v>
      </c>
      <c r="D173" s="3">
        <v>132488</v>
      </c>
      <c r="E173">
        <v>40</v>
      </c>
      <c r="F173">
        <v>5</v>
      </c>
      <c r="G173">
        <v>37</v>
      </c>
      <c r="H173" t="s">
        <v>15</v>
      </c>
      <c r="I173">
        <v>82.16</v>
      </c>
      <c r="J173">
        <v>82.16</v>
      </c>
    </row>
    <row r="174" spans="1:10" x14ac:dyDescent="0.25">
      <c r="A174">
        <v>305</v>
      </c>
      <c r="B174">
        <v>32</v>
      </c>
      <c r="C174" t="s">
        <v>12</v>
      </c>
      <c r="D174" s="3">
        <v>39407</v>
      </c>
      <c r="E174">
        <v>50</v>
      </c>
      <c r="F174">
        <v>6</v>
      </c>
      <c r="G174">
        <v>13</v>
      </c>
      <c r="H174" t="s">
        <v>15</v>
      </c>
      <c r="I174">
        <v>844.22</v>
      </c>
      <c r="J174">
        <v>844.22</v>
      </c>
    </row>
    <row r="175" spans="1:10" x14ac:dyDescent="0.25">
      <c r="A175">
        <v>306</v>
      </c>
      <c r="B175">
        <v>48</v>
      </c>
      <c r="C175" t="s">
        <v>12</v>
      </c>
      <c r="D175" s="3">
        <v>39407</v>
      </c>
      <c r="E175">
        <v>82</v>
      </c>
      <c r="F175">
        <v>5</v>
      </c>
      <c r="G175">
        <v>27</v>
      </c>
      <c r="H175" t="s">
        <v>15</v>
      </c>
      <c r="I175">
        <v>463.07</v>
      </c>
      <c r="J175">
        <v>463.07</v>
      </c>
    </row>
    <row r="176" spans="1:10" x14ac:dyDescent="0.25">
      <c r="A176">
        <v>310</v>
      </c>
      <c r="B176">
        <v>50</v>
      </c>
      <c r="C176" t="s">
        <v>12</v>
      </c>
      <c r="D176" s="3">
        <v>100320</v>
      </c>
      <c r="E176">
        <v>45</v>
      </c>
      <c r="F176">
        <v>7</v>
      </c>
      <c r="G176">
        <v>29</v>
      </c>
      <c r="H176" t="s">
        <v>15</v>
      </c>
      <c r="I176">
        <v>139.38999999999999</v>
      </c>
      <c r="J176">
        <v>139.38999999999999</v>
      </c>
    </row>
    <row r="177" spans="1:10" x14ac:dyDescent="0.25">
      <c r="A177">
        <v>312</v>
      </c>
      <c r="B177">
        <v>30</v>
      </c>
      <c r="C177" t="s">
        <v>12</v>
      </c>
      <c r="D177" s="3">
        <v>143200</v>
      </c>
      <c r="E177">
        <v>38</v>
      </c>
      <c r="F177">
        <v>8</v>
      </c>
      <c r="G177">
        <v>30</v>
      </c>
      <c r="H177" t="s">
        <v>15</v>
      </c>
      <c r="I177">
        <v>684.43</v>
      </c>
      <c r="J177">
        <v>684.43</v>
      </c>
    </row>
    <row r="178" spans="1:10" x14ac:dyDescent="0.25">
      <c r="A178">
        <v>349</v>
      </c>
      <c r="B178">
        <v>44</v>
      </c>
      <c r="C178" t="s">
        <v>12</v>
      </c>
      <c r="D178" s="3">
        <v>32030</v>
      </c>
      <c r="E178">
        <v>38</v>
      </c>
      <c r="F178">
        <v>2</v>
      </c>
      <c r="G178">
        <v>19</v>
      </c>
      <c r="H178" t="s">
        <v>15</v>
      </c>
      <c r="I178">
        <v>912.15</v>
      </c>
      <c r="J178">
        <v>912.15</v>
      </c>
    </row>
    <row r="179" spans="1:10" x14ac:dyDescent="0.25">
      <c r="A179">
        <v>383</v>
      </c>
      <c r="B179">
        <v>65</v>
      </c>
      <c r="C179" t="s">
        <v>12</v>
      </c>
      <c r="D179" s="3">
        <v>124796</v>
      </c>
      <c r="E179">
        <v>4</v>
      </c>
      <c r="F179">
        <v>5</v>
      </c>
      <c r="G179">
        <v>38</v>
      </c>
      <c r="H179" t="s">
        <v>15</v>
      </c>
      <c r="I179">
        <v>247.96</v>
      </c>
      <c r="J179">
        <v>247.96</v>
      </c>
    </row>
    <row r="180" spans="1:10" x14ac:dyDescent="0.25">
      <c r="A180">
        <v>385</v>
      </c>
      <c r="B180">
        <v>38</v>
      </c>
      <c r="C180" t="s">
        <v>12</v>
      </c>
      <c r="D180" s="3">
        <v>78829</v>
      </c>
      <c r="E180">
        <v>73</v>
      </c>
      <c r="F180">
        <v>7</v>
      </c>
      <c r="G180">
        <v>20</v>
      </c>
      <c r="H180" t="s">
        <v>15</v>
      </c>
      <c r="I180">
        <v>665.25</v>
      </c>
      <c r="J180">
        <v>665.25</v>
      </c>
    </row>
    <row r="181" spans="1:10" x14ac:dyDescent="0.25">
      <c r="A181">
        <v>398</v>
      </c>
      <c r="B181">
        <v>48</v>
      </c>
      <c r="C181" t="s">
        <v>12</v>
      </c>
      <c r="D181" s="3">
        <v>36282</v>
      </c>
      <c r="E181">
        <v>14</v>
      </c>
      <c r="F181">
        <v>10</v>
      </c>
      <c r="G181">
        <v>3</v>
      </c>
      <c r="H181" t="s">
        <v>15</v>
      </c>
      <c r="I181">
        <v>210.43</v>
      </c>
      <c r="J181">
        <v>210.43</v>
      </c>
    </row>
    <row r="182" spans="1:10" x14ac:dyDescent="0.25">
      <c r="A182">
        <v>477</v>
      </c>
      <c r="B182">
        <v>42</v>
      </c>
      <c r="C182" t="s">
        <v>12</v>
      </c>
      <c r="D182" s="3">
        <v>115342</v>
      </c>
      <c r="E182">
        <v>19</v>
      </c>
      <c r="F182">
        <v>4</v>
      </c>
      <c r="G182">
        <v>47</v>
      </c>
      <c r="H182" t="s">
        <v>15</v>
      </c>
      <c r="I182">
        <v>13.69</v>
      </c>
      <c r="J182">
        <v>13.69</v>
      </c>
    </row>
    <row r="183" spans="1:10" x14ac:dyDescent="0.25">
      <c r="A183">
        <v>481</v>
      </c>
      <c r="B183">
        <v>54</v>
      </c>
      <c r="C183" t="s">
        <v>12</v>
      </c>
      <c r="D183" s="3">
        <v>105641</v>
      </c>
      <c r="E183">
        <v>17</v>
      </c>
      <c r="F183">
        <v>9</v>
      </c>
      <c r="G183">
        <v>37</v>
      </c>
      <c r="H183" t="s">
        <v>15</v>
      </c>
      <c r="I183">
        <v>173.81</v>
      </c>
      <c r="J183">
        <v>173.81</v>
      </c>
    </row>
    <row r="184" spans="1:10" x14ac:dyDescent="0.25">
      <c r="A184">
        <v>492</v>
      </c>
      <c r="B184">
        <v>39</v>
      </c>
      <c r="C184" t="s">
        <v>12</v>
      </c>
      <c r="D184" s="3">
        <v>84725</v>
      </c>
      <c r="E184">
        <v>100</v>
      </c>
      <c r="F184">
        <v>8</v>
      </c>
      <c r="G184">
        <v>49</v>
      </c>
      <c r="H184" t="s">
        <v>15</v>
      </c>
      <c r="I184">
        <v>906.07</v>
      </c>
      <c r="J184">
        <v>906.07</v>
      </c>
    </row>
    <row r="185" spans="1:10" x14ac:dyDescent="0.25">
      <c r="A185">
        <v>494</v>
      </c>
      <c r="B185">
        <v>35</v>
      </c>
      <c r="C185" t="s">
        <v>12</v>
      </c>
      <c r="D185" s="3">
        <v>141134</v>
      </c>
      <c r="E185">
        <v>24</v>
      </c>
      <c r="F185">
        <v>4</v>
      </c>
      <c r="G185">
        <v>48</v>
      </c>
      <c r="H185" t="s">
        <v>15</v>
      </c>
      <c r="I185">
        <v>649.61</v>
      </c>
      <c r="J185">
        <v>649.61</v>
      </c>
    </row>
    <row r="186" spans="1:10" x14ac:dyDescent="0.25">
      <c r="A186">
        <v>495</v>
      </c>
      <c r="B186">
        <v>59</v>
      </c>
      <c r="C186" t="s">
        <v>12</v>
      </c>
      <c r="D186" s="3">
        <v>140809</v>
      </c>
      <c r="E186">
        <v>45</v>
      </c>
      <c r="F186">
        <v>5</v>
      </c>
      <c r="G186">
        <v>45</v>
      </c>
      <c r="H186" t="s">
        <v>15</v>
      </c>
      <c r="I186">
        <v>917.5</v>
      </c>
      <c r="J186">
        <v>917.5</v>
      </c>
    </row>
    <row r="187" spans="1:10" x14ac:dyDescent="0.25">
      <c r="A187">
        <v>497</v>
      </c>
      <c r="B187">
        <v>56</v>
      </c>
      <c r="C187" t="s">
        <v>12</v>
      </c>
      <c r="D187" s="3">
        <v>145254</v>
      </c>
      <c r="E187">
        <v>48</v>
      </c>
      <c r="F187">
        <v>6</v>
      </c>
      <c r="G187">
        <v>43</v>
      </c>
      <c r="H187" t="s">
        <v>15</v>
      </c>
      <c r="I187">
        <v>422.32</v>
      </c>
      <c r="J187">
        <v>422.32</v>
      </c>
    </row>
    <row r="188" spans="1:10" x14ac:dyDescent="0.25">
      <c r="A188">
        <v>506</v>
      </c>
      <c r="B188">
        <v>66</v>
      </c>
      <c r="C188" t="s">
        <v>12</v>
      </c>
      <c r="D188" s="3">
        <v>149505</v>
      </c>
      <c r="E188">
        <v>79</v>
      </c>
      <c r="F188">
        <v>4</v>
      </c>
      <c r="G188">
        <v>8</v>
      </c>
      <c r="H188" t="s">
        <v>15</v>
      </c>
      <c r="I188">
        <v>334.95</v>
      </c>
      <c r="J188">
        <v>334.95</v>
      </c>
    </row>
    <row r="189" spans="1:10" x14ac:dyDescent="0.25">
      <c r="A189">
        <v>507</v>
      </c>
      <c r="B189">
        <v>58</v>
      </c>
      <c r="C189" t="s">
        <v>12</v>
      </c>
      <c r="D189" s="3">
        <v>132215</v>
      </c>
      <c r="E189">
        <v>91</v>
      </c>
      <c r="F189">
        <v>8</v>
      </c>
      <c r="G189">
        <v>6</v>
      </c>
      <c r="H189" t="s">
        <v>15</v>
      </c>
      <c r="I189">
        <v>275.70999999999998</v>
      </c>
      <c r="J189">
        <v>275.70999999999998</v>
      </c>
    </row>
    <row r="190" spans="1:10" x14ac:dyDescent="0.25">
      <c r="A190">
        <v>510</v>
      </c>
      <c r="B190">
        <v>19</v>
      </c>
      <c r="C190" t="s">
        <v>12</v>
      </c>
      <c r="D190" s="3">
        <v>111238</v>
      </c>
      <c r="E190">
        <v>7</v>
      </c>
      <c r="F190">
        <v>2</v>
      </c>
      <c r="G190">
        <v>30</v>
      </c>
      <c r="H190" t="s">
        <v>15</v>
      </c>
      <c r="I190">
        <v>813.37</v>
      </c>
      <c r="J190">
        <v>813.37</v>
      </c>
    </row>
    <row r="191" spans="1:10" x14ac:dyDescent="0.25">
      <c r="A191">
        <v>512</v>
      </c>
      <c r="B191">
        <v>33</v>
      </c>
      <c r="C191" t="s">
        <v>12</v>
      </c>
      <c r="D191" s="3">
        <v>132968</v>
      </c>
      <c r="E191">
        <v>49</v>
      </c>
      <c r="F191">
        <v>10</v>
      </c>
      <c r="G191">
        <v>45</v>
      </c>
      <c r="H191" t="s">
        <v>15</v>
      </c>
      <c r="I191">
        <v>641.53</v>
      </c>
      <c r="J191">
        <v>641.53</v>
      </c>
    </row>
    <row r="192" spans="1:10" x14ac:dyDescent="0.25">
      <c r="A192">
        <v>513</v>
      </c>
      <c r="B192">
        <v>19</v>
      </c>
      <c r="C192" t="s">
        <v>12</v>
      </c>
      <c r="D192" s="3">
        <v>82506</v>
      </c>
      <c r="E192">
        <v>10</v>
      </c>
      <c r="F192">
        <v>5</v>
      </c>
      <c r="G192">
        <v>41</v>
      </c>
      <c r="H192" t="s">
        <v>15</v>
      </c>
      <c r="I192">
        <v>406.32</v>
      </c>
      <c r="J192">
        <v>406.32</v>
      </c>
    </row>
    <row r="193" spans="1:10" x14ac:dyDescent="0.25">
      <c r="A193">
        <v>529</v>
      </c>
      <c r="B193">
        <v>57</v>
      </c>
      <c r="C193" t="s">
        <v>12</v>
      </c>
      <c r="D193" s="3">
        <v>139366</v>
      </c>
      <c r="E193">
        <v>39</v>
      </c>
      <c r="F193">
        <v>5</v>
      </c>
      <c r="G193">
        <v>50</v>
      </c>
      <c r="H193" t="s">
        <v>15</v>
      </c>
      <c r="I193">
        <v>34.5</v>
      </c>
      <c r="J193">
        <v>34.5</v>
      </c>
    </row>
    <row r="194" spans="1:10" x14ac:dyDescent="0.25">
      <c r="A194">
        <v>530</v>
      </c>
      <c r="B194">
        <v>27</v>
      </c>
      <c r="C194" t="s">
        <v>12</v>
      </c>
      <c r="D194" s="3">
        <v>106944</v>
      </c>
      <c r="E194">
        <v>63</v>
      </c>
      <c r="F194">
        <v>1</v>
      </c>
      <c r="G194">
        <v>28</v>
      </c>
      <c r="H194" t="s">
        <v>15</v>
      </c>
      <c r="I194">
        <v>36.39</v>
      </c>
      <c r="J194">
        <v>36.39</v>
      </c>
    </row>
    <row r="195" spans="1:10" x14ac:dyDescent="0.25">
      <c r="A195">
        <v>531</v>
      </c>
      <c r="B195">
        <v>61</v>
      </c>
      <c r="C195" t="s">
        <v>12</v>
      </c>
      <c r="D195" s="3">
        <v>92031</v>
      </c>
      <c r="E195">
        <v>44</v>
      </c>
      <c r="F195">
        <v>7</v>
      </c>
      <c r="G195">
        <v>11</v>
      </c>
      <c r="H195" t="s">
        <v>15</v>
      </c>
      <c r="I195">
        <v>573.30999999999995</v>
      </c>
      <c r="J195">
        <v>573.30999999999995</v>
      </c>
    </row>
    <row r="196" spans="1:10" x14ac:dyDescent="0.25">
      <c r="A196">
        <v>534</v>
      </c>
      <c r="B196">
        <v>28</v>
      </c>
      <c r="C196" t="s">
        <v>12</v>
      </c>
      <c r="D196" s="3">
        <v>121073</v>
      </c>
      <c r="E196">
        <v>44</v>
      </c>
      <c r="F196">
        <v>3</v>
      </c>
      <c r="G196">
        <v>16</v>
      </c>
      <c r="H196" t="s">
        <v>15</v>
      </c>
      <c r="I196">
        <v>482.35</v>
      </c>
      <c r="J196">
        <v>482.35</v>
      </c>
    </row>
    <row r="197" spans="1:10" x14ac:dyDescent="0.25">
      <c r="A197">
        <v>549</v>
      </c>
      <c r="B197">
        <v>39</v>
      </c>
      <c r="C197" t="s">
        <v>12</v>
      </c>
      <c r="D197" s="3">
        <v>30004</v>
      </c>
      <c r="E197">
        <v>32</v>
      </c>
      <c r="F197">
        <v>6</v>
      </c>
      <c r="G197">
        <v>48</v>
      </c>
      <c r="H197" t="s">
        <v>15</v>
      </c>
      <c r="I197">
        <v>863.47</v>
      </c>
      <c r="J197">
        <v>863.47</v>
      </c>
    </row>
    <row r="198" spans="1:10" x14ac:dyDescent="0.25">
      <c r="A198">
        <v>550</v>
      </c>
      <c r="B198">
        <v>53</v>
      </c>
      <c r="C198" t="s">
        <v>12</v>
      </c>
      <c r="D198" s="3">
        <v>47499</v>
      </c>
      <c r="E198">
        <v>85</v>
      </c>
      <c r="F198">
        <v>2</v>
      </c>
      <c r="G198">
        <v>45</v>
      </c>
      <c r="H198" t="s">
        <v>15</v>
      </c>
      <c r="I198">
        <v>338.69</v>
      </c>
      <c r="J198">
        <v>338.69</v>
      </c>
    </row>
    <row r="199" spans="1:10" x14ac:dyDescent="0.25">
      <c r="A199">
        <v>553</v>
      </c>
      <c r="B199">
        <v>69</v>
      </c>
      <c r="C199" t="s">
        <v>12</v>
      </c>
      <c r="D199" s="3">
        <v>51759</v>
      </c>
      <c r="E199">
        <v>18</v>
      </c>
      <c r="F199">
        <v>9</v>
      </c>
      <c r="G199">
        <v>14</v>
      </c>
      <c r="H199" t="s">
        <v>15</v>
      </c>
      <c r="I199">
        <v>563.48</v>
      </c>
      <c r="J199">
        <v>563.48</v>
      </c>
    </row>
    <row r="200" spans="1:10" x14ac:dyDescent="0.25">
      <c r="A200">
        <v>558</v>
      </c>
      <c r="B200">
        <v>40</v>
      </c>
      <c r="C200" t="s">
        <v>12</v>
      </c>
      <c r="D200" s="3">
        <v>62536</v>
      </c>
      <c r="E200">
        <v>84</v>
      </c>
      <c r="F200">
        <v>4</v>
      </c>
      <c r="G200">
        <v>28</v>
      </c>
      <c r="H200" t="s">
        <v>15</v>
      </c>
      <c r="I200">
        <v>149.07</v>
      </c>
      <c r="J200">
        <v>149.07</v>
      </c>
    </row>
    <row r="201" spans="1:10" x14ac:dyDescent="0.25">
      <c r="A201">
        <v>590</v>
      </c>
      <c r="B201">
        <v>33</v>
      </c>
      <c r="C201" t="s">
        <v>12</v>
      </c>
      <c r="D201" s="3">
        <v>93599</v>
      </c>
      <c r="E201">
        <v>22</v>
      </c>
      <c r="F201">
        <v>4</v>
      </c>
      <c r="G201">
        <v>37</v>
      </c>
      <c r="H201" t="s">
        <v>15</v>
      </c>
      <c r="I201">
        <v>274.95999999999998</v>
      </c>
      <c r="J201">
        <v>274.95999999999998</v>
      </c>
    </row>
    <row r="202" spans="1:10" x14ac:dyDescent="0.25">
      <c r="A202">
        <v>592</v>
      </c>
      <c r="B202">
        <v>22</v>
      </c>
      <c r="C202" t="s">
        <v>12</v>
      </c>
      <c r="D202" s="3">
        <v>100730</v>
      </c>
      <c r="E202">
        <v>4</v>
      </c>
      <c r="F202">
        <v>5</v>
      </c>
      <c r="G202">
        <v>10</v>
      </c>
      <c r="H202" t="s">
        <v>15</v>
      </c>
      <c r="I202">
        <v>459.58</v>
      </c>
      <c r="J202">
        <v>459.58</v>
      </c>
    </row>
    <row r="203" spans="1:10" x14ac:dyDescent="0.25">
      <c r="A203">
        <v>600</v>
      </c>
      <c r="B203">
        <v>52</v>
      </c>
      <c r="C203" t="s">
        <v>12</v>
      </c>
      <c r="D203" s="3">
        <v>127010</v>
      </c>
      <c r="E203">
        <v>76</v>
      </c>
      <c r="F203">
        <v>8</v>
      </c>
      <c r="G203">
        <v>26</v>
      </c>
      <c r="H203" t="s">
        <v>15</v>
      </c>
      <c r="I203">
        <v>13.46</v>
      </c>
      <c r="J203">
        <v>13.46</v>
      </c>
    </row>
    <row r="204" spans="1:10" x14ac:dyDescent="0.25">
      <c r="A204">
        <v>644</v>
      </c>
      <c r="B204">
        <v>54</v>
      </c>
      <c r="C204" t="s">
        <v>12</v>
      </c>
      <c r="D204" s="3">
        <v>132403</v>
      </c>
      <c r="E204">
        <v>83</v>
      </c>
      <c r="F204">
        <v>3</v>
      </c>
      <c r="G204">
        <v>2</v>
      </c>
      <c r="H204" t="s">
        <v>15</v>
      </c>
      <c r="I204">
        <v>45.2</v>
      </c>
      <c r="J204">
        <v>45.2</v>
      </c>
    </row>
    <row r="205" spans="1:10" x14ac:dyDescent="0.25">
      <c r="A205">
        <v>649</v>
      </c>
      <c r="B205">
        <v>27</v>
      </c>
      <c r="C205" t="s">
        <v>12</v>
      </c>
      <c r="D205" s="3">
        <v>147360</v>
      </c>
      <c r="E205">
        <v>96</v>
      </c>
      <c r="F205">
        <v>3</v>
      </c>
      <c r="G205">
        <v>26</v>
      </c>
      <c r="H205" t="s">
        <v>15</v>
      </c>
      <c r="I205">
        <v>26.1</v>
      </c>
      <c r="J205">
        <v>26.1</v>
      </c>
    </row>
    <row r="206" spans="1:10" x14ac:dyDescent="0.25">
      <c r="A206">
        <v>654</v>
      </c>
      <c r="B206">
        <v>48</v>
      </c>
      <c r="C206" t="s">
        <v>12</v>
      </c>
      <c r="D206" s="3">
        <v>82356</v>
      </c>
      <c r="E206">
        <v>97</v>
      </c>
      <c r="F206">
        <v>1</v>
      </c>
      <c r="G206">
        <v>35</v>
      </c>
      <c r="H206" t="s">
        <v>15</v>
      </c>
      <c r="I206">
        <v>204.55</v>
      </c>
      <c r="J206">
        <v>204.55</v>
      </c>
    </row>
    <row r="207" spans="1:10" x14ac:dyDescent="0.25">
      <c r="A207">
        <v>688</v>
      </c>
      <c r="B207">
        <v>30</v>
      </c>
      <c r="C207" t="s">
        <v>12</v>
      </c>
      <c r="D207" s="3">
        <v>94970</v>
      </c>
      <c r="E207">
        <v>15</v>
      </c>
      <c r="F207">
        <v>4</v>
      </c>
      <c r="G207">
        <v>11</v>
      </c>
      <c r="H207" t="s">
        <v>15</v>
      </c>
      <c r="I207">
        <v>250.07</v>
      </c>
      <c r="J207">
        <v>250.07</v>
      </c>
    </row>
    <row r="208" spans="1:10" x14ac:dyDescent="0.25">
      <c r="A208">
        <v>694</v>
      </c>
      <c r="B208">
        <v>64</v>
      </c>
      <c r="C208" t="s">
        <v>12</v>
      </c>
      <c r="D208" s="3">
        <v>32144</v>
      </c>
      <c r="E208">
        <v>76</v>
      </c>
      <c r="F208">
        <v>2</v>
      </c>
      <c r="G208">
        <v>28</v>
      </c>
      <c r="H208" t="s">
        <v>15</v>
      </c>
      <c r="I208">
        <v>902.66</v>
      </c>
      <c r="J208">
        <v>902.66</v>
      </c>
    </row>
    <row r="209" spans="1:10" x14ac:dyDescent="0.25">
      <c r="A209">
        <v>714</v>
      </c>
      <c r="B209">
        <v>30</v>
      </c>
      <c r="C209" t="s">
        <v>12</v>
      </c>
      <c r="D209" s="3">
        <v>100115</v>
      </c>
      <c r="E209">
        <v>54</v>
      </c>
      <c r="F209">
        <v>2</v>
      </c>
      <c r="G209">
        <v>36</v>
      </c>
      <c r="H209" t="s">
        <v>15</v>
      </c>
      <c r="I209">
        <v>789.67</v>
      </c>
      <c r="J209">
        <v>789.67</v>
      </c>
    </row>
    <row r="210" spans="1:10" x14ac:dyDescent="0.25">
      <c r="A210">
        <v>729</v>
      </c>
      <c r="B210">
        <v>50</v>
      </c>
      <c r="C210" t="s">
        <v>12</v>
      </c>
      <c r="D210" s="3">
        <v>86985</v>
      </c>
      <c r="E210">
        <v>77</v>
      </c>
      <c r="F210">
        <v>8</v>
      </c>
      <c r="G210">
        <v>11</v>
      </c>
      <c r="H210" t="s">
        <v>15</v>
      </c>
      <c r="I210">
        <v>964.1</v>
      </c>
      <c r="J210">
        <v>964.1</v>
      </c>
    </row>
    <row r="211" spans="1:10" x14ac:dyDescent="0.25">
      <c r="A211">
        <v>743</v>
      </c>
      <c r="B211">
        <v>64</v>
      </c>
      <c r="C211" t="s">
        <v>12</v>
      </c>
      <c r="D211" s="3">
        <v>132277</v>
      </c>
      <c r="E211">
        <v>81</v>
      </c>
      <c r="F211">
        <v>5</v>
      </c>
      <c r="G211">
        <v>30</v>
      </c>
      <c r="H211" t="s">
        <v>15</v>
      </c>
      <c r="I211">
        <v>505.24</v>
      </c>
      <c r="J211">
        <v>505.24</v>
      </c>
    </row>
    <row r="212" spans="1:10" x14ac:dyDescent="0.25">
      <c r="A212">
        <v>760</v>
      </c>
      <c r="B212">
        <v>27</v>
      </c>
      <c r="C212" t="s">
        <v>12</v>
      </c>
      <c r="D212" s="3">
        <v>80545</v>
      </c>
      <c r="E212">
        <v>63</v>
      </c>
      <c r="F212">
        <v>6</v>
      </c>
      <c r="G212">
        <v>46</v>
      </c>
      <c r="H212" t="s">
        <v>15</v>
      </c>
      <c r="I212">
        <v>575.98</v>
      </c>
      <c r="J212">
        <v>575.98</v>
      </c>
    </row>
    <row r="213" spans="1:10" x14ac:dyDescent="0.25">
      <c r="A213">
        <v>762</v>
      </c>
      <c r="B213">
        <v>57</v>
      </c>
      <c r="C213" t="s">
        <v>12</v>
      </c>
      <c r="D213" s="3">
        <v>145190</v>
      </c>
      <c r="E213">
        <v>42</v>
      </c>
      <c r="F213">
        <v>9</v>
      </c>
      <c r="G213">
        <v>8</v>
      </c>
      <c r="H213" t="s">
        <v>15</v>
      </c>
      <c r="I213">
        <v>971.83</v>
      </c>
      <c r="J213">
        <v>971.83</v>
      </c>
    </row>
    <row r="214" spans="1:10" x14ac:dyDescent="0.25">
      <c r="A214">
        <v>769</v>
      </c>
      <c r="B214">
        <v>19</v>
      </c>
      <c r="C214" t="s">
        <v>12</v>
      </c>
      <c r="D214" s="3">
        <v>85583</v>
      </c>
      <c r="E214">
        <v>61</v>
      </c>
      <c r="F214">
        <v>5</v>
      </c>
      <c r="G214">
        <v>43</v>
      </c>
      <c r="H214" t="s">
        <v>15</v>
      </c>
      <c r="I214">
        <v>316.35000000000002</v>
      </c>
      <c r="J214">
        <v>316.35000000000002</v>
      </c>
    </row>
    <row r="215" spans="1:10" x14ac:dyDescent="0.25">
      <c r="A215">
        <v>775</v>
      </c>
      <c r="B215">
        <v>24</v>
      </c>
      <c r="C215" t="s">
        <v>12</v>
      </c>
      <c r="D215" s="3">
        <v>51225</v>
      </c>
      <c r="E215">
        <v>21</v>
      </c>
      <c r="F215">
        <v>6</v>
      </c>
      <c r="G215">
        <v>31</v>
      </c>
      <c r="H215" t="s">
        <v>15</v>
      </c>
      <c r="I215">
        <v>235.64</v>
      </c>
      <c r="J215">
        <v>235.64</v>
      </c>
    </row>
    <row r="216" spans="1:10" x14ac:dyDescent="0.25">
      <c r="A216">
        <v>786</v>
      </c>
      <c r="B216">
        <v>30</v>
      </c>
      <c r="C216" t="s">
        <v>12</v>
      </c>
      <c r="D216" s="3">
        <v>43192</v>
      </c>
      <c r="E216">
        <v>61</v>
      </c>
      <c r="F216">
        <v>1</v>
      </c>
      <c r="G216">
        <v>27</v>
      </c>
      <c r="H216" t="s">
        <v>15</v>
      </c>
      <c r="I216">
        <v>614.39</v>
      </c>
      <c r="J216">
        <v>614.39</v>
      </c>
    </row>
    <row r="217" spans="1:10" x14ac:dyDescent="0.25">
      <c r="A217">
        <v>790</v>
      </c>
      <c r="B217">
        <v>61</v>
      </c>
      <c r="C217" t="s">
        <v>12</v>
      </c>
      <c r="D217" s="3">
        <v>96409</v>
      </c>
      <c r="E217">
        <v>66</v>
      </c>
      <c r="F217">
        <v>1</v>
      </c>
      <c r="G217">
        <v>32</v>
      </c>
      <c r="H217" t="s">
        <v>15</v>
      </c>
      <c r="I217">
        <v>674.93</v>
      </c>
      <c r="J217">
        <v>674.93</v>
      </c>
    </row>
    <row r="218" spans="1:10" x14ac:dyDescent="0.25">
      <c r="A218">
        <v>813</v>
      </c>
      <c r="B218">
        <v>19</v>
      </c>
      <c r="C218" t="s">
        <v>12</v>
      </c>
      <c r="D218" s="3">
        <v>68304</v>
      </c>
      <c r="E218">
        <v>9</v>
      </c>
      <c r="F218">
        <v>10</v>
      </c>
      <c r="G218">
        <v>28</v>
      </c>
      <c r="H218" t="s">
        <v>15</v>
      </c>
      <c r="I218">
        <v>864.57</v>
      </c>
      <c r="J218">
        <v>864.57</v>
      </c>
    </row>
    <row r="219" spans="1:10" x14ac:dyDescent="0.25">
      <c r="A219">
        <v>823</v>
      </c>
      <c r="B219">
        <v>69</v>
      </c>
      <c r="C219" t="s">
        <v>12</v>
      </c>
      <c r="D219" s="3">
        <v>85068</v>
      </c>
      <c r="E219">
        <v>54</v>
      </c>
      <c r="F219">
        <v>6</v>
      </c>
      <c r="G219">
        <v>24</v>
      </c>
      <c r="H219" t="s">
        <v>15</v>
      </c>
      <c r="I219">
        <v>846.68</v>
      </c>
      <c r="J219">
        <v>846.68</v>
      </c>
    </row>
    <row r="220" spans="1:10" x14ac:dyDescent="0.25">
      <c r="A220">
        <v>839</v>
      </c>
      <c r="B220">
        <v>43</v>
      </c>
      <c r="C220" t="s">
        <v>12</v>
      </c>
      <c r="D220" s="3">
        <v>90687</v>
      </c>
      <c r="E220">
        <v>9</v>
      </c>
      <c r="F220">
        <v>5</v>
      </c>
      <c r="G220">
        <v>24</v>
      </c>
      <c r="H220" t="s">
        <v>15</v>
      </c>
      <c r="I220">
        <v>531.25</v>
      </c>
      <c r="J220">
        <v>531.25</v>
      </c>
    </row>
    <row r="221" spans="1:10" x14ac:dyDescent="0.25">
      <c r="A221">
        <v>855</v>
      </c>
      <c r="B221">
        <v>18</v>
      </c>
      <c r="C221" t="s">
        <v>12</v>
      </c>
      <c r="D221" s="3">
        <v>30102</v>
      </c>
      <c r="E221">
        <v>35</v>
      </c>
      <c r="F221">
        <v>2</v>
      </c>
      <c r="G221">
        <v>6</v>
      </c>
      <c r="H221" t="s">
        <v>15</v>
      </c>
      <c r="I221">
        <v>739.27</v>
      </c>
      <c r="J221">
        <v>739.27</v>
      </c>
    </row>
    <row r="222" spans="1:10" x14ac:dyDescent="0.25">
      <c r="A222">
        <v>872</v>
      </c>
      <c r="B222">
        <v>63</v>
      </c>
      <c r="C222" t="s">
        <v>12</v>
      </c>
      <c r="D222" s="3">
        <v>33546</v>
      </c>
      <c r="E222">
        <v>18</v>
      </c>
      <c r="F222">
        <v>9</v>
      </c>
      <c r="G222">
        <v>31</v>
      </c>
      <c r="H222" t="s">
        <v>15</v>
      </c>
      <c r="I222">
        <v>191.8</v>
      </c>
      <c r="J222">
        <v>191.8</v>
      </c>
    </row>
    <row r="223" spans="1:10" x14ac:dyDescent="0.25">
      <c r="A223">
        <v>879</v>
      </c>
      <c r="B223">
        <v>51</v>
      </c>
      <c r="C223" t="s">
        <v>12</v>
      </c>
      <c r="D223" s="3">
        <v>80995</v>
      </c>
      <c r="E223">
        <v>68</v>
      </c>
      <c r="F223">
        <v>1</v>
      </c>
      <c r="G223">
        <v>18</v>
      </c>
      <c r="H223" t="s">
        <v>15</v>
      </c>
      <c r="I223">
        <v>863.54</v>
      </c>
      <c r="J223">
        <v>863.54</v>
      </c>
    </row>
    <row r="224" spans="1:10" x14ac:dyDescent="0.25">
      <c r="A224">
        <v>896</v>
      </c>
      <c r="B224">
        <v>53</v>
      </c>
      <c r="C224" t="s">
        <v>12</v>
      </c>
      <c r="D224" s="3">
        <v>137307</v>
      </c>
      <c r="E224">
        <v>34</v>
      </c>
      <c r="F224">
        <v>1</v>
      </c>
      <c r="G224">
        <v>26</v>
      </c>
      <c r="H224" t="s">
        <v>15</v>
      </c>
      <c r="I224">
        <v>952.12</v>
      </c>
      <c r="J224">
        <v>952.12</v>
      </c>
    </row>
    <row r="225" spans="1:10" x14ac:dyDescent="0.25">
      <c r="A225">
        <v>905</v>
      </c>
      <c r="B225">
        <v>64</v>
      </c>
      <c r="C225" t="s">
        <v>12</v>
      </c>
      <c r="D225" s="3">
        <v>139658</v>
      </c>
      <c r="E225">
        <v>77</v>
      </c>
      <c r="F225">
        <v>6</v>
      </c>
      <c r="G225">
        <v>26</v>
      </c>
      <c r="H225" t="s">
        <v>15</v>
      </c>
      <c r="I225">
        <v>71.97</v>
      </c>
      <c r="J225">
        <v>71.97</v>
      </c>
    </row>
    <row r="226" spans="1:10" x14ac:dyDescent="0.25">
      <c r="A226">
        <v>923</v>
      </c>
      <c r="B226">
        <v>68</v>
      </c>
      <c r="C226" t="s">
        <v>12</v>
      </c>
      <c r="D226" s="3">
        <v>107702</v>
      </c>
      <c r="E226">
        <v>73</v>
      </c>
      <c r="F226">
        <v>4</v>
      </c>
      <c r="G226">
        <v>2</v>
      </c>
      <c r="H226" t="s">
        <v>15</v>
      </c>
      <c r="I226">
        <v>136.03</v>
      </c>
      <c r="J226">
        <v>136.03</v>
      </c>
    </row>
    <row r="227" spans="1:10" x14ac:dyDescent="0.25">
      <c r="A227">
        <v>942</v>
      </c>
      <c r="B227">
        <v>36</v>
      </c>
      <c r="C227" t="s">
        <v>12</v>
      </c>
      <c r="D227" s="3">
        <v>33087</v>
      </c>
      <c r="E227">
        <v>69</v>
      </c>
      <c r="F227">
        <v>7</v>
      </c>
      <c r="G227">
        <v>21</v>
      </c>
      <c r="H227" t="s">
        <v>15</v>
      </c>
      <c r="I227">
        <v>651.79999999999995</v>
      </c>
      <c r="J227">
        <v>651.79999999999995</v>
      </c>
    </row>
    <row r="228" spans="1:10" x14ac:dyDescent="0.25">
      <c r="A228">
        <v>953</v>
      </c>
      <c r="B228">
        <v>51</v>
      </c>
      <c r="C228" t="s">
        <v>12</v>
      </c>
      <c r="D228" s="3">
        <v>104830</v>
      </c>
      <c r="E228">
        <v>43</v>
      </c>
      <c r="F228">
        <v>9</v>
      </c>
      <c r="G228">
        <v>36</v>
      </c>
      <c r="H228" t="s">
        <v>15</v>
      </c>
      <c r="I228">
        <v>593.91999999999996</v>
      </c>
      <c r="J228">
        <v>593.91999999999996</v>
      </c>
    </row>
    <row r="229" spans="1:10" x14ac:dyDescent="0.25">
      <c r="A229">
        <v>955</v>
      </c>
      <c r="B229">
        <v>30</v>
      </c>
      <c r="C229" t="s">
        <v>12</v>
      </c>
      <c r="D229" s="3">
        <v>50661</v>
      </c>
      <c r="E229">
        <v>89</v>
      </c>
      <c r="F229">
        <v>9</v>
      </c>
      <c r="G229">
        <v>22</v>
      </c>
      <c r="H229" t="s">
        <v>15</v>
      </c>
      <c r="I229">
        <v>630.37</v>
      </c>
      <c r="J229">
        <v>630.37</v>
      </c>
    </row>
    <row r="230" spans="1:10" x14ac:dyDescent="0.25">
      <c r="A230">
        <v>987</v>
      </c>
      <c r="B230">
        <v>22</v>
      </c>
      <c r="C230" t="s">
        <v>12</v>
      </c>
      <c r="D230" s="3">
        <v>80049</v>
      </c>
      <c r="E230">
        <v>1</v>
      </c>
      <c r="F230">
        <v>10</v>
      </c>
      <c r="G230">
        <v>47</v>
      </c>
      <c r="H230" t="s">
        <v>15</v>
      </c>
      <c r="I230">
        <v>16.97</v>
      </c>
      <c r="J230">
        <v>16.97</v>
      </c>
    </row>
    <row r="231" spans="1:10" x14ac:dyDescent="0.25">
      <c r="A231">
        <v>998</v>
      </c>
      <c r="B231">
        <v>23</v>
      </c>
      <c r="C231" t="s">
        <v>12</v>
      </c>
      <c r="D231" s="3">
        <v>113097</v>
      </c>
      <c r="E231">
        <v>40</v>
      </c>
      <c r="F231">
        <v>5</v>
      </c>
      <c r="G231">
        <v>42</v>
      </c>
      <c r="H231" t="s">
        <v>15</v>
      </c>
      <c r="I231">
        <v>75.09</v>
      </c>
      <c r="J231">
        <v>75.09</v>
      </c>
    </row>
    <row r="232" spans="1:10" x14ac:dyDescent="0.25">
      <c r="A232">
        <v>8</v>
      </c>
      <c r="B232">
        <v>43</v>
      </c>
      <c r="C232" t="s">
        <v>12</v>
      </c>
      <c r="D232" s="3">
        <v>108115</v>
      </c>
      <c r="E232">
        <v>94</v>
      </c>
      <c r="F232">
        <v>9</v>
      </c>
      <c r="G232">
        <v>27</v>
      </c>
      <c r="H232" t="s">
        <v>16</v>
      </c>
      <c r="I232">
        <v>734.56</v>
      </c>
      <c r="J232">
        <v>734.56</v>
      </c>
    </row>
    <row r="233" spans="1:10" x14ac:dyDescent="0.25">
      <c r="A233">
        <v>20</v>
      </c>
      <c r="B233">
        <v>31</v>
      </c>
      <c r="C233" t="s">
        <v>12</v>
      </c>
      <c r="D233" s="3">
        <v>97103</v>
      </c>
      <c r="E233">
        <v>70</v>
      </c>
      <c r="F233">
        <v>3</v>
      </c>
      <c r="G233">
        <v>17</v>
      </c>
      <c r="H233" t="s">
        <v>16</v>
      </c>
      <c r="I233">
        <v>61.3</v>
      </c>
      <c r="J233">
        <v>61.3</v>
      </c>
    </row>
    <row r="234" spans="1:10" x14ac:dyDescent="0.25">
      <c r="A234">
        <v>27</v>
      </c>
      <c r="B234">
        <v>54</v>
      </c>
      <c r="C234" t="s">
        <v>12</v>
      </c>
      <c r="D234" s="3">
        <v>35394</v>
      </c>
      <c r="E234">
        <v>10</v>
      </c>
      <c r="F234">
        <v>9</v>
      </c>
      <c r="G234">
        <v>4</v>
      </c>
      <c r="H234" t="s">
        <v>16</v>
      </c>
      <c r="I234">
        <v>124.29</v>
      </c>
      <c r="J234">
        <v>124.29</v>
      </c>
    </row>
    <row r="235" spans="1:10" x14ac:dyDescent="0.25">
      <c r="A235">
        <v>61</v>
      </c>
      <c r="B235">
        <v>23</v>
      </c>
      <c r="C235" t="s">
        <v>12</v>
      </c>
      <c r="D235" s="3">
        <v>69133</v>
      </c>
      <c r="E235">
        <v>14</v>
      </c>
      <c r="F235">
        <v>6</v>
      </c>
      <c r="G235">
        <v>7</v>
      </c>
      <c r="H235" t="s">
        <v>16</v>
      </c>
      <c r="I235">
        <v>224.86</v>
      </c>
      <c r="J235">
        <v>224.86</v>
      </c>
    </row>
    <row r="236" spans="1:10" x14ac:dyDescent="0.25">
      <c r="A236">
        <v>77</v>
      </c>
      <c r="B236">
        <v>49</v>
      </c>
      <c r="C236" t="s">
        <v>12</v>
      </c>
      <c r="D236" s="3">
        <v>30708</v>
      </c>
      <c r="E236">
        <v>4</v>
      </c>
      <c r="F236">
        <v>1</v>
      </c>
      <c r="G236">
        <v>36</v>
      </c>
      <c r="H236" t="s">
        <v>16</v>
      </c>
      <c r="I236">
        <v>990</v>
      </c>
      <c r="J236">
        <v>990</v>
      </c>
    </row>
    <row r="237" spans="1:10" x14ac:dyDescent="0.25">
      <c r="A237">
        <v>102</v>
      </c>
      <c r="B237">
        <v>18</v>
      </c>
      <c r="C237" t="s">
        <v>12</v>
      </c>
      <c r="D237" s="3">
        <v>49346</v>
      </c>
      <c r="E237">
        <v>70</v>
      </c>
      <c r="F237">
        <v>7</v>
      </c>
      <c r="G237">
        <v>38</v>
      </c>
      <c r="H237" t="s">
        <v>16</v>
      </c>
      <c r="I237">
        <v>127.14</v>
      </c>
      <c r="J237">
        <v>127.14</v>
      </c>
    </row>
    <row r="238" spans="1:10" x14ac:dyDescent="0.25">
      <c r="A238">
        <v>113</v>
      </c>
      <c r="B238">
        <v>58</v>
      </c>
      <c r="C238" t="s">
        <v>12</v>
      </c>
      <c r="D238" s="3">
        <v>82856</v>
      </c>
      <c r="E238">
        <v>33</v>
      </c>
      <c r="F238">
        <v>7</v>
      </c>
      <c r="G238">
        <v>20</v>
      </c>
      <c r="H238" t="s">
        <v>16</v>
      </c>
      <c r="I238">
        <v>450.72</v>
      </c>
      <c r="J238">
        <v>450.72</v>
      </c>
    </row>
    <row r="239" spans="1:10" x14ac:dyDescent="0.25">
      <c r="A239">
        <v>119</v>
      </c>
      <c r="B239">
        <v>33</v>
      </c>
      <c r="C239" t="s">
        <v>12</v>
      </c>
      <c r="D239" s="3">
        <v>113154</v>
      </c>
      <c r="E239">
        <v>75</v>
      </c>
      <c r="F239">
        <v>8</v>
      </c>
      <c r="G239">
        <v>46</v>
      </c>
      <c r="H239" t="s">
        <v>16</v>
      </c>
      <c r="I239">
        <v>895.58</v>
      </c>
      <c r="J239">
        <v>895.58</v>
      </c>
    </row>
    <row r="240" spans="1:10" x14ac:dyDescent="0.25">
      <c r="A240">
        <v>153</v>
      </c>
      <c r="B240">
        <v>43</v>
      </c>
      <c r="C240" t="s">
        <v>12</v>
      </c>
      <c r="D240" s="3">
        <v>33030</v>
      </c>
      <c r="E240">
        <v>61</v>
      </c>
      <c r="F240">
        <v>8</v>
      </c>
      <c r="G240">
        <v>40</v>
      </c>
      <c r="H240" t="s">
        <v>16</v>
      </c>
      <c r="I240">
        <v>711.04</v>
      </c>
      <c r="J240">
        <v>711.04</v>
      </c>
    </row>
    <row r="241" spans="1:10" x14ac:dyDescent="0.25">
      <c r="A241">
        <v>170</v>
      </c>
      <c r="B241">
        <v>37</v>
      </c>
      <c r="C241" t="s">
        <v>12</v>
      </c>
      <c r="D241" s="3">
        <v>33987</v>
      </c>
      <c r="E241">
        <v>60</v>
      </c>
      <c r="F241">
        <v>8</v>
      </c>
      <c r="G241">
        <v>39</v>
      </c>
      <c r="H241" t="s">
        <v>16</v>
      </c>
      <c r="I241">
        <v>975.1</v>
      </c>
      <c r="J241">
        <v>975.1</v>
      </c>
    </row>
    <row r="242" spans="1:10" x14ac:dyDescent="0.25">
      <c r="A242">
        <v>172</v>
      </c>
      <c r="B242">
        <v>19</v>
      </c>
      <c r="C242" t="s">
        <v>12</v>
      </c>
      <c r="D242" s="3">
        <v>98446</v>
      </c>
      <c r="E242">
        <v>25</v>
      </c>
      <c r="F242">
        <v>4</v>
      </c>
      <c r="G242">
        <v>34</v>
      </c>
      <c r="H242" t="s">
        <v>16</v>
      </c>
      <c r="I242">
        <v>696.59</v>
      </c>
      <c r="J242">
        <v>696.59</v>
      </c>
    </row>
    <row r="243" spans="1:10" x14ac:dyDescent="0.25">
      <c r="A243">
        <v>181</v>
      </c>
      <c r="B243">
        <v>49</v>
      </c>
      <c r="C243" t="s">
        <v>12</v>
      </c>
      <c r="D243" s="3">
        <v>76202</v>
      </c>
      <c r="E243">
        <v>83</v>
      </c>
      <c r="F243">
        <v>3</v>
      </c>
      <c r="G243">
        <v>6</v>
      </c>
      <c r="H243" t="s">
        <v>16</v>
      </c>
      <c r="I243">
        <v>208.79</v>
      </c>
      <c r="J243">
        <v>208.79</v>
      </c>
    </row>
    <row r="244" spans="1:10" x14ac:dyDescent="0.25">
      <c r="A244">
        <v>184</v>
      </c>
      <c r="B244">
        <v>27</v>
      </c>
      <c r="C244" t="s">
        <v>12</v>
      </c>
      <c r="D244" s="3">
        <v>63313</v>
      </c>
      <c r="E244">
        <v>8</v>
      </c>
      <c r="F244">
        <v>10</v>
      </c>
      <c r="G244">
        <v>42</v>
      </c>
      <c r="H244" t="s">
        <v>16</v>
      </c>
      <c r="I244">
        <v>35.01</v>
      </c>
      <c r="J244">
        <v>35.01</v>
      </c>
    </row>
    <row r="245" spans="1:10" x14ac:dyDescent="0.25">
      <c r="A245">
        <v>198</v>
      </c>
      <c r="B245">
        <v>39</v>
      </c>
      <c r="C245" t="s">
        <v>12</v>
      </c>
      <c r="D245" s="3">
        <v>116566</v>
      </c>
      <c r="E245">
        <v>76</v>
      </c>
      <c r="F245">
        <v>9</v>
      </c>
      <c r="G245">
        <v>21</v>
      </c>
      <c r="H245" t="s">
        <v>16</v>
      </c>
      <c r="I245">
        <v>32.380000000000003</v>
      </c>
      <c r="J245">
        <v>32.380000000000003</v>
      </c>
    </row>
    <row r="246" spans="1:10" x14ac:dyDescent="0.25">
      <c r="A246">
        <v>201</v>
      </c>
      <c r="B246">
        <v>45</v>
      </c>
      <c r="C246" t="s">
        <v>12</v>
      </c>
      <c r="D246" s="3">
        <v>111788</v>
      </c>
      <c r="E246">
        <v>28</v>
      </c>
      <c r="F246">
        <v>9</v>
      </c>
      <c r="G246">
        <v>49</v>
      </c>
      <c r="H246" t="s">
        <v>16</v>
      </c>
      <c r="I246">
        <v>628.42999999999995</v>
      </c>
      <c r="J246">
        <v>628.42999999999995</v>
      </c>
    </row>
    <row r="247" spans="1:10" x14ac:dyDescent="0.25">
      <c r="A247">
        <v>232</v>
      </c>
      <c r="B247">
        <v>66</v>
      </c>
      <c r="C247" t="s">
        <v>12</v>
      </c>
      <c r="D247" s="3">
        <v>144573</v>
      </c>
      <c r="E247">
        <v>41</v>
      </c>
      <c r="F247">
        <v>7</v>
      </c>
      <c r="G247">
        <v>24</v>
      </c>
      <c r="H247" t="s">
        <v>16</v>
      </c>
      <c r="I247">
        <v>66.599999999999994</v>
      </c>
      <c r="J247">
        <v>66.599999999999994</v>
      </c>
    </row>
    <row r="248" spans="1:10" x14ac:dyDescent="0.25">
      <c r="A248">
        <v>259</v>
      </c>
      <c r="B248">
        <v>68</v>
      </c>
      <c r="C248" t="s">
        <v>12</v>
      </c>
      <c r="D248" s="3">
        <v>49725</v>
      </c>
      <c r="E248">
        <v>59</v>
      </c>
      <c r="F248">
        <v>2</v>
      </c>
      <c r="G248">
        <v>35</v>
      </c>
      <c r="H248" t="s">
        <v>16</v>
      </c>
      <c r="I248">
        <v>12.36</v>
      </c>
      <c r="J248">
        <v>12.36</v>
      </c>
    </row>
    <row r="249" spans="1:10" x14ac:dyDescent="0.25">
      <c r="A249">
        <v>271</v>
      </c>
      <c r="B249">
        <v>69</v>
      </c>
      <c r="C249" t="s">
        <v>12</v>
      </c>
      <c r="D249" s="3">
        <v>47458</v>
      </c>
      <c r="E249">
        <v>14</v>
      </c>
      <c r="F249">
        <v>2</v>
      </c>
      <c r="G249">
        <v>10</v>
      </c>
      <c r="H249" t="s">
        <v>16</v>
      </c>
      <c r="I249">
        <v>874.32</v>
      </c>
      <c r="J249">
        <v>874.32</v>
      </c>
    </row>
    <row r="250" spans="1:10" x14ac:dyDescent="0.25">
      <c r="A250">
        <v>299</v>
      </c>
      <c r="B250">
        <v>59</v>
      </c>
      <c r="C250" t="s">
        <v>12</v>
      </c>
      <c r="D250" s="3">
        <v>36383</v>
      </c>
      <c r="E250">
        <v>5</v>
      </c>
      <c r="F250">
        <v>6</v>
      </c>
      <c r="G250">
        <v>31</v>
      </c>
      <c r="H250" t="s">
        <v>16</v>
      </c>
      <c r="I250">
        <v>82.77</v>
      </c>
      <c r="J250">
        <v>82.77</v>
      </c>
    </row>
    <row r="251" spans="1:10" x14ac:dyDescent="0.25">
      <c r="A251">
        <v>314</v>
      </c>
      <c r="B251">
        <v>44</v>
      </c>
      <c r="C251" t="s">
        <v>12</v>
      </c>
      <c r="D251" s="3">
        <v>141748</v>
      </c>
      <c r="E251">
        <v>55</v>
      </c>
      <c r="F251">
        <v>2</v>
      </c>
      <c r="G251">
        <v>50</v>
      </c>
      <c r="H251" t="s">
        <v>16</v>
      </c>
      <c r="I251">
        <v>897.57</v>
      </c>
      <c r="J251">
        <v>897.57</v>
      </c>
    </row>
    <row r="252" spans="1:10" x14ac:dyDescent="0.25">
      <c r="A252">
        <v>330</v>
      </c>
      <c r="B252">
        <v>28</v>
      </c>
      <c r="C252" t="s">
        <v>12</v>
      </c>
      <c r="D252" s="3">
        <v>51087</v>
      </c>
      <c r="E252">
        <v>60</v>
      </c>
      <c r="F252">
        <v>4</v>
      </c>
      <c r="G252">
        <v>42</v>
      </c>
      <c r="H252" t="s">
        <v>16</v>
      </c>
      <c r="I252">
        <v>68.31</v>
      </c>
      <c r="J252">
        <v>68.31</v>
      </c>
    </row>
    <row r="253" spans="1:10" x14ac:dyDescent="0.25">
      <c r="A253">
        <v>331</v>
      </c>
      <c r="B253">
        <v>30</v>
      </c>
      <c r="C253" t="s">
        <v>12</v>
      </c>
      <c r="D253" s="3">
        <v>90651</v>
      </c>
      <c r="E253">
        <v>88</v>
      </c>
      <c r="F253">
        <v>9</v>
      </c>
      <c r="G253">
        <v>37</v>
      </c>
      <c r="H253" t="s">
        <v>16</v>
      </c>
      <c r="I253">
        <v>555.41</v>
      </c>
      <c r="J253">
        <v>555.41</v>
      </c>
    </row>
    <row r="254" spans="1:10" x14ac:dyDescent="0.25">
      <c r="A254">
        <v>335</v>
      </c>
      <c r="B254">
        <v>60</v>
      </c>
      <c r="C254" t="s">
        <v>12</v>
      </c>
      <c r="D254" s="3">
        <v>145308</v>
      </c>
      <c r="E254">
        <v>83</v>
      </c>
      <c r="F254">
        <v>3</v>
      </c>
      <c r="G254">
        <v>31</v>
      </c>
      <c r="H254" t="s">
        <v>16</v>
      </c>
      <c r="I254">
        <v>53.26</v>
      </c>
      <c r="J254">
        <v>53.26</v>
      </c>
    </row>
    <row r="255" spans="1:10" x14ac:dyDescent="0.25">
      <c r="A255">
        <v>337</v>
      </c>
      <c r="B255">
        <v>58</v>
      </c>
      <c r="C255" t="s">
        <v>12</v>
      </c>
      <c r="D255" s="3">
        <v>60768</v>
      </c>
      <c r="E255">
        <v>88</v>
      </c>
      <c r="F255">
        <v>2</v>
      </c>
      <c r="G255">
        <v>38</v>
      </c>
      <c r="H255" t="s">
        <v>16</v>
      </c>
      <c r="I255">
        <v>67.52</v>
      </c>
      <c r="J255">
        <v>67.52</v>
      </c>
    </row>
    <row r="256" spans="1:10" x14ac:dyDescent="0.25">
      <c r="A256">
        <v>359</v>
      </c>
      <c r="B256">
        <v>50</v>
      </c>
      <c r="C256" t="s">
        <v>12</v>
      </c>
      <c r="D256" s="3">
        <v>85888</v>
      </c>
      <c r="E256">
        <v>19</v>
      </c>
      <c r="F256">
        <v>2</v>
      </c>
      <c r="G256">
        <v>25</v>
      </c>
      <c r="H256" t="s">
        <v>16</v>
      </c>
      <c r="I256">
        <v>910.52</v>
      </c>
      <c r="J256">
        <v>910.52</v>
      </c>
    </row>
    <row r="257" spans="1:10" x14ac:dyDescent="0.25">
      <c r="A257">
        <v>371</v>
      </c>
      <c r="B257">
        <v>20</v>
      </c>
      <c r="C257" t="s">
        <v>12</v>
      </c>
      <c r="D257" s="3">
        <v>87520</v>
      </c>
      <c r="E257">
        <v>93</v>
      </c>
      <c r="F257">
        <v>4</v>
      </c>
      <c r="G257">
        <v>3</v>
      </c>
      <c r="H257" t="s">
        <v>16</v>
      </c>
      <c r="I257">
        <v>459.87</v>
      </c>
      <c r="J257">
        <v>459.87</v>
      </c>
    </row>
    <row r="258" spans="1:10" x14ac:dyDescent="0.25">
      <c r="A258">
        <v>386</v>
      </c>
      <c r="B258">
        <v>69</v>
      </c>
      <c r="C258" t="s">
        <v>12</v>
      </c>
      <c r="D258" s="3">
        <v>105810</v>
      </c>
      <c r="E258">
        <v>57</v>
      </c>
      <c r="F258">
        <v>6</v>
      </c>
      <c r="G258">
        <v>28</v>
      </c>
      <c r="H258" t="s">
        <v>16</v>
      </c>
      <c r="I258">
        <v>985.94</v>
      </c>
      <c r="J258">
        <v>985.94</v>
      </c>
    </row>
    <row r="259" spans="1:10" x14ac:dyDescent="0.25">
      <c r="A259">
        <v>404</v>
      </c>
      <c r="B259">
        <v>36</v>
      </c>
      <c r="C259" t="s">
        <v>12</v>
      </c>
      <c r="D259" s="3">
        <v>30121</v>
      </c>
      <c r="E259">
        <v>39</v>
      </c>
      <c r="F259">
        <v>10</v>
      </c>
      <c r="G259">
        <v>16</v>
      </c>
      <c r="H259" t="s">
        <v>16</v>
      </c>
      <c r="I259">
        <v>233.08</v>
      </c>
      <c r="J259">
        <v>233.08</v>
      </c>
    </row>
    <row r="260" spans="1:10" x14ac:dyDescent="0.25">
      <c r="A260">
        <v>415</v>
      </c>
      <c r="B260">
        <v>57</v>
      </c>
      <c r="C260" t="s">
        <v>12</v>
      </c>
      <c r="D260" s="3">
        <v>52164</v>
      </c>
      <c r="E260">
        <v>53</v>
      </c>
      <c r="F260">
        <v>3</v>
      </c>
      <c r="G260">
        <v>36</v>
      </c>
      <c r="H260" t="s">
        <v>16</v>
      </c>
      <c r="I260">
        <v>710.84</v>
      </c>
      <c r="J260">
        <v>710.84</v>
      </c>
    </row>
    <row r="261" spans="1:10" x14ac:dyDescent="0.25">
      <c r="A261">
        <v>424</v>
      </c>
      <c r="B261">
        <v>56</v>
      </c>
      <c r="C261" t="s">
        <v>12</v>
      </c>
      <c r="D261" s="3">
        <v>134502</v>
      </c>
      <c r="E261">
        <v>46</v>
      </c>
      <c r="F261">
        <v>5</v>
      </c>
      <c r="G261">
        <v>5</v>
      </c>
      <c r="H261" t="s">
        <v>16</v>
      </c>
      <c r="I261">
        <v>394.49</v>
      </c>
      <c r="J261">
        <v>394.49</v>
      </c>
    </row>
    <row r="262" spans="1:10" x14ac:dyDescent="0.25">
      <c r="A262">
        <v>431</v>
      </c>
      <c r="B262">
        <v>40</v>
      </c>
      <c r="C262" t="s">
        <v>12</v>
      </c>
      <c r="D262" s="3">
        <v>99618</v>
      </c>
      <c r="E262">
        <v>80</v>
      </c>
      <c r="F262">
        <v>4</v>
      </c>
      <c r="G262">
        <v>22</v>
      </c>
      <c r="H262" t="s">
        <v>16</v>
      </c>
      <c r="I262">
        <v>15.04</v>
      </c>
      <c r="J262">
        <v>15.04</v>
      </c>
    </row>
    <row r="263" spans="1:10" x14ac:dyDescent="0.25">
      <c r="A263">
        <v>458</v>
      </c>
      <c r="B263">
        <v>62</v>
      </c>
      <c r="C263" t="s">
        <v>12</v>
      </c>
      <c r="D263" s="3">
        <v>32827</v>
      </c>
      <c r="E263">
        <v>69</v>
      </c>
      <c r="F263">
        <v>8</v>
      </c>
      <c r="G263">
        <v>2</v>
      </c>
      <c r="H263" t="s">
        <v>16</v>
      </c>
      <c r="I263">
        <v>468.37</v>
      </c>
      <c r="J263">
        <v>468.37</v>
      </c>
    </row>
    <row r="264" spans="1:10" x14ac:dyDescent="0.25">
      <c r="A264">
        <v>467</v>
      </c>
      <c r="B264">
        <v>25</v>
      </c>
      <c r="C264" t="s">
        <v>12</v>
      </c>
      <c r="D264" s="3">
        <v>99668</v>
      </c>
      <c r="E264">
        <v>1</v>
      </c>
      <c r="F264">
        <v>1</v>
      </c>
      <c r="G264">
        <v>50</v>
      </c>
      <c r="H264" t="s">
        <v>16</v>
      </c>
      <c r="I264">
        <v>937.86</v>
      </c>
      <c r="J264">
        <v>937.86</v>
      </c>
    </row>
    <row r="265" spans="1:10" x14ac:dyDescent="0.25">
      <c r="A265">
        <v>471</v>
      </c>
      <c r="B265">
        <v>32</v>
      </c>
      <c r="C265" t="s">
        <v>12</v>
      </c>
      <c r="D265" s="3">
        <v>38683</v>
      </c>
      <c r="E265">
        <v>59</v>
      </c>
      <c r="F265">
        <v>10</v>
      </c>
      <c r="G265">
        <v>47</v>
      </c>
      <c r="H265" t="s">
        <v>16</v>
      </c>
      <c r="I265">
        <v>846.85</v>
      </c>
      <c r="J265">
        <v>846.85</v>
      </c>
    </row>
    <row r="266" spans="1:10" x14ac:dyDescent="0.25">
      <c r="A266">
        <v>476</v>
      </c>
      <c r="B266">
        <v>38</v>
      </c>
      <c r="C266" t="s">
        <v>12</v>
      </c>
      <c r="D266" s="3">
        <v>144083</v>
      </c>
      <c r="E266">
        <v>23</v>
      </c>
      <c r="F266">
        <v>1</v>
      </c>
      <c r="G266">
        <v>28</v>
      </c>
      <c r="H266" t="s">
        <v>16</v>
      </c>
      <c r="I266">
        <v>158.15</v>
      </c>
      <c r="J266">
        <v>158.15</v>
      </c>
    </row>
    <row r="267" spans="1:10" x14ac:dyDescent="0.25">
      <c r="A267">
        <v>484</v>
      </c>
      <c r="B267">
        <v>40</v>
      </c>
      <c r="C267" t="s">
        <v>12</v>
      </c>
      <c r="D267" s="3">
        <v>61052</v>
      </c>
      <c r="E267">
        <v>44</v>
      </c>
      <c r="F267">
        <v>4</v>
      </c>
      <c r="G267">
        <v>17</v>
      </c>
      <c r="H267" t="s">
        <v>16</v>
      </c>
      <c r="I267">
        <v>135.19</v>
      </c>
      <c r="J267">
        <v>135.19</v>
      </c>
    </row>
    <row r="268" spans="1:10" x14ac:dyDescent="0.25">
      <c r="A268">
        <v>499</v>
      </c>
      <c r="B268">
        <v>25</v>
      </c>
      <c r="C268" t="s">
        <v>12</v>
      </c>
      <c r="D268" s="3">
        <v>33065</v>
      </c>
      <c r="E268">
        <v>61</v>
      </c>
      <c r="F268">
        <v>7</v>
      </c>
      <c r="G268">
        <v>40</v>
      </c>
      <c r="H268" t="s">
        <v>16</v>
      </c>
      <c r="I268">
        <v>317.98</v>
      </c>
      <c r="J268">
        <v>317.98</v>
      </c>
    </row>
    <row r="269" spans="1:10" x14ac:dyDescent="0.25">
      <c r="A269">
        <v>515</v>
      </c>
      <c r="B269">
        <v>28</v>
      </c>
      <c r="C269" t="s">
        <v>12</v>
      </c>
      <c r="D269" s="3">
        <v>66961</v>
      </c>
      <c r="E269">
        <v>8</v>
      </c>
      <c r="F269">
        <v>10</v>
      </c>
      <c r="G269">
        <v>22</v>
      </c>
      <c r="H269" t="s">
        <v>16</v>
      </c>
      <c r="I269">
        <v>179.82</v>
      </c>
      <c r="J269">
        <v>179.82</v>
      </c>
    </row>
    <row r="270" spans="1:10" x14ac:dyDescent="0.25">
      <c r="A270">
        <v>538</v>
      </c>
      <c r="B270">
        <v>39</v>
      </c>
      <c r="C270" t="s">
        <v>12</v>
      </c>
      <c r="D270" s="3">
        <v>49970</v>
      </c>
      <c r="E270">
        <v>53</v>
      </c>
      <c r="F270">
        <v>5</v>
      </c>
      <c r="G270">
        <v>24</v>
      </c>
      <c r="H270" t="s">
        <v>16</v>
      </c>
      <c r="I270">
        <v>728.58</v>
      </c>
      <c r="J270">
        <v>728.58</v>
      </c>
    </row>
    <row r="271" spans="1:10" x14ac:dyDescent="0.25">
      <c r="A271">
        <v>540</v>
      </c>
      <c r="B271">
        <v>36</v>
      </c>
      <c r="C271" t="s">
        <v>12</v>
      </c>
      <c r="D271" s="3">
        <v>37595</v>
      </c>
      <c r="E271">
        <v>88</v>
      </c>
      <c r="F271">
        <v>8</v>
      </c>
      <c r="G271">
        <v>49</v>
      </c>
      <c r="H271" t="s">
        <v>16</v>
      </c>
      <c r="I271">
        <v>600.48</v>
      </c>
      <c r="J271">
        <v>600.48</v>
      </c>
    </row>
    <row r="272" spans="1:10" x14ac:dyDescent="0.25">
      <c r="A272">
        <v>562</v>
      </c>
      <c r="B272">
        <v>18</v>
      </c>
      <c r="C272" t="s">
        <v>12</v>
      </c>
      <c r="D272" s="3">
        <v>143235</v>
      </c>
      <c r="E272">
        <v>46</v>
      </c>
      <c r="F272">
        <v>10</v>
      </c>
      <c r="G272">
        <v>31</v>
      </c>
      <c r="H272" t="s">
        <v>16</v>
      </c>
      <c r="I272">
        <v>143.75</v>
      </c>
      <c r="J272">
        <v>143.75</v>
      </c>
    </row>
    <row r="273" spans="1:10" x14ac:dyDescent="0.25">
      <c r="A273">
        <v>563</v>
      </c>
      <c r="B273">
        <v>23</v>
      </c>
      <c r="C273" t="s">
        <v>12</v>
      </c>
      <c r="D273" s="3">
        <v>143899</v>
      </c>
      <c r="E273">
        <v>10</v>
      </c>
      <c r="F273">
        <v>3</v>
      </c>
      <c r="G273">
        <v>47</v>
      </c>
      <c r="H273" t="s">
        <v>16</v>
      </c>
      <c r="I273">
        <v>361.81</v>
      </c>
      <c r="J273">
        <v>361.81</v>
      </c>
    </row>
    <row r="274" spans="1:10" x14ac:dyDescent="0.25">
      <c r="A274">
        <v>616</v>
      </c>
      <c r="B274">
        <v>43</v>
      </c>
      <c r="C274" t="s">
        <v>12</v>
      </c>
      <c r="D274" s="3">
        <v>38012</v>
      </c>
      <c r="E274">
        <v>55</v>
      </c>
      <c r="F274">
        <v>3</v>
      </c>
      <c r="G274">
        <v>24</v>
      </c>
      <c r="H274" t="s">
        <v>16</v>
      </c>
      <c r="I274">
        <v>943.37</v>
      </c>
      <c r="J274">
        <v>943.37</v>
      </c>
    </row>
    <row r="275" spans="1:10" x14ac:dyDescent="0.25">
      <c r="A275">
        <v>626</v>
      </c>
      <c r="B275">
        <v>19</v>
      </c>
      <c r="C275" t="s">
        <v>12</v>
      </c>
      <c r="D275" s="3">
        <v>138008</v>
      </c>
      <c r="E275">
        <v>8</v>
      </c>
      <c r="F275">
        <v>9</v>
      </c>
      <c r="G275">
        <v>15</v>
      </c>
      <c r="H275" t="s">
        <v>16</v>
      </c>
      <c r="I275">
        <v>116.8</v>
      </c>
      <c r="J275">
        <v>116.8</v>
      </c>
    </row>
    <row r="276" spans="1:10" x14ac:dyDescent="0.25">
      <c r="A276">
        <v>629</v>
      </c>
      <c r="B276">
        <v>65</v>
      </c>
      <c r="C276" t="s">
        <v>12</v>
      </c>
      <c r="D276" s="3">
        <v>84223</v>
      </c>
      <c r="E276">
        <v>83</v>
      </c>
      <c r="F276">
        <v>7</v>
      </c>
      <c r="G276">
        <v>46</v>
      </c>
      <c r="H276" t="s">
        <v>16</v>
      </c>
      <c r="I276">
        <v>971.93</v>
      </c>
      <c r="J276">
        <v>971.93</v>
      </c>
    </row>
    <row r="277" spans="1:10" x14ac:dyDescent="0.25">
      <c r="A277">
        <v>639</v>
      </c>
      <c r="B277">
        <v>68</v>
      </c>
      <c r="C277" t="s">
        <v>12</v>
      </c>
      <c r="D277" s="3">
        <v>57700</v>
      </c>
      <c r="E277">
        <v>70</v>
      </c>
      <c r="F277">
        <v>8</v>
      </c>
      <c r="G277">
        <v>46</v>
      </c>
      <c r="H277" t="s">
        <v>16</v>
      </c>
      <c r="I277">
        <v>178.21</v>
      </c>
      <c r="J277">
        <v>178.21</v>
      </c>
    </row>
    <row r="278" spans="1:10" x14ac:dyDescent="0.25">
      <c r="A278">
        <v>696</v>
      </c>
      <c r="B278">
        <v>61</v>
      </c>
      <c r="C278" t="s">
        <v>12</v>
      </c>
      <c r="D278" s="3">
        <v>89720</v>
      </c>
      <c r="E278">
        <v>4</v>
      </c>
      <c r="F278">
        <v>9</v>
      </c>
      <c r="G278">
        <v>8</v>
      </c>
      <c r="H278" t="s">
        <v>16</v>
      </c>
      <c r="I278">
        <v>795.49</v>
      </c>
      <c r="J278">
        <v>795.49</v>
      </c>
    </row>
    <row r="279" spans="1:10" x14ac:dyDescent="0.25">
      <c r="A279">
        <v>701</v>
      </c>
      <c r="B279">
        <v>31</v>
      </c>
      <c r="C279" t="s">
        <v>12</v>
      </c>
      <c r="D279" s="3">
        <v>148121</v>
      </c>
      <c r="E279">
        <v>34</v>
      </c>
      <c r="F279">
        <v>9</v>
      </c>
      <c r="G279">
        <v>32</v>
      </c>
      <c r="H279" t="s">
        <v>16</v>
      </c>
      <c r="I279">
        <v>753.49</v>
      </c>
      <c r="J279">
        <v>753.49</v>
      </c>
    </row>
    <row r="280" spans="1:10" x14ac:dyDescent="0.25">
      <c r="A280">
        <v>721</v>
      </c>
      <c r="B280">
        <v>27</v>
      </c>
      <c r="C280" t="s">
        <v>12</v>
      </c>
      <c r="D280" s="3">
        <v>114848</v>
      </c>
      <c r="E280">
        <v>66</v>
      </c>
      <c r="F280">
        <v>10</v>
      </c>
      <c r="G280">
        <v>38</v>
      </c>
      <c r="H280" t="s">
        <v>16</v>
      </c>
      <c r="I280">
        <v>912.58</v>
      </c>
      <c r="J280">
        <v>912.58</v>
      </c>
    </row>
    <row r="281" spans="1:10" x14ac:dyDescent="0.25">
      <c r="A281">
        <v>723</v>
      </c>
      <c r="B281">
        <v>20</v>
      </c>
      <c r="C281" t="s">
        <v>12</v>
      </c>
      <c r="D281" s="3">
        <v>48504</v>
      </c>
      <c r="E281">
        <v>27</v>
      </c>
      <c r="F281">
        <v>3</v>
      </c>
      <c r="G281">
        <v>28</v>
      </c>
      <c r="H281" t="s">
        <v>16</v>
      </c>
      <c r="I281">
        <v>658.54</v>
      </c>
      <c r="J281">
        <v>658.54</v>
      </c>
    </row>
    <row r="282" spans="1:10" x14ac:dyDescent="0.25">
      <c r="A282">
        <v>747</v>
      </c>
      <c r="B282">
        <v>26</v>
      </c>
      <c r="C282" t="s">
        <v>12</v>
      </c>
      <c r="D282" s="3">
        <v>44725</v>
      </c>
      <c r="E282">
        <v>40</v>
      </c>
      <c r="F282">
        <v>10</v>
      </c>
      <c r="G282">
        <v>17</v>
      </c>
      <c r="H282" t="s">
        <v>16</v>
      </c>
      <c r="I282">
        <v>307.42</v>
      </c>
      <c r="J282">
        <v>307.42</v>
      </c>
    </row>
    <row r="283" spans="1:10" x14ac:dyDescent="0.25">
      <c r="A283">
        <v>751</v>
      </c>
      <c r="B283">
        <v>63</v>
      </c>
      <c r="C283" t="s">
        <v>12</v>
      </c>
      <c r="D283" s="3">
        <v>37201</v>
      </c>
      <c r="E283">
        <v>60</v>
      </c>
      <c r="F283">
        <v>6</v>
      </c>
      <c r="G283">
        <v>46</v>
      </c>
      <c r="H283" t="s">
        <v>16</v>
      </c>
      <c r="I283">
        <v>90.96</v>
      </c>
      <c r="J283">
        <v>90.96</v>
      </c>
    </row>
    <row r="284" spans="1:10" x14ac:dyDescent="0.25">
      <c r="A284">
        <v>754</v>
      </c>
      <c r="B284">
        <v>52</v>
      </c>
      <c r="C284" t="s">
        <v>12</v>
      </c>
      <c r="D284" s="3">
        <v>49342</v>
      </c>
      <c r="E284">
        <v>77</v>
      </c>
      <c r="F284">
        <v>7</v>
      </c>
      <c r="G284">
        <v>29</v>
      </c>
      <c r="H284" t="s">
        <v>16</v>
      </c>
      <c r="I284">
        <v>622.86</v>
      </c>
      <c r="J284">
        <v>622.86</v>
      </c>
    </row>
    <row r="285" spans="1:10" x14ac:dyDescent="0.25">
      <c r="A285">
        <v>770</v>
      </c>
      <c r="B285">
        <v>61</v>
      </c>
      <c r="C285" t="s">
        <v>12</v>
      </c>
      <c r="D285" s="3">
        <v>32692</v>
      </c>
      <c r="E285">
        <v>18</v>
      </c>
      <c r="F285">
        <v>8</v>
      </c>
      <c r="G285">
        <v>28</v>
      </c>
      <c r="H285" t="s">
        <v>16</v>
      </c>
      <c r="I285">
        <v>709.33</v>
      </c>
      <c r="J285">
        <v>709.33</v>
      </c>
    </row>
    <row r="286" spans="1:10" x14ac:dyDescent="0.25">
      <c r="A286">
        <v>802</v>
      </c>
      <c r="B286">
        <v>51</v>
      </c>
      <c r="C286" t="s">
        <v>12</v>
      </c>
      <c r="D286" s="3">
        <v>107033</v>
      </c>
      <c r="E286">
        <v>96</v>
      </c>
      <c r="F286">
        <v>3</v>
      </c>
      <c r="G286">
        <v>42</v>
      </c>
      <c r="H286" t="s">
        <v>16</v>
      </c>
      <c r="I286">
        <v>992.17</v>
      </c>
      <c r="J286">
        <v>992.17</v>
      </c>
    </row>
    <row r="287" spans="1:10" x14ac:dyDescent="0.25">
      <c r="A287">
        <v>803</v>
      </c>
      <c r="B287">
        <v>64</v>
      </c>
      <c r="C287" t="s">
        <v>12</v>
      </c>
      <c r="D287" s="3">
        <v>127745</v>
      </c>
      <c r="E287">
        <v>72</v>
      </c>
      <c r="F287">
        <v>2</v>
      </c>
      <c r="G287">
        <v>11</v>
      </c>
      <c r="H287" t="s">
        <v>16</v>
      </c>
      <c r="I287">
        <v>192.17</v>
      </c>
      <c r="J287">
        <v>192.17</v>
      </c>
    </row>
    <row r="288" spans="1:10" x14ac:dyDescent="0.25">
      <c r="A288">
        <v>806</v>
      </c>
      <c r="B288">
        <v>49</v>
      </c>
      <c r="C288" t="s">
        <v>12</v>
      </c>
      <c r="D288" s="3">
        <v>69864</v>
      </c>
      <c r="E288">
        <v>92</v>
      </c>
      <c r="F288">
        <v>10</v>
      </c>
      <c r="G288">
        <v>25</v>
      </c>
      <c r="H288" t="s">
        <v>16</v>
      </c>
      <c r="I288">
        <v>522.78</v>
      </c>
      <c r="J288">
        <v>522.78</v>
      </c>
    </row>
    <row r="289" spans="1:10" x14ac:dyDescent="0.25">
      <c r="A289">
        <v>808</v>
      </c>
      <c r="B289">
        <v>33</v>
      </c>
      <c r="C289" t="s">
        <v>12</v>
      </c>
      <c r="D289" s="3">
        <v>127302</v>
      </c>
      <c r="E289">
        <v>43</v>
      </c>
      <c r="F289">
        <v>1</v>
      </c>
      <c r="G289">
        <v>40</v>
      </c>
      <c r="H289" t="s">
        <v>16</v>
      </c>
      <c r="I289">
        <v>785.52</v>
      </c>
      <c r="J289">
        <v>785.52</v>
      </c>
    </row>
    <row r="290" spans="1:10" x14ac:dyDescent="0.25">
      <c r="A290">
        <v>826</v>
      </c>
      <c r="B290">
        <v>48</v>
      </c>
      <c r="C290" t="s">
        <v>12</v>
      </c>
      <c r="D290" s="3">
        <v>111795</v>
      </c>
      <c r="E290">
        <v>41</v>
      </c>
      <c r="F290">
        <v>9</v>
      </c>
      <c r="G290">
        <v>17</v>
      </c>
      <c r="H290" t="s">
        <v>16</v>
      </c>
      <c r="I290">
        <v>116.19</v>
      </c>
      <c r="J290">
        <v>116.19</v>
      </c>
    </row>
    <row r="291" spans="1:10" x14ac:dyDescent="0.25">
      <c r="A291">
        <v>847</v>
      </c>
      <c r="B291">
        <v>22</v>
      </c>
      <c r="C291" t="s">
        <v>12</v>
      </c>
      <c r="D291" s="3">
        <v>134801</v>
      </c>
      <c r="E291">
        <v>47</v>
      </c>
      <c r="F291">
        <v>1</v>
      </c>
      <c r="G291">
        <v>49</v>
      </c>
      <c r="H291" t="s">
        <v>16</v>
      </c>
      <c r="I291">
        <v>292.92</v>
      </c>
      <c r="J291">
        <v>292.92</v>
      </c>
    </row>
    <row r="292" spans="1:10" x14ac:dyDescent="0.25">
      <c r="A292">
        <v>874</v>
      </c>
      <c r="B292">
        <v>35</v>
      </c>
      <c r="C292" t="s">
        <v>12</v>
      </c>
      <c r="D292" s="3">
        <v>121037</v>
      </c>
      <c r="E292">
        <v>70</v>
      </c>
      <c r="F292">
        <v>1</v>
      </c>
      <c r="G292">
        <v>28</v>
      </c>
      <c r="H292" t="s">
        <v>16</v>
      </c>
      <c r="I292">
        <v>304.08</v>
      </c>
      <c r="J292">
        <v>304.08</v>
      </c>
    </row>
    <row r="293" spans="1:10" x14ac:dyDescent="0.25">
      <c r="A293">
        <v>887</v>
      </c>
      <c r="B293">
        <v>60</v>
      </c>
      <c r="C293" t="s">
        <v>12</v>
      </c>
      <c r="D293" s="3">
        <v>98882</v>
      </c>
      <c r="E293">
        <v>38</v>
      </c>
      <c r="F293">
        <v>2</v>
      </c>
      <c r="G293">
        <v>28</v>
      </c>
      <c r="H293" t="s">
        <v>16</v>
      </c>
      <c r="I293">
        <v>940.14</v>
      </c>
      <c r="J293">
        <v>940.14</v>
      </c>
    </row>
    <row r="294" spans="1:10" x14ac:dyDescent="0.25">
      <c r="A294">
        <v>888</v>
      </c>
      <c r="B294">
        <v>29</v>
      </c>
      <c r="C294" t="s">
        <v>12</v>
      </c>
      <c r="D294" s="3">
        <v>149973</v>
      </c>
      <c r="E294">
        <v>2</v>
      </c>
      <c r="F294">
        <v>2</v>
      </c>
      <c r="G294">
        <v>19</v>
      </c>
      <c r="H294" t="s">
        <v>16</v>
      </c>
      <c r="I294">
        <v>437.1</v>
      </c>
      <c r="J294">
        <v>437.1</v>
      </c>
    </row>
    <row r="295" spans="1:10" x14ac:dyDescent="0.25">
      <c r="A295">
        <v>916</v>
      </c>
      <c r="B295">
        <v>26</v>
      </c>
      <c r="C295" t="s">
        <v>12</v>
      </c>
      <c r="D295" s="3">
        <v>131020</v>
      </c>
      <c r="E295">
        <v>23</v>
      </c>
      <c r="F295">
        <v>7</v>
      </c>
      <c r="G295">
        <v>22</v>
      </c>
      <c r="H295" t="s">
        <v>16</v>
      </c>
      <c r="I295">
        <v>844.88</v>
      </c>
      <c r="J295">
        <v>844.88</v>
      </c>
    </row>
    <row r="296" spans="1:10" x14ac:dyDescent="0.25">
      <c r="A296">
        <v>924</v>
      </c>
      <c r="B296">
        <v>20</v>
      </c>
      <c r="C296" t="s">
        <v>12</v>
      </c>
      <c r="D296" s="3">
        <v>88778</v>
      </c>
      <c r="E296">
        <v>56</v>
      </c>
      <c r="F296">
        <v>2</v>
      </c>
      <c r="G296">
        <v>28</v>
      </c>
      <c r="H296" t="s">
        <v>16</v>
      </c>
      <c r="I296">
        <v>240.93</v>
      </c>
      <c r="J296">
        <v>240.93</v>
      </c>
    </row>
    <row r="297" spans="1:10" x14ac:dyDescent="0.25">
      <c r="A297">
        <v>934</v>
      </c>
      <c r="B297">
        <v>47</v>
      </c>
      <c r="C297" t="s">
        <v>12</v>
      </c>
      <c r="D297" s="3">
        <v>138152</v>
      </c>
      <c r="E297">
        <v>53</v>
      </c>
      <c r="F297">
        <v>2</v>
      </c>
      <c r="G297">
        <v>38</v>
      </c>
      <c r="H297" t="s">
        <v>16</v>
      </c>
      <c r="I297">
        <v>129.08000000000001</v>
      </c>
      <c r="J297">
        <v>129.08000000000001</v>
      </c>
    </row>
    <row r="298" spans="1:10" x14ac:dyDescent="0.25">
      <c r="A298">
        <v>946</v>
      </c>
      <c r="B298">
        <v>59</v>
      </c>
      <c r="C298" t="s">
        <v>12</v>
      </c>
      <c r="D298" s="3">
        <v>149936</v>
      </c>
      <c r="E298">
        <v>80</v>
      </c>
      <c r="F298">
        <v>7</v>
      </c>
      <c r="G298">
        <v>37</v>
      </c>
      <c r="H298" t="s">
        <v>16</v>
      </c>
      <c r="I298">
        <v>406.6</v>
      </c>
      <c r="J298">
        <v>406.6</v>
      </c>
    </row>
    <row r="299" spans="1:10" x14ac:dyDescent="0.25">
      <c r="A299">
        <v>962</v>
      </c>
      <c r="B299">
        <v>60</v>
      </c>
      <c r="C299" t="s">
        <v>12</v>
      </c>
      <c r="D299" s="3">
        <v>98537</v>
      </c>
      <c r="E299">
        <v>71</v>
      </c>
      <c r="F299">
        <v>9</v>
      </c>
      <c r="G299">
        <v>45</v>
      </c>
      <c r="H299" t="s">
        <v>16</v>
      </c>
      <c r="I299">
        <v>725.67</v>
      </c>
      <c r="J299">
        <v>725.67</v>
      </c>
    </row>
    <row r="300" spans="1:10" x14ac:dyDescent="0.25">
      <c r="A300">
        <v>973</v>
      </c>
      <c r="B300">
        <v>43</v>
      </c>
      <c r="C300" t="s">
        <v>12</v>
      </c>
      <c r="D300" s="3">
        <v>130645</v>
      </c>
      <c r="E300">
        <v>34</v>
      </c>
      <c r="F300">
        <v>10</v>
      </c>
      <c r="G300">
        <v>5</v>
      </c>
      <c r="H300" t="s">
        <v>16</v>
      </c>
      <c r="I300">
        <v>833.69</v>
      </c>
      <c r="J300">
        <v>833.69</v>
      </c>
    </row>
    <row r="301" spans="1:10" x14ac:dyDescent="0.25">
      <c r="A301">
        <v>977</v>
      </c>
      <c r="B301">
        <v>37</v>
      </c>
      <c r="C301" t="s">
        <v>12</v>
      </c>
      <c r="D301" s="3">
        <v>100314</v>
      </c>
      <c r="E301">
        <v>71</v>
      </c>
      <c r="F301">
        <v>5</v>
      </c>
      <c r="G301">
        <v>19</v>
      </c>
      <c r="H301" t="s">
        <v>16</v>
      </c>
      <c r="I301">
        <v>692.74</v>
      </c>
      <c r="J301">
        <v>692.74</v>
      </c>
    </row>
    <row r="302" spans="1:10" x14ac:dyDescent="0.25">
      <c r="A302">
        <v>988</v>
      </c>
      <c r="B302">
        <v>26</v>
      </c>
      <c r="C302" t="s">
        <v>12</v>
      </c>
      <c r="D302" s="3">
        <v>148451</v>
      </c>
      <c r="E302">
        <v>78</v>
      </c>
      <c r="F302">
        <v>5</v>
      </c>
      <c r="G302">
        <v>14</v>
      </c>
      <c r="H302" t="s">
        <v>16</v>
      </c>
      <c r="I302">
        <v>99.19</v>
      </c>
      <c r="J302">
        <v>99.19</v>
      </c>
    </row>
    <row r="303" spans="1:10" x14ac:dyDescent="0.25">
      <c r="A303">
        <v>16</v>
      </c>
      <c r="B303">
        <v>53</v>
      </c>
      <c r="C303" t="s">
        <v>12</v>
      </c>
      <c r="D303" s="3">
        <v>129284</v>
      </c>
      <c r="E303">
        <v>17</v>
      </c>
      <c r="F303">
        <v>6</v>
      </c>
      <c r="G303">
        <v>26</v>
      </c>
      <c r="H303" t="s">
        <v>17</v>
      </c>
      <c r="I303">
        <v>225.4</v>
      </c>
      <c r="J303">
        <v>225.4</v>
      </c>
    </row>
    <row r="304" spans="1:10" x14ac:dyDescent="0.25">
      <c r="A304">
        <v>17</v>
      </c>
      <c r="B304">
        <v>57</v>
      </c>
      <c r="C304" t="s">
        <v>12</v>
      </c>
      <c r="D304" s="3">
        <v>102535</v>
      </c>
      <c r="E304">
        <v>29</v>
      </c>
      <c r="F304">
        <v>5</v>
      </c>
      <c r="G304">
        <v>13</v>
      </c>
      <c r="H304" t="s">
        <v>17</v>
      </c>
      <c r="I304">
        <v>378.47</v>
      </c>
      <c r="J304">
        <v>378.47</v>
      </c>
    </row>
    <row r="305" spans="1:10" x14ac:dyDescent="0.25">
      <c r="A305">
        <v>42</v>
      </c>
      <c r="B305">
        <v>52</v>
      </c>
      <c r="C305" t="s">
        <v>12</v>
      </c>
      <c r="D305" s="3">
        <v>115529</v>
      </c>
      <c r="E305">
        <v>70</v>
      </c>
      <c r="F305">
        <v>2</v>
      </c>
      <c r="G305">
        <v>34</v>
      </c>
      <c r="H305" t="s">
        <v>17</v>
      </c>
      <c r="I305">
        <v>192.66</v>
      </c>
      <c r="J305">
        <v>192.66</v>
      </c>
    </row>
    <row r="306" spans="1:10" x14ac:dyDescent="0.25">
      <c r="A306">
        <v>85</v>
      </c>
      <c r="B306">
        <v>19</v>
      </c>
      <c r="C306" t="s">
        <v>12</v>
      </c>
      <c r="D306" s="3">
        <v>101100</v>
      </c>
      <c r="E306">
        <v>43</v>
      </c>
      <c r="F306">
        <v>3</v>
      </c>
      <c r="G306">
        <v>14</v>
      </c>
      <c r="H306" t="s">
        <v>17</v>
      </c>
      <c r="I306">
        <v>392.36</v>
      </c>
      <c r="J306">
        <v>392.36</v>
      </c>
    </row>
    <row r="307" spans="1:10" x14ac:dyDescent="0.25">
      <c r="A307">
        <v>96</v>
      </c>
      <c r="B307">
        <v>23</v>
      </c>
      <c r="C307" t="s">
        <v>12</v>
      </c>
      <c r="D307" s="3">
        <v>108480</v>
      </c>
      <c r="E307">
        <v>46</v>
      </c>
      <c r="F307">
        <v>10</v>
      </c>
      <c r="G307">
        <v>21</v>
      </c>
      <c r="H307" t="s">
        <v>17</v>
      </c>
      <c r="I307">
        <v>377.31</v>
      </c>
      <c r="J307">
        <v>377.31</v>
      </c>
    </row>
    <row r="308" spans="1:10" x14ac:dyDescent="0.25">
      <c r="A308">
        <v>98</v>
      </c>
      <c r="B308">
        <v>49</v>
      </c>
      <c r="C308" t="s">
        <v>12</v>
      </c>
      <c r="D308" s="3">
        <v>46695</v>
      </c>
      <c r="E308">
        <v>99</v>
      </c>
      <c r="F308">
        <v>9</v>
      </c>
      <c r="G308">
        <v>26</v>
      </c>
      <c r="H308" t="s">
        <v>17</v>
      </c>
      <c r="I308">
        <v>674.7</v>
      </c>
      <c r="J308">
        <v>674.7</v>
      </c>
    </row>
    <row r="309" spans="1:10" x14ac:dyDescent="0.25">
      <c r="A309">
        <v>103</v>
      </c>
      <c r="B309">
        <v>19</v>
      </c>
      <c r="C309" t="s">
        <v>12</v>
      </c>
      <c r="D309" s="3">
        <v>75430</v>
      </c>
      <c r="E309">
        <v>50</v>
      </c>
      <c r="F309">
        <v>7</v>
      </c>
      <c r="G309">
        <v>32</v>
      </c>
      <c r="H309" t="s">
        <v>17</v>
      </c>
      <c r="I309">
        <v>532.51</v>
      </c>
      <c r="J309">
        <v>532.51</v>
      </c>
    </row>
    <row r="310" spans="1:10" x14ac:dyDescent="0.25">
      <c r="A310">
        <v>112</v>
      </c>
      <c r="B310">
        <v>64</v>
      </c>
      <c r="C310" t="s">
        <v>12</v>
      </c>
      <c r="D310" s="3">
        <v>87006</v>
      </c>
      <c r="E310">
        <v>85</v>
      </c>
      <c r="F310">
        <v>7</v>
      </c>
      <c r="G310">
        <v>20</v>
      </c>
      <c r="H310" t="s">
        <v>17</v>
      </c>
      <c r="I310">
        <v>930.73</v>
      </c>
      <c r="J310">
        <v>930.73</v>
      </c>
    </row>
    <row r="311" spans="1:10" x14ac:dyDescent="0.25">
      <c r="A311">
        <v>150</v>
      </c>
      <c r="B311">
        <v>54</v>
      </c>
      <c r="C311" t="s">
        <v>12</v>
      </c>
      <c r="D311" s="3">
        <v>100745</v>
      </c>
      <c r="E311">
        <v>29</v>
      </c>
      <c r="F311">
        <v>6</v>
      </c>
      <c r="G311">
        <v>42</v>
      </c>
      <c r="H311" t="s">
        <v>17</v>
      </c>
      <c r="I311">
        <v>335.15</v>
      </c>
      <c r="J311">
        <v>335.15</v>
      </c>
    </row>
    <row r="312" spans="1:10" x14ac:dyDescent="0.25">
      <c r="A312">
        <v>194</v>
      </c>
      <c r="B312">
        <v>69</v>
      </c>
      <c r="C312" t="s">
        <v>12</v>
      </c>
      <c r="D312" s="3">
        <v>74519</v>
      </c>
      <c r="E312">
        <v>95</v>
      </c>
      <c r="F312">
        <v>10</v>
      </c>
      <c r="G312">
        <v>42</v>
      </c>
      <c r="H312" t="s">
        <v>17</v>
      </c>
      <c r="I312">
        <v>931.51</v>
      </c>
      <c r="J312">
        <v>931.51</v>
      </c>
    </row>
    <row r="313" spans="1:10" x14ac:dyDescent="0.25">
      <c r="A313">
        <v>219</v>
      </c>
      <c r="B313">
        <v>57</v>
      </c>
      <c r="C313" t="s">
        <v>12</v>
      </c>
      <c r="D313" s="3">
        <v>33009</v>
      </c>
      <c r="E313">
        <v>82</v>
      </c>
      <c r="F313">
        <v>9</v>
      </c>
      <c r="G313">
        <v>24</v>
      </c>
      <c r="H313" t="s">
        <v>17</v>
      </c>
      <c r="I313">
        <v>563.64</v>
      </c>
      <c r="J313">
        <v>563.64</v>
      </c>
    </row>
    <row r="314" spans="1:10" x14ac:dyDescent="0.25">
      <c r="A314">
        <v>221</v>
      </c>
      <c r="B314">
        <v>62</v>
      </c>
      <c r="C314" t="s">
        <v>12</v>
      </c>
      <c r="D314" s="3">
        <v>82623</v>
      </c>
      <c r="E314">
        <v>51</v>
      </c>
      <c r="F314">
        <v>8</v>
      </c>
      <c r="G314">
        <v>37</v>
      </c>
      <c r="H314" t="s">
        <v>17</v>
      </c>
      <c r="I314">
        <v>155.13999999999999</v>
      </c>
      <c r="J314">
        <v>155.13999999999999</v>
      </c>
    </row>
    <row r="315" spans="1:10" x14ac:dyDescent="0.25">
      <c r="A315">
        <v>265</v>
      </c>
      <c r="B315">
        <v>63</v>
      </c>
      <c r="C315" t="s">
        <v>12</v>
      </c>
      <c r="D315" s="3">
        <v>142287</v>
      </c>
      <c r="E315">
        <v>77</v>
      </c>
      <c r="F315">
        <v>10</v>
      </c>
      <c r="G315">
        <v>44</v>
      </c>
      <c r="H315" t="s">
        <v>17</v>
      </c>
      <c r="I315">
        <v>785.29</v>
      </c>
      <c r="J315">
        <v>785.29</v>
      </c>
    </row>
    <row r="316" spans="1:10" x14ac:dyDescent="0.25">
      <c r="A316">
        <v>278</v>
      </c>
      <c r="B316">
        <v>63</v>
      </c>
      <c r="C316" t="s">
        <v>12</v>
      </c>
      <c r="D316" s="3">
        <v>48225</v>
      </c>
      <c r="E316">
        <v>24</v>
      </c>
      <c r="F316">
        <v>6</v>
      </c>
      <c r="G316">
        <v>14</v>
      </c>
      <c r="H316" t="s">
        <v>17</v>
      </c>
      <c r="I316">
        <v>764.05</v>
      </c>
      <c r="J316">
        <v>764.05</v>
      </c>
    </row>
    <row r="317" spans="1:10" x14ac:dyDescent="0.25">
      <c r="A317">
        <v>282</v>
      </c>
      <c r="B317">
        <v>34</v>
      </c>
      <c r="C317" t="s">
        <v>12</v>
      </c>
      <c r="D317" s="3">
        <v>68250</v>
      </c>
      <c r="E317">
        <v>9</v>
      </c>
      <c r="F317">
        <v>10</v>
      </c>
      <c r="G317">
        <v>26</v>
      </c>
      <c r="H317" t="s">
        <v>17</v>
      </c>
      <c r="I317">
        <v>835.06</v>
      </c>
      <c r="J317">
        <v>835.06</v>
      </c>
    </row>
    <row r="318" spans="1:10" x14ac:dyDescent="0.25">
      <c r="A318">
        <v>286</v>
      </c>
      <c r="B318">
        <v>51</v>
      </c>
      <c r="C318" t="s">
        <v>12</v>
      </c>
      <c r="D318" s="3">
        <v>124670</v>
      </c>
      <c r="E318">
        <v>66</v>
      </c>
      <c r="F318">
        <v>2</v>
      </c>
      <c r="G318">
        <v>43</v>
      </c>
      <c r="H318" t="s">
        <v>17</v>
      </c>
      <c r="I318">
        <v>184.8</v>
      </c>
      <c r="J318">
        <v>184.8</v>
      </c>
    </row>
    <row r="319" spans="1:10" x14ac:dyDescent="0.25">
      <c r="A319">
        <v>287</v>
      </c>
      <c r="B319">
        <v>31</v>
      </c>
      <c r="C319" t="s">
        <v>12</v>
      </c>
      <c r="D319" s="3">
        <v>119460</v>
      </c>
      <c r="E319">
        <v>69</v>
      </c>
      <c r="F319">
        <v>2</v>
      </c>
      <c r="G319">
        <v>22</v>
      </c>
      <c r="H319" t="s">
        <v>17</v>
      </c>
      <c r="I319">
        <v>486.21</v>
      </c>
      <c r="J319">
        <v>486.21</v>
      </c>
    </row>
    <row r="320" spans="1:10" x14ac:dyDescent="0.25">
      <c r="A320">
        <v>320</v>
      </c>
      <c r="B320">
        <v>34</v>
      </c>
      <c r="C320" t="s">
        <v>12</v>
      </c>
      <c r="D320" s="3">
        <v>31668</v>
      </c>
      <c r="E320">
        <v>43</v>
      </c>
      <c r="F320">
        <v>5</v>
      </c>
      <c r="G320">
        <v>40</v>
      </c>
      <c r="H320" t="s">
        <v>17</v>
      </c>
      <c r="I320">
        <v>117.01</v>
      </c>
      <c r="J320">
        <v>117.01</v>
      </c>
    </row>
    <row r="321" spans="1:10" x14ac:dyDescent="0.25">
      <c r="A321">
        <v>327</v>
      </c>
      <c r="B321">
        <v>50</v>
      </c>
      <c r="C321" t="s">
        <v>12</v>
      </c>
      <c r="D321" s="3">
        <v>36022</v>
      </c>
      <c r="E321">
        <v>11</v>
      </c>
      <c r="F321">
        <v>6</v>
      </c>
      <c r="G321">
        <v>49</v>
      </c>
      <c r="H321" t="s">
        <v>17</v>
      </c>
      <c r="I321">
        <v>801.59</v>
      </c>
      <c r="J321">
        <v>801.59</v>
      </c>
    </row>
    <row r="322" spans="1:10" x14ac:dyDescent="0.25">
      <c r="A322">
        <v>345</v>
      </c>
      <c r="B322">
        <v>33</v>
      </c>
      <c r="C322" t="s">
        <v>12</v>
      </c>
      <c r="D322" s="3">
        <v>112118</v>
      </c>
      <c r="E322">
        <v>27</v>
      </c>
      <c r="F322">
        <v>10</v>
      </c>
      <c r="G322">
        <v>9</v>
      </c>
      <c r="H322" t="s">
        <v>17</v>
      </c>
      <c r="I322">
        <v>535.28</v>
      </c>
      <c r="J322">
        <v>535.28</v>
      </c>
    </row>
    <row r="323" spans="1:10" x14ac:dyDescent="0.25">
      <c r="A323">
        <v>402</v>
      </c>
      <c r="B323">
        <v>63</v>
      </c>
      <c r="C323" t="s">
        <v>12</v>
      </c>
      <c r="D323" s="3">
        <v>149062</v>
      </c>
      <c r="E323">
        <v>66</v>
      </c>
      <c r="F323">
        <v>9</v>
      </c>
      <c r="G323">
        <v>7</v>
      </c>
      <c r="H323" t="s">
        <v>17</v>
      </c>
      <c r="I323">
        <v>441.11</v>
      </c>
      <c r="J323">
        <v>441.11</v>
      </c>
    </row>
    <row r="324" spans="1:10" x14ac:dyDescent="0.25">
      <c r="A324">
        <v>441</v>
      </c>
      <c r="B324">
        <v>46</v>
      </c>
      <c r="C324" t="s">
        <v>12</v>
      </c>
      <c r="D324" s="3">
        <v>68970</v>
      </c>
      <c r="E324">
        <v>50</v>
      </c>
      <c r="F324">
        <v>9</v>
      </c>
      <c r="G324">
        <v>46</v>
      </c>
      <c r="H324" t="s">
        <v>17</v>
      </c>
      <c r="I324">
        <v>392.35</v>
      </c>
      <c r="J324">
        <v>392.35</v>
      </c>
    </row>
    <row r="325" spans="1:10" x14ac:dyDescent="0.25">
      <c r="A325">
        <v>463</v>
      </c>
      <c r="B325">
        <v>53</v>
      </c>
      <c r="C325" t="s">
        <v>12</v>
      </c>
      <c r="D325" s="3">
        <v>37569</v>
      </c>
      <c r="E325">
        <v>18</v>
      </c>
      <c r="F325">
        <v>8</v>
      </c>
      <c r="G325">
        <v>50</v>
      </c>
      <c r="H325" t="s">
        <v>17</v>
      </c>
      <c r="I325">
        <v>634.91999999999996</v>
      </c>
      <c r="J325">
        <v>634.91999999999996</v>
      </c>
    </row>
    <row r="326" spans="1:10" x14ac:dyDescent="0.25">
      <c r="A326">
        <v>468</v>
      </c>
      <c r="B326">
        <v>54</v>
      </c>
      <c r="C326" t="s">
        <v>12</v>
      </c>
      <c r="D326" s="3">
        <v>32276</v>
      </c>
      <c r="E326">
        <v>73</v>
      </c>
      <c r="F326">
        <v>2</v>
      </c>
      <c r="G326">
        <v>44</v>
      </c>
      <c r="H326" t="s">
        <v>17</v>
      </c>
      <c r="I326">
        <v>554.58000000000004</v>
      </c>
      <c r="J326">
        <v>554.58000000000004</v>
      </c>
    </row>
    <row r="327" spans="1:10" x14ac:dyDescent="0.25">
      <c r="A327">
        <v>500</v>
      </c>
      <c r="B327">
        <v>47</v>
      </c>
      <c r="C327" t="s">
        <v>12</v>
      </c>
      <c r="D327" s="3">
        <v>69168</v>
      </c>
      <c r="E327">
        <v>16</v>
      </c>
      <c r="F327">
        <v>7</v>
      </c>
      <c r="G327">
        <v>42</v>
      </c>
      <c r="H327" t="s">
        <v>17</v>
      </c>
      <c r="I327">
        <v>638.96</v>
      </c>
      <c r="J327">
        <v>638.96</v>
      </c>
    </row>
    <row r="328" spans="1:10" x14ac:dyDescent="0.25">
      <c r="A328">
        <v>501</v>
      </c>
      <c r="B328">
        <v>42</v>
      </c>
      <c r="C328" t="s">
        <v>12</v>
      </c>
      <c r="D328" s="3">
        <v>129999</v>
      </c>
      <c r="E328">
        <v>73</v>
      </c>
      <c r="F328">
        <v>5</v>
      </c>
      <c r="G328">
        <v>2</v>
      </c>
      <c r="H328" t="s">
        <v>17</v>
      </c>
      <c r="I328">
        <v>942.97</v>
      </c>
      <c r="J328">
        <v>942.97</v>
      </c>
    </row>
    <row r="329" spans="1:10" x14ac:dyDescent="0.25">
      <c r="A329">
        <v>526</v>
      </c>
      <c r="B329">
        <v>52</v>
      </c>
      <c r="C329" t="s">
        <v>12</v>
      </c>
      <c r="D329" s="3">
        <v>133701</v>
      </c>
      <c r="E329">
        <v>64</v>
      </c>
      <c r="F329">
        <v>1</v>
      </c>
      <c r="G329">
        <v>34</v>
      </c>
      <c r="H329" t="s">
        <v>17</v>
      </c>
      <c r="I329">
        <v>534.25</v>
      </c>
      <c r="J329">
        <v>534.25</v>
      </c>
    </row>
    <row r="330" spans="1:10" x14ac:dyDescent="0.25">
      <c r="A330">
        <v>552</v>
      </c>
      <c r="B330">
        <v>20</v>
      </c>
      <c r="C330" t="s">
        <v>12</v>
      </c>
      <c r="D330" s="3">
        <v>51199</v>
      </c>
      <c r="E330">
        <v>100</v>
      </c>
      <c r="F330">
        <v>5</v>
      </c>
      <c r="G330">
        <v>5</v>
      </c>
      <c r="H330" t="s">
        <v>17</v>
      </c>
      <c r="I330">
        <v>889.83</v>
      </c>
      <c r="J330">
        <v>889.83</v>
      </c>
    </row>
    <row r="331" spans="1:10" x14ac:dyDescent="0.25">
      <c r="A331">
        <v>566</v>
      </c>
      <c r="B331">
        <v>29</v>
      </c>
      <c r="C331" t="s">
        <v>12</v>
      </c>
      <c r="D331" s="3">
        <v>60262</v>
      </c>
      <c r="E331">
        <v>56</v>
      </c>
      <c r="F331">
        <v>4</v>
      </c>
      <c r="G331">
        <v>27</v>
      </c>
      <c r="H331" t="s">
        <v>17</v>
      </c>
      <c r="I331">
        <v>452.32</v>
      </c>
      <c r="J331">
        <v>452.32</v>
      </c>
    </row>
    <row r="332" spans="1:10" x14ac:dyDescent="0.25">
      <c r="A332">
        <v>575</v>
      </c>
      <c r="B332">
        <v>49</v>
      </c>
      <c r="C332" t="s">
        <v>12</v>
      </c>
      <c r="D332" s="3">
        <v>55027</v>
      </c>
      <c r="E332">
        <v>62</v>
      </c>
      <c r="F332">
        <v>2</v>
      </c>
      <c r="G332">
        <v>1</v>
      </c>
      <c r="H332" t="s">
        <v>17</v>
      </c>
      <c r="I332">
        <v>962.9</v>
      </c>
      <c r="J332">
        <v>962.9</v>
      </c>
    </row>
    <row r="333" spans="1:10" x14ac:dyDescent="0.25">
      <c r="A333">
        <v>581</v>
      </c>
      <c r="B333">
        <v>46</v>
      </c>
      <c r="C333" t="s">
        <v>12</v>
      </c>
      <c r="D333" s="3">
        <v>129568</v>
      </c>
      <c r="E333">
        <v>56</v>
      </c>
      <c r="F333">
        <v>10</v>
      </c>
      <c r="G333">
        <v>27</v>
      </c>
      <c r="H333" t="s">
        <v>17</v>
      </c>
      <c r="I333">
        <v>766.26</v>
      </c>
      <c r="J333">
        <v>766.26</v>
      </c>
    </row>
    <row r="334" spans="1:10" x14ac:dyDescent="0.25">
      <c r="A334">
        <v>584</v>
      </c>
      <c r="B334">
        <v>30</v>
      </c>
      <c r="C334" t="s">
        <v>12</v>
      </c>
      <c r="D334" s="3">
        <v>114808</v>
      </c>
      <c r="E334">
        <v>23</v>
      </c>
      <c r="F334">
        <v>9</v>
      </c>
      <c r="G334">
        <v>6</v>
      </c>
      <c r="H334" t="s">
        <v>17</v>
      </c>
      <c r="I334">
        <v>74.08</v>
      </c>
      <c r="J334">
        <v>74.08</v>
      </c>
    </row>
    <row r="335" spans="1:10" x14ac:dyDescent="0.25">
      <c r="A335">
        <v>658</v>
      </c>
      <c r="B335">
        <v>61</v>
      </c>
      <c r="C335" t="s">
        <v>12</v>
      </c>
      <c r="D335" s="3">
        <v>145578</v>
      </c>
      <c r="E335">
        <v>79</v>
      </c>
      <c r="F335">
        <v>2</v>
      </c>
      <c r="G335">
        <v>34</v>
      </c>
      <c r="H335" t="s">
        <v>17</v>
      </c>
      <c r="I335">
        <v>762.06</v>
      </c>
      <c r="J335">
        <v>762.06</v>
      </c>
    </row>
    <row r="336" spans="1:10" x14ac:dyDescent="0.25">
      <c r="A336">
        <v>669</v>
      </c>
      <c r="B336">
        <v>52</v>
      </c>
      <c r="C336" t="s">
        <v>12</v>
      </c>
      <c r="D336" s="3">
        <v>87717</v>
      </c>
      <c r="E336">
        <v>79</v>
      </c>
      <c r="F336">
        <v>6</v>
      </c>
      <c r="G336">
        <v>44</v>
      </c>
      <c r="H336" t="s">
        <v>17</v>
      </c>
      <c r="I336">
        <v>95.17</v>
      </c>
      <c r="J336">
        <v>95.17</v>
      </c>
    </row>
    <row r="337" spans="1:10" x14ac:dyDescent="0.25">
      <c r="A337">
        <v>684</v>
      </c>
      <c r="B337">
        <v>42</v>
      </c>
      <c r="C337" t="s">
        <v>12</v>
      </c>
      <c r="D337" s="3">
        <v>56378</v>
      </c>
      <c r="E337">
        <v>8</v>
      </c>
      <c r="F337">
        <v>9</v>
      </c>
      <c r="G337">
        <v>18</v>
      </c>
      <c r="H337" t="s">
        <v>17</v>
      </c>
      <c r="I337">
        <v>880.45</v>
      </c>
      <c r="J337">
        <v>880.45</v>
      </c>
    </row>
    <row r="338" spans="1:10" x14ac:dyDescent="0.25">
      <c r="A338">
        <v>686</v>
      </c>
      <c r="B338">
        <v>30</v>
      </c>
      <c r="C338" t="s">
        <v>12</v>
      </c>
      <c r="D338" s="3">
        <v>115674</v>
      </c>
      <c r="E338">
        <v>78</v>
      </c>
      <c r="F338">
        <v>2</v>
      </c>
      <c r="G338">
        <v>48</v>
      </c>
      <c r="H338" t="s">
        <v>17</v>
      </c>
      <c r="I338">
        <v>621.73</v>
      </c>
      <c r="J338">
        <v>621.73</v>
      </c>
    </row>
    <row r="339" spans="1:10" x14ac:dyDescent="0.25">
      <c r="A339">
        <v>705</v>
      </c>
      <c r="B339">
        <v>42</v>
      </c>
      <c r="C339" t="s">
        <v>12</v>
      </c>
      <c r="D339" s="3">
        <v>49140</v>
      </c>
      <c r="E339">
        <v>23</v>
      </c>
      <c r="F339">
        <v>9</v>
      </c>
      <c r="G339">
        <v>35</v>
      </c>
      <c r="H339" t="s">
        <v>17</v>
      </c>
      <c r="I339">
        <v>400.23</v>
      </c>
      <c r="J339">
        <v>400.23</v>
      </c>
    </row>
    <row r="340" spans="1:10" x14ac:dyDescent="0.25">
      <c r="A340">
        <v>708</v>
      </c>
      <c r="B340">
        <v>68</v>
      </c>
      <c r="C340" t="s">
        <v>12</v>
      </c>
      <c r="D340" s="3">
        <v>47482</v>
      </c>
      <c r="E340">
        <v>100</v>
      </c>
      <c r="F340">
        <v>9</v>
      </c>
      <c r="G340">
        <v>49</v>
      </c>
      <c r="H340" t="s">
        <v>17</v>
      </c>
      <c r="I340">
        <v>170.56</v>
      </c>
      <c r="J340">
        <v>170.56</v>
      </c>
    </row>
    <row r="341" spans="1:10" x14ac:dyDescent="0.25">
      <c r="A341">
        <v>717</v>
      </c>
      <c r="B341">
        <v>47</v>
      </c>
      <c r="C341" t="s">
        <v>12</v>
      </c>
      <c r="D341" s="3">
        <v>136278</v>
      </c>
      <c r="E341">
        <v>76</v>
      </c>
      <c r="F341">
        <v>10</v>
      </c>
      <c r="G341">
        <v>48</v>
      </c>
      <c r="H341" t="s">
        <v>17</v>
      </c>
      <c r="I341">
        <v>233.64</v>
      </c>
      <c r="J341">
        <v>233.64</v>
      </c>
    </row>
    <row r="342" spans="1:10" x14ac:dyDescent="0.25">
      <c r="A342">
        <v>737</v>
      </c>
      <c r="B342">
        <v>28</v>
      </c>
      <c r="C342" t="s">
        <v>12</v>
      </c>
      <c r="D342" s="3">
        <v>104971</v>
      </c>
      <c r="E342">
        <v>74</v>
      </c>
      <c r="F342">
        <v>4</v>
      </c>
      <c r="G342">
        <v>10</v>
      </c>
      <c r="H342" t="s">
        <v>17</v>
      </c>
      <c r="I342">
        <v>297.17</v>
      </c>
      <c r="J342">
        <v>297.17</v>
      </c>
    </row>
    <row r="343" spans="1:10" x14ac:dyDescent="0.25">
      <c r="A343">
        <v>755</v>
      </c>
      <c r="B343">
        <v>61</v>
      </c>
      <c r="C343" t="s">
        <v>12</v>
      </c>
      <c r="D343" s="3">
        <v>59583</v>
      </c>
      <c r="E343">
        <v>11</v>
      </c>
      <c r="F343">
        <v>8</v>
      </c>
      <c r="G343">
        <v>27</v>
      </c>
      <c r="H343" t="s">
        <v>17</v>
      </c>
      <c r="I343">
        <v>744.56</v>
      </c>
      <c r="J343">
        <v>744.56</v>
      </c>
    </row>
    <row r="344" spans="1:10" x14ac:dyDescent="0.25">
      <c r="A344">
        <v>799</v>
      </c>
      <c r="B344">
        <v>25</v>
      </c>
      <c r="C344" t="s">
        <v>12</v>
      </c>
      <c r="D344" s="3">
        <v>107042</v>
      </c>
      <c r="E344">
        <v>27</v>
      </c>
      <c r="F344">
        <v>1</v>
      </c>
      <c r="G344">
        <v>32</v>
      </c>
      <c r="H344" t="s">
        <v>17</v>
      </c>
      <c r="I344">
        <v>648.79</v>
      </c>
      <c r="J344">
        <v>648.79</v>
      </c>
    </row>
    <row r="345" spans="1:10" x14ac:dyDescent="0.25">
      <c r="A345">
        <v>807</v>
      </c>
      <c r="B345">
        <v>24</v>
      </c>
      <c r="C345" t="s">
        <v>12</v>
      </c>
      <c r="D345" s="3">
        <v>68172</v>
      </c>
      <c r="E345">
        <v>6</v>
      </c>
      <c r="F345">
        <v>1</v>
      </c>
      <c r="G345">
        <v>28</v>
      </c>
      <c r="H345" t="s">
        <v>17</v>
      </c>
      <c r="I345">
        <v>445.3</v>
      </c>
      <c r="J345">
        <v>445.3</v>
      </c>
    </row>
    <row r="346" spans="1:10" x14ac:dyDescent="0.25">
      <c r="A346">
        <v>834</v>
      </c>
      <c r="B346">
        <v>38</v>
      </c>
      <c r="C346" t="s">
        <v>12</v>
      </c>
      <c r="D346" s="3">
        <v>101111</v>
      </c>
      <c r="E346">
        <v>98</v>
      </c>
      <c r="F346">
        <v>8</v>
      </c>
      <c r="G346">
        <v>35</v>
      </c>
      <c r="H346" t="s">
        <v>17</v>
      </c>
      <c r="I346">
        <v>738.01</v>
      </c>
      <c r="J346">
        <v>738.01</v>
      </c>
    </row>
    <row r="347" spans="1:10" x14ac:dyDescent="0.25">
      <c r="A347">
        <v>841</v>
      </c>
      <c r="B347">
        <v>40</v>
      </c>
      <c r="C347" t="s">
        <v>12</v>
      </c>
      <c r="D347" s="3">
        <v>125996</v>
      </c>
      <c r="E347">
        <v>64</v>
      </c>
      <c r="F347">
        <v>6</v>
      </c>
      <c r="G347">
        <v>15</v>
      </c>
      <c r="H347" t="s">
        <v>17</v>
      </c>
      <c r="I347">
        <v>583.95000000000005</v>
      </c>
      <c r="J347">
        <v>583.95000000000005</v>
      </c>
    </row>
    <row r="348" spans="1:10" x14ac:dyDescent="0.25">
      <c r="A348">
        <v>858</v>
      </c>
      <c r="B348">
        <v>67</v>
      </c>
      <c r="C348" t="s">
        <v>12</v>
      </c>
      <c r="D348" s="3">
        <v>115470</v>
      </c>
      <c r="E348">
        <v>56</v>
      </c>
      <c r="F348">
        <v>4</v>
      </c>
      <c r="G348">
        <v>6</v>
      </c>
      <c r="H348" t="s">
        <v>17</v>
      </c>
      <c r="I348">
        <v>151.74</v>
      </c>
      <c r="J348">
        <v>151.74</v>
      </c>
    </row>
    <row r="349" spans="1:10" x14ac:dyDescent="0.25">
      <c r="A349">
        <v>862</v>
      </c>
      <c r="B349">
        <v>20</v>
      </c>
      <c r="C349" t="s">
        <v>12</v>
      </c>
      <c r="D349" s="3">
        <v>79899</v>
      </c>
      <c r="E349">
        <v>64</v>
      </c>
      <c r="F349">
        <v>7</v>
      </c>
      <c r="G349">
        <v>46</v>
      </c>
      <c r="H349" t="s">
        <v>17</v>
      </c>
      <c r="I349">
        <v>129.9</v>
      </c>
      <c r="J349">
        <v>129.9</v>
      </c>
    </row>
    <row r="350" spans="1:10" x14ac:dyDescent="0.25">
      <c r="A350">
        <v>882</v>
      </c>
      <c r="B350">
        <v>61</v>
      </c>
      <c r="C350" t="s">
        <v>12</v>
      </c>
      <c r="D350" s="3">
        <v>49557</v>
      </c>
      <c r="E350">
        <v>22</v>
      </c>
      <c r="F350">
        <v>6</v>
      </c>
      <c r="G350">
        <v>12</v>
      </c>
      <c r="H350" t="s">
        <v>17</v>
      </c>
      <c r="I350">
        <v>678.13</v>
      </c>
      <c r="J350">
        <v>678.13</v>
      </c>
    </row>
    <row r="351" spans="1:10" x14ac:dyDescent="0.25">
      <c r="A351">
        <v>912</v>
      </c>
      <c r="B351">
        <v>54</v>
      </c>
      <c r="C351" t="s">
        <v>12</v>
      </c>
      <c r="D351" s="3">
        <v>69676</v>
      </c>
      <c r="E351">
        <v>9</v>
      </c>
      <c r="F351">
        <v>7</v>
      </c>
      <c r="G351">
        <v>30</v>
      </c>
      <c r="H351" t="s">
        <v>17</v>
      </c>
      <c r="I351">
        <v>932.68</v>
      </c>
      <c r="J351">
        <v>932.68</v>
      </c>
    </row>
    <row r="352" spans="1:10" x14ac:dyDescent="0.25">
      <c r="A352">
        <v>922</v>
      </c>
      <c r="B352">
        <v>58</v>
      </c>
      <c r="C352" t="s">
        <v>12</v>
      </c>
      <c r="D352" s="3">
        <v>105157</v>
      </c>
      <c r="E352">
        <v>51</v>
      </c>
      <c r="F352">
        <v>3</v>
      </c>
      <c r="G352">
        <v>27</v>
      </c>
      <c r="H352" t="s">
        <v>17</v>
      </c>
      <c r="I352">
        <v>344.39</v>
      </c>
      <c r="J352">
        <v>344.39</v>
      </c>
    </row>
    <row r="353" spans="1:10" x14ac:dyDescent="0.25">
      <c r="A353">
        <v>928</v>
      </c>
      <c r="B353">
        <v>28</v>
      </c>
      <c r="C353" t="s">
        <v>12</v>
      </c>
      <c r="D353" s="3">
        <v>134592</v>
      </c>
      <c r="E353">
        <v>43</v>
      </c>
      <c r="F353">
        <v>10</v>
      </c>
      <c r="G353">
        <v>25</v>
      </c>
      <c r="H353" t="s">
        <v>17</v>
      </c>
      <c r="I353">
        <v>557.04</v>
      </c>
      <c r="J353">
        <v>557.04</v>
      </c>
    </row>
    <row r="354" spans="1:10" x14ac:dyDescent="0.25">
      <c r="A354">
        <v>941</v>
      </c>
      <c r="B354">
        <v>54</v>
      </c>
      <c r="C354" t="s">
        <v>12</v>
      </c>
      <c r="D354" s="3">
        <v>33706</v>
      </c>
      <c r="E354">
        <v>64</v>
      </c>
      <c r="F354">
        <v>9</v>
      </c>
      <c r="G354">
        <v>1</v>
      </c>
      <c r="H354" t="s">
        <v>17</v>
      </c>
      <c r="I354">
        <v>371.93</v>
      </c>
      <c r="J354">
        <v>371.93</v>
      </c>
    </row>
    <row r="355" spans="1:10" x14ac:dyDescent="0.25">
      <c r="A355">
        <v>945</v>
      </c>
      <c r="B355">
        <v>65</v>
      </c>
      <c r="C355" t="s">
        <v>12</v>
      </c>
      <c r="D355" s="3">
        <v>42779</v>
      </c>
      <c r="E355">
        <v>81</v>
      </c>
      <c r="F355">
        <v>5</v>
      </c>
      <c r="G355">
        <v>38</v>
      </c>
      <c r="H355" t="s">
        <v>17</v>
      </c>
      <c r="I355">
        <v>594.91999999999996</v>
      </c>
      <c r="J355">
        <v>594.91999999999996</v>
      </c>
    </row>
    <row r="356" spans="1:10" x14ac:dyDescent="0.25">
      <c r="A356">
        <v>972</v>
      </c>
      <c r="B356">
        <v>41</v>
      </c>
      <c r="C356" t="s">
        <v>12</v>
      </c>
      <c r="D356" s="3">
        <v>120294</v>
      </c>
      <c r="E356">
        <v>79</v>
      </c>
      <c r="F356">
        <v>5</v>
      </c>
      <c r="G356">
        <v>44</v>
      </c>
      <c r="H356" t="s">
        <v>17</v>
      </c>
      <c r="I356">
        <v>942.03</v>
      </c>
      <c r="J356">
        <v>942.03</v>
      </c>
    </row>
    <row r="357" spans="1:10" x14ac:dyDescent="0.25">
      <c r="A357">
        <v>995</v>
      </c>
      <c r="B357">
        <v>60</v>
      </c>
      <c r="C357" t="s">
        <v>12</v>
      </c>
      <c r="D357" s="3">
        <v>71923</v>
      </c>
      <c r="E357">
        <v>25</v>
      </c>
      <c r="F357">
        <v>2</v>
      </c>
      <c r="G357">
        <v>40</v>
      </c>
      <c r="H357" t="s">
        <v>17</v>
      </c>
      <c r="I357">
        <v>986.97</v>
      </c>
      <c r="J357">
        <v>986.97</v>
      </c>
    </row>
    <row r="358" spans="1:10" x14ac:dyDescent="0.25">
      <c r="A358">
        <v>996</v>
      </c>
      <c r="B358">
        <v>57</v>
      </c>
      <c r="C358" t="s">
        <v>12</v>
      </c>
      <c r="D358" s="3">
        <v>112170</v>
      </c>
      <c r="E358">
        <v>57</v>
      </c>
      <c r="F358">
        <v>6</v>
      </c>
      <c r="G358">
        <v>1</v>
      </c>
      <c r="H358" t="s">
        <v>17</v>
      </c>
      <c r="I358">
        <v>313.64</v>
      </c>
      <c r="J358">
        <v>313.64</v>
      </c>
    </row>
    <row r="359" spans="1:10" x14ac:dyDescent="0.25">
      <c r="A359">
        <v>4</v>
      </c>
      <c r="B359">
        <v>40</v>
      </c>
      <c r="C359" t="s">
        <v>45</v>
      </c>
      <c r="D359" s="3">
        <v>47099</v>
      </c>
      <c r="E359">
        <v>74</v>
      </c>
      <c r="F359">
        <v>9</v>
      </c>
      <c r="G359">
        <v>5</v>
      </c>
      <c r="H359" t="s">
        <v>13</v>
      </c>
      <c r="I359">
        <v>991.93</v>
      </c>
      <c r="J359">
        <v>991.93</v>
      </c>
    </row>
    <row r="360" spans="1:10" x14ac:dyDescent="0.25">
      <c r="A360">
        <v>6</v>
      </c>
      <c r="B360">
        <v>31</v>
      </c>
      <c r="C360" t="s">
        <v>45</v>
      </c>
      <c r="D360" s="3">
        <v>57305</v>
      </c>
      <c r="E360">
        <v>24</v>
      </c>
      <c r="F360">
        <v>3</v>
      </c>
      <c r="G360">
        <v>30</v>
      </c>
      <c r="H360" t="s">
        <v>13</v>
      </c>
      <c r="I360">
        <v>86.85</v>
      </c>
      <c r="J360">
        <v>86.85</v>
      </c>
    </row>
    <row r="361" spans="1:10" x14ac:dyDescent="0.25">
      <c r="A361">
        <v>7</v>
      </c>
      <c r="B361">
        <v>19</v>
      </c>
      <c r="C361" t="s">
        <v>45</v>
      </c>
      <c r="D361" s="3">
        <v>54319</v>
      </c>
      <c r="E361">
        <v>68</v>
      </c>
      <c r="F361">
        <v>5</v>
      </c>
      <c r="G361">
        <v>43</v>
      </c>
      <c r="H361" t="s">
        <v>17</v>
      </c>
      <c r="I361">
        <v>191.72</v>
      </c>
      <c r="J361">
        <v>191.72</v>
      </c>
    </row>
    <row r="362" spans="1:10" x14ac:dyDescent="0.25">
      <c r="A362">
        <v>11</v>
      </c>
      <c r="B362">
        <v>23</v>
      </c>
      <c r="C362" t="s">
        <v>45</v>
      </c>
      <c r="D362" s="3">
        <v>69659</v>
      </c>
      <c r="E362">
        <v>16</v>
      </c>
      <c r="F362">
        <v>7</v>
      </c>
      <c r="G362">
        <v>24</v>
      </c>
      <c r="H362" t="s">
        <v>17</v>
      </c>
      <c r="I362">
        <v>434.97</v>
      </c>
      <c r="J362">
        <v>434.97</v>
      </c>
    </row>
    <row r="363" spans="1:10" x14ac:dyDescent="0.25">
      <c r="A363">
        <v>12</v>
      </c>
      <c r="B363">
        <v>68</v>
      </c>
      <c r="C363" t="s">
        <v>45</v>
      </c>
      <c r="D363" s="3">
        <v>30058</v>
      </c>
      <c r="E363">
        <v>91</v>
      </c>
      <c r="F363">
        <v>1</v>
      </c>
      <c r="G363">
        <v>49</v>
      </c>
      <c r="H363" t="s">
        <v>16</v>
      </c>
      <c r="I363">
        <v>889.94</v>
      </c>
      <c r="J363">
        <v>889.94</v>
      </c>
    </row>
    <row r="364" spans="1:10" x14ac:dyDescent="0.25">
      <c r="A364">
        <v>24</v>
      </c>
      <c r="B364">
        <v>41</v>
      </c>
      <c r="C364" t="s">
        <v>45</v>
      </c>
      <c r="D364" s="3">
        <v>81758</v>
      </c>
      <c r="E364">
        <v>87</v>
      </c>
      <c r="F364">
        <v>7</v>
      </c>
      <c r="G364">
        <v>9</v>
      </c>
      <c r="H364" t="s">
        <v>17</v>
      </c>
      <c r="I364">
        <v>482.2</v>
      </c>
      <c r="J364">
        <v>482.2</v>
      </c>
    </row>
    <row r="365" spans="1:10" x14ac:dyDescent="0.25">
      <c r="A365">
        <v>26</v>
      </c>
      <c r="B365">
        <v>33</v>
      </c>
      <c r="C365" t="s">
        <v>45</v>
      </c>
      <c r="D365" s="3">
        <v>141757</v>
      </c>
      <c r="E365">
        <v>60</v>
      </c>
      <c r="F365">
        <v>10</v>
      </c>
      <c r="G365">
        <v>39</v>
      </c>
      <c r="H365" t="s">
        <v>16</v>
      </c>
      <c r="I365">
        <v>83.27</v>
      </c>
      <c r="J365">
        <v>83.27</v>
      </c>
    </row>
    <row r="366" spans="1:10" x14ac:dyDescent="0.25">
      <c r="A366">
        <v>31</v>
      </c>
      <c r="B366">
        <v>36</v>
      </c>
      <c r="C366" t="s">
        <v>45</v>
      </c>
      <c r="D366" s="3">
        <v>76756</v>
      </c>
      <c r="E366">
        <v>16</v>
      </c>
      <c r="F366">
        <v>8</v>
      </c>
      <c r="G366">
        <v>27</v>
      </c>
      <c r="H366" t="s">
        <v>17</v>
      </c>
      <c r="I366">
        <v>970.06</v>
      </c>
      <c r="J366">
        <v>970.06</v>
      </c>
    </row>
    <row r="367" spans="1:10" x14ac:dyDescent="0.25">
      <c r="A367">
        <v>34</v>
      </c>
      <c r="B367">
        <v>44</v>
      </c>
      <c r="C367" t="s">
        <v>45</v>
      </c>
      <c r="D367" s="3">
        <v>86593</v>
      </c>
      <c r="E367">
        <v>89</v>
      </c>
      <c r="F367">
        <v>4</v>
      </c>
      <c r="G367">
        <v>37</v>
      </c>
      <c r="H367" t="s">
        <v>16</v>
      </c>
      <c r="I367">
        <v>76.95</v>
      </c>
      <c r="J367">
        <v>76.95</v>
      </c>
    </row>
    <row r="368" spans="1:10" x14ac:dyDescent="0.25">
      <c r="A368">
        <v>44</v>
      </c>
      <c r="B368">
        <v>28</v>
      </c>
      <c r="C368" t="s">
        <v>45</v>
      </c>
      <c r="D368" s="3">
        <v>62405</v>
      </c>
      <c r="E368">
        <v>79</v>
      </c>
      <c r="F368">
        <v>5</v>
      </c>
      <c r="G368">
        <v>50</v>
      </c>
      <c r="H368" t="s">
        <v>13</v>
      </c>
      <c r="I368">
        <v>956.73</v>
      </c>
      <c r="J368">
        <v>956.73</v>
      </c>
    </row>
    <row r="369" spans="1:10" x14ac:dyDescent="0.25">
      <c r="A369">
        <v>46</v>
      </c>
      <c r="B369">
        <v>49</v>
      </c>
      <c r="C369" t="s">
        <v>45</v>
      </c>
      <c r="D369" s="3">
        <v>94531</v>
      </c>
      <c r="E369">
        <v>28</v>
      </c>
      <c r="F369">
        <v>5</v>
      </c>
      <c r="G369">
        <v>42</v>
      </c>
      <c r="H369" t="s">
        <v>17</v>
      </c>
      <c r="I369">
        <v>214.93</v>
      </c>
      <c r="J369">
        <v>214.93</v>
      </c>
    </row>
    <row r="370" spans="1:10" x14ac:dyDescent="0.25">
      <c r="A370">
        <v>53</v>
      </c>
      <c r="B370">
        <v>45</v>
      </c>
      <c r="C370" t="s">
        <v>45</v>
      </c>
      <c r="D370" s="3">
        <v>134241</v>
      </c>
      <c r="E370">
        <v>73</v>
      </c>
      <c r="F370">
        <v>9</v>
      </c>
      <c r="G370">
        <v>16</v>
      </c>
      <c r="H370" t="s">
        <v>16</v>
      </c>
      <c r="I370">
        <v>893.44</v>
      </c>
      <c r="J370">
        <v>893.44</v>
      </c>
    </row>
    <row r="371" spans="1:10" x14ac:dyDescent="0.25">
      <c r="A371">
        <v>62</v>
      </c>
      <c r="B371">
        <v>30</v>
      </c>
      <c r="C371" t="s">
        <v>45</v>
      </c>
      <c r="D371" s="3">
        <v>89149</v>
      </c>
      <c r="E371">
        <v>87</v>
      </c>
      <c r="F371">
        <v>10</v>
      </c>
      <c r="G371">
        <v>36</v>
      </c>
      <c r="H371" t="s">
        <v>17</v>
      </c>
      <c r="I371">
        <v>174.41</v>
      </c>
      <c r="J371">
        <v>174.41</v>
      </c>
    </row>
    <row r="372" spans="1:10" x14ac:dyDescent="0.25">
      <c r="A372">
        <v>72</v>
      </c>
      <c r="B372">
        <v>58</v>
      </c>
      <c r="C372" t="s">
        <v>45</v>
      </c>
      <c r="D372" s="3">
        <v>56120</v>
      </c>
      <c r="E372">
        <v>30</v>
      </c>
      <c r="F372">
        <v>3</v>
      </c>
      <c r="G372">
        <v>50</v>
      </c>
      <c r="H372" t="s">
        <v>16</v>
      </c>
      <c r="I372">
        <v>880.23</v>
      </c>
      <c r="J372">
        <v>880.23</v>
      </c>
    </row>
    <row r="373" spans="1:10" x14ac:dyDescent="0.25">
      <c r="A373">
        <v>75</v>
      </c>
      <c r="B373">
        <v>58</v>
      </c>
      <c r="C373" t="s">
        <v>45</v>
      </c>
      <c r="D373" s="3">
        <v>143037</v>
      </c>
      <c r="E373">
        <v>56</v>
      </c>
      <c r="F373">
        <v>8</v>
      </c>
      <c r="G373">
        <v>42</v>
      </c>
      <c r="H373" t="s">
        <v>16</v>
      </c>
      <c r="I373">
        <v>57.57</v>
      </c>
      <c r="J373">
        <v>57.57</v>
      </c>
    </row>
    <row r="374" spans="1:10" x14ac:dyDescent="0.25">
      <c r="A374">
        <v>78</v>
      </c>
      <c r="B374">
        <v>32</v>
      </c>
      <c r="C374" t="s">
        <v>45</v>
      </c>
      <c r="D374" s="3">
        <v>44048</v>
      </c>
      <c r="E374">
        <v>20</v>
      </c>
      <c r="F374">
        <v>7</v>
      </c>
      <c r="G374">
        <v>10</v>
      </c>
      <c r="H374" t="s">
        <v>17</v>
      </c>
      <c r="I374">
        <v>41.55</v>
      </c>
      <c r="J374">
        <v>41.55</v>
      </c>
    </row>
    <row r="375" spans="1:10" x14ac:dyDescent="0.25">
      <c r="A375">
        <v>79</v>
      </c>
      <c r="B375">
        <v>30</v>
      </c>
      <c r="C375" t="s">
        <v>45</v>
      </c>
      <c r="D375" s="3">
        <v>95501</v>
      </c>
      <c r="E375">
        <v>27</v>
      </c>
      <c r="F375">
        <v>3</v>
      </c>
      <c r="G375">
        <v>14</v>
      </c>
      <c r="H375" t="s">
        <v>16</v>
      </c>
      <c r="I375">
        <v>476.25</v>
      </c>
      <c r="J375">
        <v>476.25</v>
      </c>
    </row>
    <row r="376" spans="1:10" x14ac:dyDescent="0.25">
      <c r="A376">
        <v>86</v>
      </c>
      <c r="B376">
        <v>31</v>
      </c>
      <c r="C376" t="s">
        <v>45</v>
      </c>
      <c r="D376" s="3">
        <v>61849</v>
      </c>
      <c r="E376">
        <v>24</v>
      </c>
      <c r="F376">
        <v>6</v>
      </c>
      <c r="G376">
        <v>31</v>
      </c>
      <c r="H376" t="s">
        <v>13</v>
      </c>
      <c r="I376">
        <v>120.8</v>
      </c>
      <c r="J376">
        <v>120.8</v>
      </c>
    </row>
    <row r="377" spans="1:10" x14ac:dyDescent="0.25">
      <c r="A377">
        <v>89</v>
      </c>
      <c r="B377">
        <v>18</v>
      </c>
      <c r="C377" t="s">
        <v>45</v>
      </c>
      <c r="D377" s="3">
        <v>105470</v>
      </c>
      <c r="E377">
        <v>8</v>
      </c>
      <c r="F377">
        <v>7</v>
      </c>
      <c r="G377">
        <v>4</v>
      </c>
      <c r="H377" t="s">
        <v>17</v>
      </c>
      <c r="I377">
        <v>746.18</v>
      </c>
      <c r="J377">
        <v>746.18</v>
      </c>
    </row>
    <row r="378" spans="1:10" x14ac:dyDescent="0.25">
      <c r="A378">
        <v>90</v>
      </c>
      <c r="B378">
        <v>45</v>
      </c>
      <c r="C378" t="s">
        <v>45</v>
      </c>
      <c r="D378" s="3">
        <v>63381</v>
      </c>
      <c r="E378">
        <v>80</v>
      </c>
      <c r="F378">
        <v>4</v>
      </c>
      <c r="G378">
        <v>8</v>
      </c>
      <c r="H378" t="s">
        <v>13</v>
      </c>
      <c r="I378">
        <v>754.24</v>
      </c>
      <c r="J378">
        <v>754.24</v>
      </c>
    </row>
    <row r="379" spans="1:10" x14ac:dyDescent="0.25">
      <c r="A379">
        <v>91</v>
      </c>
      <c r="B379">
        <v>32</v>
      </c>
      <c r="C379" t="s">
        <v>45</v>
      </c>
      <c r="D379" s="3">
        <v>92089</v>
      </c>
      <c r="E379">
        <v>16</v>
      </c>
      <c r="F379">
        <v>1</v>
      </c>
      <c r="G379">
        <v>47</v>
      </c>
      <c r="H379" t="s">
        <v>13</v>
      </c>
      <c r="I379">
        <v>209.86</v>
      </c>
      <c r="J379">
        <v>209.86</v>
      </c>
    </row>
    <row r="380" spans="1:10" x14ac:dyDescent="0.25">
      <c r="A380">
        <v>92</v>
      </c>
      <c r="B380">
        <v>39</v>
      </c>
      <c r="C380" t="s">
        <v>45</v>
      </c>
      <c r="D380" s="3">
        <v>104031</v>
      </c>
      <c r="E380">
        <v>67</v>
      </c>
      <c r="F380">
        <v>6</v>
      </c>
      <c r="G380">
        <v>28</v>
      </c>
      <c r="H380" t="s">
        <v>13</v>
      </c>
      <c r="I380">
        <v>930.36</v>
      </c>
      <c r="J380">
        <v>930.36</v>
      </c>
    </row>
    <row r="381" spans="1:10" x14ac:dyDescent="0.25">
      <c r="A381">
        <v>94</v>
      </c>
      <c r="B381">
        <v>46</v>
      </c>
      <c r="C381" t="s">
        <v>45</v>
      </c>
      <c r="D381" s="3">
        <v>113116</v>
      </c>
      <c r="E381">
        <v>7</v>
      </c>
      <c r="F381">
        <v>10</v>
      </c>
      <c r="G381">
        <v>13</v>
      </c>
      <c r="H381" t="s">
        <v>17</v>
      </c>
      <c r="I381">
        <v>190.55</v>
      </c>
      <c r="J381">
        <v>190.55</v>
      </c>
    </row>
    <row r="382" spans="1:10" x14ac:dyDescent="0.25">
      <c r="A382">
        <v>105</v>
      </c>
      <c r="B382">
        <v>20</v>
      </c>
      <c r="C382" t="s">
        <v>45</v>
      </c>
      <c r="D382" s="3">
        <v>34982</v>
      </c>
      <c r="E382">
        <v>7</v>
      </c>
      <c r="F382">
        <v>2</v>
      </c>
      <c r="G382">
        <v>45</v>
      </c>
      <c r="H382" t="s">
        <v>17</v>
      </c>
      <c r="I382">
        <v>597.15</v>
      </c>
      <c r="J382">
        <v>597.15</v>
      </c>
    </row>
    <row r="383" spans="1:10" x14ac:dyDescent="0.25">
      <c r="A383">
        <v>125</v>
      </c>
      <c r="B383">
        <v>66</v>
      </c>
      <c r="C383" t="s">
        <v>45</v>
      </c>
      <c r="D383" s="3">
        <v>69362</v>
      </c>
      <c r="E383">
        <v>58</v>
      </c>
      <c r="F383">
        <v>1</v>
      </c>
      <c r="G383">
        <v>23</v>
      </c>
      <c r="H383" t="s">
        <v>17</v>
      </c>
      <c r="I383">
        <v>960.08</v>
      </c>
      <c r="J383">
        <v>960.08</v>
      </c>
    </row>
    <row r="384" spans="1:10" x14ac:dyDescent="0.25">
      <c r="A384">
        <v>133</v>
      </c>
      <c r="B384">
        <v>25</v>
      </c>
      <c r="C384" t="s">
        <v>45</v>
      </c>
      <c r="D384" s="3">
        <v>94016</v>
      </c>
      <c r="E384">
        <v>85</v>
      </c>
      <c r="F384">
        <v>8</v>
      </c>
      <c r="G384">
        <v>49</v>
      </c>
      <c r="H384" t="s">
        <v>16</v>
      </c>
      <c r="I384">
        <v>764.28</v>
      </c>
      <c r="J384">
        <v>764.28</v>
      </c>
    </row>
    <row r="385" spans="1:10" x14ac:dyDescent="0.25">
      <c r="A385">
        <v>143</v>
      </c>
      <c r="B385">
        <v>55</v>
      </c>
      <c r="C385" t="s">
        <v>45</v>
      </c>
      <c r="D385" s="3">
        <v>101084</v>
      </c>
      <c r="E385">
        <v>73</v>
      </c>
      <c r="F385">
        <v>9</v>
      </c>
      <c r="G385">
        <v>24</v>
      </c>
      <c r="H385" t="s">
        <v>16</v>
      </c>
      <c r="I385">
        <v>624.80999999999995</v>
      </c>
      <c r="J385">
        <v>624.80999999999995</v>
      </c>
    </row>
    <row r="386" spans="1:10" x14ac:dyDescent="0.25">
      <c r="A386">
        <v>149</v>
      </c>
      <c r="B386">
        <v>34</v>
      </c>
      <c r="C386" t="s">
        <v>45</v>
      </c>
      <c r="D386" s="3">
        <v>79949</v>
      </c>
      <c r="E386">
        <v>89</v>
      </c>
      <c r="F386">
        <v>3</v>
      </c>
      <c r="G386">
        <v>19</v>
      </c>
      <c r="H386" t="s">
        <v>16</v>
      </c>
      <c r="I386">
        <v>273.33999999999997</v>
      </c>
      <c r="J386">
        <v>273.33999999999997</v>
      </c>
    </row>
    <row r="387" spans="1:10" x14ac:dyDescent="0.25">
      <c r="A387">
        <v>158</v>
      </c>
      <c r="B387">
        <v>61</v>
      </c>
      <c r="C387" t="s">
        <v>45</v>
      </c>
      <c r="D387" s="3">
        <v>46738</v>
      </c>
      <c r="E387">
        <v>36</v>
      </c>
      <c r="F387">
        <v>3</v>
      </c>
      <c r="G387">
        <v>26</v>
      </c>
      <c r="H387" t="s">
        <v>16</v>
      </c>
      <c r="I387">
        <v>393.6</v>
      </c>
      <c r="J387">
        <v>393.6</v>
      </c>
    </row>
    <row r="388" spans="1:10" x14ac:dyDescent="0.25">
      <c r="A388">
        <v>159</v>
      </c>
      <c r="B388">
        <v>58</v>
      </c>
      <c r="C388" t="s">
        <v>45</v>
      </c>
      <c r="D388" s="3">
        <v>107818</v>
      </c>
      <c r="E388">
        <v>70</v>
      </c>
      <c r="F388">
        <v>5</v>
      </c>
      <c r="G388">
        <v>24</v>
      </c>
      <c r="H388" t="s">
        <v>13</v>
      </c>
      <c r="I388">
        <v>722.18</v>
      </c>
      <c r="J388">
        <v>722.18</v>
      </c>
    </row>
    <row r="389" spans="1:10" x14ac:dyDescent="0.25">
      <c r="A389">
        <v>160</v>
      </c>
      <c r="B389">
        <v>36</v>
      </c>
      <c r="C389" t="s">
        <v>45</v>
      </c>
      <c r="D389" s="3">
        <v>83511</v>
      </c>
      <c r="E389">
        <v>28</v>
      </c>
      <c r="F389">
        <v>5</v>
      </c>
      <c r="G389">
        <v>49</v>
      </c>
      <c r="H389" t="s">
        <v>13</v>
      </c>
      <c r="I389">
        <v>367.97</v>
      </c>
      <c r="J389">
        <v>367.97</v>
      </c>
    </row>
    <row r="390" spans="1:10" x14ac:dyDescent="0.25">
      <c r="A390">
        <v>165</v>
      </c>
      <c r="B390">
        <v>64</v>
      </c>
      <c r="C390" t="s">
        <v>45</v>
      </c>
      <c r="D390" s="3">
        <v>96494</v>
      </c>
      <c r="E390">
        <v>10</v>
      </c>
      <c r="F390">
        <v>4</v>
      </c>
      <c r="G390">
        <v>47</v>
      </c>
      <c r="H390" t="s">
        <v>13</v>
      </c>
      <c r="I390">
        <v>184.45</v>
      </c>
      <c r="J390">
        <v>184.45</v>
      </c>
    </row>
    <row r="391" spans="1:10" x14ac:dyDescent="0.25">
      <c r="A391">
        <v>167</v>
      </c>
      <c r="B391">
        <v>18</v>
      </c>
      <c r="C391" t="s">
        <v>45</v>
      </c>
      <c r="D391" s="3">
        <v>46707</v>
      </c>
      <c r="E391">
        <v>61</v>
      </c>
      <c r="F391">
        <v>10</v>
      </c>
      <c r="G391">
        <v>16</v>
      </c>
      <c r="H391" t="s">
        <v>17</v>
      </c>
      <c r="I391">
        <v>18.600000000000001</v>
      </c>
      <c r="J391">
        <v>18.600000000000001</v>
      </c>
    </row>
    <row r="392" spans="1:10" x14ac:dyDescent="0.25">
      <c r="A392">
        <v>168</v>
      </c>
      <c r="B392">
        <v>36</v>
      </c>
      <c r="C392" t="s">
        <v>45</v>
      </c>
      <c r="D392" s="3">
        <v>87275</v>
      </c>
      <c r="E392">
        <v>82</v>
      </c>
      <c r="F392">
        <v>9</v>
      </c>
      <c r="G392">
        <v>2</v>
      </c>
      <c r="H392" t="s">
        <v>17</v>
      </c>
      <c r="I392">
        <v>14.52</v>
      </c>
      <c r="J392">
        <v>14.52</v>
      </c>
    </row>
    <row r="393" spans="1:10" x14ac:dyDescent="0.25">
      <c r="A393">
        <v>174</v>
      </c>
      <c r="B393">
        <v>47</v>
      </c>
      <c r="C393" t="s">
        <v>45</v>
      </c>
      <c r="D393" s="3">
        <v>66932</v>
      </c>
      <c r="E393">
        <v>89</v>
      </c>
      <c r="F393">
        <v>5</v>
      </c>
      <c r="G393">
        <v>9</v>
      </c>
      <c r="H393" t="s">
        <v>13</v>
      </c>
      <c r="I393">
        <v>861.66</v>
      </c>
      <c r="J393">
        <v>861.66</v>
      </c>
    </row>
    <row r="394" spans="1:10" x14ac:dyDescent="0.25">
      <c r="A394">
        <v>186</v>
      </c>
      <c r="B394">
        <v>40</v>
      </c>
      <c r="C394" t="s">
        <v>45</v>
      </c>
      <c r="D394" s="3">
        <v>124138</v>
      </c>
      <c r="E394">
        <v>84</v>
      </c>
      <c r="F394">
        <v>10</v>
      </c>
      <c r="G394">
        <v>41</v>
      </c>
      <c r="H394" t="s">
        <v>16</v>
      </c>
      <c r="I394">
        <v>426.62</v>
      </c>
      <c r="J394">
        <v>426.62</v>
      </c>
    </row>
    <row r="395" spans="1:10" x14ac:dyDescent="0.25">
      <c r="A395">
        <v>203</v>
      </c>
      <c r="B395">
        <v>66</v>
      </c>
      <c r="C395" t="s">
        <v>45</v>
      </c>
      <c r="D395" s="3">
        <v>106631</v>
      </c>
      <c r="E395">
        <v>41</v>
      </c>
      <c r="F395">
        <v>6</v>
      </c>
      <c r="G395">
        <v>9</v>
      </c>
      <c r="H395" t="s">
        <v>13</v>
      </c>
      <c r="I395">
        <v>354.46</v>
      </c>
      <c r="J395">
        <v>354.46</v>
      </c>
    </row>
    <row r="396" spans="1:10" x14ac:dyDescent="0.25">
      <c r="A396">
        <v>212</v>
      </c>
      <c r="B396">
        <v>18</v>
      </c>
      <c r="C396" t="s">
        <v>45</v>
      </c>
      <c r="D396" s="3">
        <v>54421</v>
      </c>
      <c r="E396">
        <v>20</v>
      </c>
      <c r="F396">
        <v>1</v>
      </c>
      <c r="G396">
        <v>41</v>
      </c>
      <c r="H396" t="s">
        <v>13</v>
      </c>
      <c r="I396">
        <v>215.95</v>
      </c>
      <c r="J396">
        <v>215.95</v>
      </c>
    </row>
    <row r="397" spans="1:10" x14ac:dyDescent="0.25">
      <c r="A397">
        <v>222</v>
      </c>
      <c r="B397">
        <v>67</v>
      </c>
      <c r="C397" t="s">
        <v>45</v>
      </c>
      <c r="D397" s="3">
        <v>64134</v>
      </c>
      <c r="E397">
        <v>3</v>
      </c>
      <c r="F397">
        <v>2</v>
      </c>
      <c r="G397">
        <v>26</v>
      </c>
      <c r="H397" t="s">
        <v>17</v>
      </c>
      <c r="I397">
        <v>868.18</v>
      </c>
      <c r="J397">
        <v>868.18</v>
      </c>
    </row>
    <row r="398" spans="1:10" x14ac:dyDescent="0.25">
      <c r="A398">
        <v>229</v>
      </c>
      <c r="B398">
        <v>19</v>
      </c>
      <c r="C398" t="s">
        <v>45</v>
      </c>
      <c r="D398" s="3">
        <v>52470</v>
      </c>
      <c r="E398">
        <v>90</v>
      </c>
      <c r="F398">
        <v>5</v>
      </c>
      <c r="G398">
        <v>35</v>
      </c>
      <c r="H398" t="s">
        <v>16</v>
      </c>
      <c r="I398">
        <v>515.99</v>
      </c>
      <c r="J398">
        <v>515.99</v>
      </c>
    </row>
    <row r="399" spans="1:10" x14ac:dyDescent="0.25">
      <c r="A399">
        <v>238</v>
      </c>
      <c r="B399">
        <v>64</v>
      </c>
      <c r="C399" t="s">
        <v>45</v>
      </c>
      <c r="D399" s="3">
        <v>148368</v>
      </c>
      <c r="E399">
        <v>19</v>
      </c>
      <c r="F399">
        <v>4</v>
      </c>
      <c r="G399">
        <v>23</v>
      </c>
      <c r="H399" t="s">
        <v>16</v>
      </c>
      <c r="I399">
        <v>949.32</v>
      </c>
      <c r="J399">
        <v>949.32</v>
      </c>
    </row>
    <row r="400" spans="1:10" x14ac:dyDescent="0.25">
      <c r="A400">
        <v>245</v>
      </c>
      <c r="B400">
        <v>28</v>
      </c>
      <c r="C400" t="s">
        <v>45</v>
      </c>
      <c r="D400" s="3">
        <v>134414</v>
      </c>
      <c r="E400">
        <v>19</v>
      </c>
      <c r="F400">
        <v>5</v>
      </c>
      <c r="G400">
        <v>15</v>
      </c>
      <c r="H400" t="s">
        <v>13</v>
      </c>
      <c r="I400">
        <v>922.01</v>
      </c>
      <c r="J400">
        <v>922.01</v>
      </c>
    </row>
    <row r="401" spans="1:10" x14ac:dyDescent="0.25">
      <c r="A401">
        <v>252</v>
      </c>
      <c r="B401">
        <v>25</v>
      </c>
      <c r="C401" t="s">
        <v>45</v>
      </c>
      <c r="D401" s="3">
        <v>105185</v>
      </c>
      <c r="E401">
        <v>70</v>
      </c>
      <c r="F401">
        <v>2</v>
      </c>
      <c r="G401">
        <v>37</v>
      </c>
      <c r="H401" t="s">
        <v>16</v>
      </c>
      <c r="I401">
        <v>556.23</v>
      </c>
      <c r="J401">
        <v>556.23</v>
      </c>
    </row>
    <row r="402" spans="1:10" x14ac:dyDescent="0.25">
      <c r="A402">
        <v>253</v>
      </c>
      <c r="B402">
        <v>49</v>
      </c>
      <c r="C402" t="s">
        <v>45</v>
      </c>
      <c r="D402" s="3">
        <v>129014</v>
      </c>
      <c r="E402">
        <v>25</v>
      </c>
      <c r="F402">
        <v>7</v>
      </c>
      <c r="G402">
        <v>21</v>
      </c>
      <c r="H402" t="s">
        <v>16</v>
      </c>
      <c r="I402">
        <v>271.52</v>
      </c>
      <c r="J402">
        <v>271.52</v>
      </c>
    </row>
    <row r="403" spans="1:10" x14ac:dyDescent="0.25">
      <c r="A403">
        <v>254</v>
      </c>
      <c r="B403">
        <v>66</v>
      </c>
      <c r="C403" t="s">
        <v>45</v>
      </c>
      <c r="D403" s="3">
        <v>112847</v>
      </c>
      <c r="E403">
        <v>98</v>
      </c>
      <c r="F403">
        <v>9</v>
      </c>
      <c r="G403">
        <v>44</v>
      </c>
      <c r="H403" t="s">
        <v>13</v>
      </c>
      <c r="I403">
        <v>827.44</v>
      </c>
      <c r="J403">
        <v>827.44</v>
      </c>
    </row>
    <row r="404" spans="1:10" x14ac:dyDescent="0.25">
      <c r="A404">
        <v>255</v>
      </c>
      <c r="B404">
        <v>27</v>
      </c>
      <c r="C404" t="s">
        <v>45</v>
      </c>
      <c r="D404" s="3">
        <v>139589</v>
      </c>
      <c r="E404">
        <v>69</v>
      </c>
      <c r="F404">
        <v>8</v>
      </c>
      <c r="G404">
        <v>22</v>
      </c>
      <c r="H404" t="s">
        <v>17</v>
      </c>
      <c r="I404">
        <v>150.58000000000001</v>
      </c>
      <c r="J404">
        <v>150.58000000000001</v>
      </c>
    </row>
    <row r="405" spans="1:10" x14ac:dyDescent="0.25">
      <c r="A405">
        <v>256</v>
      </c>
      <c r="B405">
        <v>46</v>
      </c>
      <c r="C405" t="s">
        <v>45</v>
      </c>
      <c r="D405" s="3">
        <v>38785</v>
      </c>
      <c r="E405">
        <v>55</v>
      </c>
      <c r="F405">
        <v>9</v>
      </c>
      <c r="G405">
        <v>22</v>
      </c>
      <c r="H405" t="s">
        <v>17</v>
      </c>
      <c r="I405">
        <v>486.25</v>
      </c>
      <c r="J405">
        <v>486.25</v>
      </c>
    </row>
    <row r="406" spans="1:10" x14ac:dyDescent="0.25">
      <c r="A406">
        <v>266</v>
      </c>
      <c r="B406">
        <v>53</v>
      </c>
      <c r="C406" t="s">
        <v>45</v>
      </c>
      <c r="D406" s="3">
        <v>84616</v>
      </c>
      <c r="E406">
        <v>68</v>
      </c>
      <c r="F406">
        <v>10</v>
      </c>
      <c r="G406">
        <v>8</v>
      </c>
      <c r="H406" t="s">
        <v>13</v>
      </c>
      <c r="I406">
        <v>543.30999999999995</v>
      </c>
      <c r="J406">
        <v>543.30999999999995</v>
      </c>
    </row>
    <row r="407" spans="1:10" x14ac:dyDescent="0.25">
      <c r="A407">
        <v>268</v>
      </c>
      <c r="B407">
        <v>23</v>
      </c>
      <c r="C407" t="s">
        <v>45</v>
      </c>
      <c r="D407" s="3">
        <v>101024</v>
      </c>
      <c r="E407">
        <v>29</v>
      </c>
      <c r="F407">
        <v>3</v>
      </c>
      <c r="G407">
        <v>41</v>
      </c>
      <c r="H407" t="s">
        <v>16</v>
      </c>
      <c r="I407">
        <v>484.85</v>
      </c>
      <c r="J407">
        <v>484.85</v>
      </c>
    </row>
    <row r="408" spans="1:10" x14ac:dyDescent="0.25">
      <c r="A408">
        <v>273</v>
      </c>
      <c r="B408">
        <v>47</v>
      </c>
      <c r="C408" t="s">
        <v>45</v>
      </c>
      <c r="D408" s="3">
        <v>84117</v>
      </c>
      <c r="E408">
        <v>74</v>
      </c>
      <c r="F408">
        <v>9</v>
      </c>
      <c r="G408">
        <v>17</v>
      </c>
      <c r="H408" t="s">
        <v>13</v>
      </c>
      <c r="I408">
        <v>886.08</v>
      </c>
      <c r="J408">
        <v>886.08</v>
      </c>
    </row>
    <row r="409" spans="1:10" x14ac:dyDescent="0.25">
      <c r="A409">
        <v>274</v>
      </c>
      <c r="B409">
        <v>60</v>
      </c>
      <c r="C409" t="s">
        <v>45</v>
      </c>
      <c r="D409" s="3">
        <v>107232</v>
      </c>
      <c r="E409">
        <v>68</v>
      </c>
      <c r="F409">
        <v>4</v>
      </c>
      <c r="G409">
        <v>48</v>
      </c>
      <c r="H409" t="s">
        <v>17</v>
      </c>
      <c r="I409">
        <v>730.8</v>
      </c>
      <c r="J409">
        <v>730.8</v>
      </c>
    </row>
    <row r="410" spans="1:10" x14ac:dyDescent="0.25">
      <c r="A410">
        <v>275</v>
      </c>
      <c r="B410">
        <v>22</v>
      </c>
      <c r="C410" t="s">
        <v>45</v>
      </c>
      <c r="D410" s="3">
        <v>128623</v>
      </c>
      <c r="E410">
        <v>88</v>
      </c>
      <c r="F410">
        <v>5</v>
      </c>
      <c r="G410">
        <v>20</v>
      </c>
      <c r="H410" t="s">
        <v>17</v>
      </c>
      <c r="I410">
        <v>609.57000000000005</v>
      </c>
      <c r="J410">
        <v>609.57000000000005</v>
      </c>
    </row>
    <row r="411" spans="1:10" x14ac:dyDescent="0.25">
      <c r="A411">
        <v>277</v>
      </c>
      <c r="B411">
        <v>53</v>
      </c>
      <c r="C411" t="s">
        <v>45</v>
      </c>
      <c r="D411" s="3">
        <v>94392</v>
      </c>
      <c r="E411">
        <v>38</v>
      </c>
      <c r="F411">
        <v>5</v>
      </c>
      <c r="G411">
        <v>11</v>
      </c>
      <c r="H411" t="s">
        <v>17</v>
      </c>
      <c r="I411">
        <v>997.24</v>
      </c>
      <c r="J411">
        <v>997.24</v>
      </c>
    </row>
    <row r="412" spans="1:10" x14ac:dyDescent="0.25">
      <c r="A412">
        <v>281</v>
      </c>
      <c r="B412">
        <v>61</v>
      </c>
      <c r="C412" t="s">
        <v>45</v>
      </c>
      <c r="D412" s="3">
        <v>47689</v>
      </c>
      <c r="E412">
        <v>46</v>
      </c>
      <c r="F412">
        <v>4</v>
      </c>
      <c r="G412">
        <v>42</v>
      </c>
      <c r="H412" t="s">
        <v>13</v>
      </c>
      <c r="I412">
        <v>802.44</v>
      </c>
      <c r="J412">
        <v>802.44</v>
      </c>
    </row>
    <row r="413" spans="1:10" x14ac:dyDescent="0.25">
      <c r="A413">
        <v>292</v>
      </c>
      <c r="B413">
        <v>62</v>
      </c>
      <c r="C413" t="s">
        <v>45</v>
      </c>
      <c r="D413" s="3">
        <v>38250</v>
      </c>
      <c r="E413">
        <v>63</v>
      </c>
      <c r="F413">
        <v>5</v>
      </c>
      <c r="G413">
        <v>22</v>
      </c>
      <c r="H413" t="s">
        <v>13</v>
      </c>
      <c r="I413">
        <v>723.93</v>
      </c>
      <c r="J413">
        <v>723.93</v>
      </c>
    </row>
    <row r="414" spans="1:10" x14ac:dyDescent="0.25">
      <c r="A414">
        <v>294</v>
      </c>
      <c r="B414">
        <v>47</v>
      </c>
      <c r="C414" t="s">
        <v>45</v>
      </c>
      <c r="D414" s="3">
        <v>89077</v>
      </c>
      <c r="E414">
        <v>43</v>
      </c>
      <c r="F414">
        <v>1</v>
      </c>
      <c r="G414">
        <v>35</v>
      </c>
      <c r="H414" t="s">
        <v>17</v>
      </c>
      <c r="I414">
        <v>547.85</v>
      </c>
      <c r="J414">
        <v>547.85</v>
      </c>
    </row>
    <row r="415" spans="1:10" x14ac:dyDescent="0.25">
      <c r="A415">
        <v>300</v>
      </c>
      <c r="B415">
        <v>55</v>
      </c>
      <c r="C415" t="s">
        <v>45</v>
      </c>
      <c r="D415" s="3">
        <v>144624</v>
      </c>
      <c r="E415">
        <v>38</v>
      </c>
      <c r="F415">
        <v>2</v>
      </c>
      <c r="G415">
        <v>23</v>
      </c>
      <c r="H415" t="s">
        <v>16</v>
      </c>
      <c r="I415">
        <v>652.26</v>
      </c>
      <c r="J415">
        <v>652.26</v>
      </c>
    </row>
    <row r="416" spans="1:10" x14ac:dyDescent="0.25">
      <c r="A416">
        <v>302</v>
      </c>
      <c r="B416">
        <v>50</v>
      </c>
      <c r="C416" t="s">
        <v>45</v>
      </c>
      <c r="D416" s="3">
        <v>130668</v>
      </c>
      <c r="E416">
        <v>39</v>
      </c>
      <c r="F416">
        <v>5</v>
      </c>
      <c r="G416">
        <v>25</v>
      </c>
      <c r="H416" t="s">
        <v>13</v>
      </c>
      <c r="I416">
        <v>69.81</v>
      </c>
      <c r="J416">
        <v>69.81</v>
      </c>
    </row>
    <row r="417" spans="1:10" x14ac:dyDescent="0.25">
      <c r="A417">
        <v>307</v>
      </c>
      <c r="B417">
        <v>26</v>
      </c>
      <c r="C417" t="s">
        <v>45</v>
      </c>
      <c r="D417" s="3">
        <v>135530</v>
      </c>
      <c r="E417">
        <v>81</v>
      </c>
      <c r="F417">
        <v>2</v>
      </c>
      <c r="G417">
        <v>12</v>
      </c>
      <c r="H417" t="s">
        <v>13</v>
      </c>
      <c r="I417">
        <v>126.35</v>
      </c>
      <c r="J417">
        <v>126.35</v>
      </c>
    </row>
    <row r="418" spans="1:10" x14ac:dyDescent="0.25">
      <c r="A418">
        <v>319</v>
      </c>
      <c r="B418">
        <v>61</v>
      </c>
      <c r="C418" t="s">
        <v>45</v>
      </c>
      <c r="D418" s="3">
        <v>47790</v>
      </c>
      <c r="E418">
        <v>67</v>
      </c>
      <c r="F418">
        <v>9</v>
      </c>
      <c r="G418">
        <v>5</v>
      </c>
      <c r="H418" t="s">
        <v>13</v>
      </c>
      <c r="I418">
        <v>714.29</v>
      </c>
      <c r="J418">
        <v>714.29</v>
      </c>
    </row>
    <row r="419" spans="1:10" x14ac:dyDescent="0.25">
      <c r="A419">
        <v>322</v>
      </c>
      <c r="B419">
        <v>46</v>
      </c>
      <c r="C419" t="s">
        <v>45</v>
      </c>
      <c r="D419" s="3">
        <v>126553</v>
      </c>
      <c r="E419">
        <v>16</v>
      </c>
      <c r="F419">
        <v>2</v>
      </c>
      <c r="G419">
        <v>22</v>
      </c>
      <c r="H419" t="s">
        <v>13</v>
      </c>
      <c r="I419">
        <v>85.56</v>
      </c>
      <c r="J419">
        <v>85.56</v>
      </c>
    </row>
    <row r="420" spans="1:10" x14ac:dyDescent="0.25">
      <c r="A420">
        <v>323</v>
      </c>
      <c r="B420">
        <v>55</v>
      </c>
      <c r="C420" t="s">
        <v>45</v>
      </c>
      <c r="D420" s="3">
        <v>80006</v>
      </c>
      <c r="E420">
        <v>44</v>
      </c>
      <c r="F420">
        <v>2</v>
      </c>
      <c r="G420">
        <v>49</v>
      </c>
      <c r="H420" t="s">
        <v>17</v>
      </c>
      <c r="I420">
        <v>727.51</v>
      </c>
      <c r="J420">
        <v>727.51</v>
      </c>
    </row>
    <row r="421" spans="1:10" x14ac:dyDescent="0.25">
      <c r="A421">
        <v>325</v>
      </c>
      <c r="B421">
        <v>41</v>
      </c>
      <c r="C421" t="s">
        <v>45</v>
      </c>
      <c r="D421" s="3">
        <v>71410</v>
      </c>
      <c r="E421">
        <v>69</v>
      </c>
      <c r="F421">
        <v>1</v>
      </c>
      <c r="G421">
        <v>32</v>
      </c>
      <c r="H421" t="s">
        <v>13</v>
      </c>
      <c r="I421">
        <v>456.67</v>
      </c>
      <c r="J421">
        <v>456.67</v>
      </c>
    </row>
    <row r="422" spans="1:10" x14ac:dyDescent="0.25">
      <c r="A422">
        <v>326</v>
      </c>
      <c r="B422">
        <v>59</v>
      </c>
      <c r="C422" t="s">
        <v>45</v>
      </c>
      <c r="D422" s="3">
        <v>49020</v>
      </c>
      <c r="E422">
        <v>100</v>
      </c>
      <c r="F422">
        <v>2</v>
      </c>
      <c r="G422">
        <v>42</v>
      </c>
      <c r="H422" t="s">
        <v>16</v>
      </c>
      <c r="I422">
        <v>588.17999999999995</v>
      </c>
      <c r="J422">
        <v>588.17999999999995</v>
      </c>
    </row>
    <row r="423" spans="1:10" x14ac:dyDescent="0.25">
      <c r="A423">
        <v>329</v>
      </c>
      <c r="B423">
        <v>68</v>
      </c>
      <c r="C423" t="s">
        <v>45</v>
      </c>
      <c r="D423" s="3">
        <v>76921</v>
      </c>
      <c r="E423">
        <v>79</v>
      </c>
      <c r="F423">
        <v>1</v>
      </c>
      <c r="G423">
        <v>23</v>
      </c>
      <c r="H423" t="s">
        <v>16</v>
      </c>
      <c r="I423">
        <v>122.02</v>
      </c>
      <c r="J423">
        <v>122.02</v>
      </c>
    </row>
    <row r="424" spans="1:10" x14ac:dyDescent="0.25">
      <c r="A424">
        <v>334</v>
      </c>
      <c r="B424">
        <v>58</v>
      </c>
      <c r="C424" t="s">
        <v>45</v>
      </c>
      <c r="D424" s="3">
        <v>99475</v>
      </c>
      <c r="E424">
        <v>27</v>
      </c>
      <c r="F424">
        <v>9</v>
      </c>
      <c r="G424">
        <v>9</v>
      </c>
      <c r="H424" t="s">
        <v>16</v>
      </c>
      <c r="I424">
        <v>249.39</v>
      </c>
      <c r="J424">
        <v>249.39</v>
      </c>
    </row>
    <row r="425" spans="1:10" x14ac:dyDescent="0.25">
      <c r="A425">
        <v>336</v>
      </c>
      <c r="B425">
        <v>40</v>
      </c>
      <c r="C425" t="s">
        <v>45</v>
      </c>
      <c r="D425" s="3">
        <v>107488</v>
      </c>
      <c r="E425">
        <v>96</v>
      </c>
      <c r="F425">
        <v>7</v>
      </c>
      <c r="G425">
        <v>16</v>
      </c>
      <c r="H425" t="s">
        <v>16</v>
      </c>
      <c r="I425">
        <v>843.6</v>
      </c>
      <c r="J425">
        <v>843.6</v>
      </c>
    </row>
    <row r="426" spans="1:10" x14ac:dyDescent="0.25">
      <c r="A426">
        <v>338</v>
      </c>
      <c r="B426">
        <v>42</v>
      </c>
      <c r="C426" t="s">
        <v>45</v>
      </c>
      <c r="D426" s="3">
        <v>115381</v>
      </c>
      <c r="E426">
        <v>70</v>
      </c>
      <c r="F426">
        <v>7</v>
      </c>
      <c r="G426">
        <v>33</v>
      </c>
      <c r="H426" t="s">
        <v>13</v>
      </c>
      <c r="I426">
        <v>592.52</v>
      </c>
      <c r="J426">
        <v>592.52</v>
      </c>
    </row>
    <row r="427" spans="1:10" x14ac:dyDescent="0.25">
      <c r="A427">
        <v>340</v>
      </c>
      <c r="B427">
        <v>48</v>
      </c>
      <c r="C427" t="s">
        <v>45</v>
      </c>
      <c r="D427" s="3">
        <v>30374</v>
      </c>
      <c r="E427">
        <v>28</v>
      </c>
      <c r="F427">
        <v>7</v>
      </c>
      <c r="G427">
        <v>34</v>
      </c>
      <c r="H427" t="s">
        <v>16</v>
      </c>
      <c r="I427">
        <v>463.78</v>
      </c>
      <c r="J427">
        <v>463.78</v>
      </c>
    </row>
    <row r="428" spans="1:10" x14ac:dyDescent="0.25">
      <c r="A428">
        <v>351</v>
      </c>
      <c r="B428">
        <v>68</v>
      </c>
      <c r="C428" t="s">
        <v>45</v>
      </c>
      <c r="D428" s="3">
        <v>122661</v>
      </c>
      <c r="E428">
        <v>16</v>
      </c>
      <c r="F428">
        <v>4</v>
      </c>
      <c r="G428">
        <v>48</v>
      </c>
      <c r="H428" t="s">
        <v>16</v>
      </c>
      <c r="I428">
        <v>85.44</v>
      </c>
      <c r="J428">
        <v>85.44</v>
      </c>
    </row>
    <row r="429" spans="1:10" x14ac:dyDescent="0.25">
      <c r="A429">
        <v>353</v>
      </c>
      <c r="B429">
        <v>61</v>
      </c>
      <c r="C429" t="s">
        <v>45</v>
      </c>
      <c r="D429" s="3">
        <v>120516</v>
      </c>
      <c r="E429">
        <v>100</v>
      </c>
      <c r="F429">
        <v>10</v>
      </c>
      <c r="G429">
        <v>47</v>
      </c>
      <c r="H429" t="s">
        <v>13</v>
      </c>
      <c r="I429">
        <v>475.52</v>
      </c>
      <c r="J429">
        <v>475.52</v>
      </c>
    </row>
    <row r="430" spans="1:10" x14ac:dyDescent="0.25">
      <c r="A430">
        <v>356</v>
      </c>
      <c r="B430">
        <v>32</v>
      </c>
      <c r="C430" t="s">
        <v>45</v>
      </c>
      <c r="D430" s="3">
        <v>94627</v>
      </c>
      <c r="E430">
        <v>88</v>
      </c>
      <c r="F430">
        <v>9</v>
      </c>
      <c r="G430">
        <v>30</v>
      </c>
      <c r="H430" t="s">
        <v>17</v>
      </c>
      <c r="I430">
        <v>703.94</v>
      </c>
      <c r="J430">
        <v>703.94</v>
      </c>
    </row>
    <row r="431" spans="1:10" x14ac:dyDescent="0.25">
      <c r="A431">
        <v>357</v>
      </c>
      <c r="B431">
        <v>49</v>
      </c>
      <c r="C431" t="s">
        <v>45</v>
      </c>
      <c r="D431" s="3">
        <v>103191</v>
      </c>
      <c r="E431">
        <v>34</v>
      </c>
      <c r="F431">
        <v>5</v>
      </c>
      <c r="G431">
        <v>41</v>
      </c>
      <c r="H431" t="s">
        <v>17</v>
      </c>
      <c r="I431">
        <v>253.63</v>
      </c>
      <c r="J431">
        <v>253.63</v>
      </c>
    </row>
    <row r="432" spans="1:10" x14ac:dyDescent="0.25">
      <c r="A432">
        <v>363</v>
      </c>
      <c r="B432">
        <v>26</v>
      </c>
      <c r="C432" t="s">
        <v>45</v>
      </c>
      <c r="D432" s="3">
        <v>149741</v>
      </c>
      <c r="E432">
        <v>51</v>
      </c>
      <c r="F432">
        <v>4</v>
      </c>
      <c r="G432">
        <v>37</v>
      </c>
      <c r="H432" t="s">
        <v>13</v>
      </c>
      <c r="I432">
        <v>685.36</v>
      </c>
      <c r="J432">
        <v>685.36</v>
      </c>
    </row>
    <row r="433" spans="1:10" x14ac:dyDescent="0.25">
      <c r="A433">
        <v>365</v>
      </c>
      <c r="B433">
        <v>21</v>
      </c>
      <c r="C433" t="s">
        <v>45</v>
      </c>
      <c r="D433" s="3">
        <v>90000</v>
      </c>
      <c r="E433">
        <v>42</v>
      </c>
      <c r="F433">
        <v>4</v>
      </c>
      <c r="G433">
        <v>23</v>
      </c>
      <c r="H433" t="s">
        <v>13</v>
      </c>
      <c r="I433">
        <v>278.14999999999998</v>
      </c>
      <c r="J433">
        <v>278.14999999999998</v>
      </c>
    </row>
    <row r="434" spans="1:10" x14ac:dyDescent="0.25">
      <c r="A434">
        <v>366</v>
      </c>
      <c r="B434">
        <v>19</v>
      </c>
      <c r="C434" t="s">
        <v>45</v>
      </c>
      <c r="D434" s="3">
        <v>105019</v>
      </c>
      <c r="E434">
        <v>84</v>
      </c>
      <c r="F434">
        <v>8</v>
      </c>
      <c r="G434">
        <v>32</v>
      </c>
      <c r="H434" t="s">
        <v>17</v>
      </c>
      <c r="I434">
        <v>735.3</v>
      </c>
      <c r="J434">
        <v>735.3</v>
      </c>
    </row>
    <row r="435" spans="1:10" x14ac:dyDescent="0.25">
      <c r="A435">
        <v>396</v>
      </c>
      <c r="B435">
        <v>54</v>
      </c>
      <c r="C435" t="s">
        <v>45</v>
      </c>
      <c r="D435" s="3">
        <v>87418</v>
      </c>
      <c r="E435">
        <v>21</v>
      </c>
      <c r="F435">
        <v>2</v>
      </c>
      <c r="G435">
        <v>27</v>
      </c>
      <c r="H435" t="s">
        <v>16</v>
      </c>
      <c r="I435">
        <v>846.76</v>
      </c>
      <c r="J435">
        <v>846.76</v>
      </c>
    </row>
    <row r="436" spans="1:10" x14ac:dyDescent="0.25">
      <c r="A436">
        <v>403</v>
      </c>
      <c r="B436">
        <v>40</v>
      </c>
      <c r="C436" t="s">
        <v>45</v>
      </c>
      <c r="D436" s="3">
        <v>127948</v>
      </c>
      <c r="E436">
        <v>29</v>
      </c>
      <c r="F436">
        <v>6</v>
      </c>
      <c r="G436">
        <v>26</v>
      </c>
      <c r="H436" t="s">
        <v>16</v>
      </c>
      <c r="I436">
        <v>144.78</v>
      </c>
      <c r="J436">
        <v>144.78</v>
      </c>
    </row>
    <row r="437" spans="1:10" x14ac:dyDescent="0.25">
      <c r="A437">
        <v>406</v>
      </c>
      <c r="B437">
        <v>29</v>
      </c>
      <c r="C437" t="s">
        <v>45</v>
      </c>
      <c r="D437" s="3">
        <v>141369</v>
      </c>
      <c r="E437">
        <v>42</v>
      </c>
      <c r="F437">
        <v>10</v>
      </c>
      <c r="G437">
        <v>16</v>
      </c>
      <c r="H437" t="s">
        <v>13</v>
      </c>
      <c r="I437">
        <v>862.54</v>
      </c>
      <c r="J437">
        <v>862.54</v>
      </c>
    </row>
    <row r="438" spans="1:10" x14ac:dyDescent="0.25">
      <c r="A438">
        <v>407</v>
      </c>
      <c r="B438">
        <v>24</v>
      </c>
      <c r="C438" t="s">
        <v>45</v>
      </c>
      <c r="D438" s="3">
        <v>119844</v>
      </c>
      <c r="E438">
        <v>78</v>
      </c>
      <c r="F438">
        <v>4</v>
      </c>
      <c r="G438">
        <v>6</v>
      </c>
      <c r="H438" t="s">
        <v>16</v>
      </c>
      <c r="I438">
        <v>572.30999999999995</v>
      </c>
      <c r="J438">
        <v>572.30999999999995</v>
      </c>
    </row>
    <row r="439" spans="1:10" x14ac:dyDescent="0.25">
      <c r="A439">
        <v>408</v>
      </c>
      <c r="B439">
        <v>40</v>
      </c>
      <c r="C439" t="s">
        <v>45</v>
      </c>
      <c r="D439" s="3">
        <v>135305</v>
      </c>
      <c r="E439">
        <v>54</v>
      </c>
      <c r="F439">
        <v>8</v>
      </c>
      <c r="G439">
        <v>29</v>
      </c>
      <c r="H439" t="s">
        <v>17</v>
      </c>
      <c r="I439">
        <v>831.6</v>
      </c>
      <c r="J439">
        <v>831.6</v>
      </c>
    </row>
    <row r="440" spans="1:10" x14ac:dyDescent="0.25">
      <c r="A440">
        <v>412</v>
      </c>
      <c r="B440">
        <v>61</v>
      </c>
      <c r="C440" t="s">
        <v>45</v>
      </c>
      <c r="D440" s="3">
        <v>80988</v>
      </c>
      <c r="E440">
        <v>34</v>
      </c>
      <c r="F440">
        <v>8</v>
      </c>
      <c r="G440">
        <v>14</v>
      </c>
      <c r="H440" t="s">
        <v>17</v>
      </c>
      <c r="I440">
        <v>937.86</v>
      </c>
      <c r="J440">
        <v>937.86</v>
      </c>
    </row>
    <row r="441" spans="1:10" x14ac:dyDescent="0.25">
      <c r="A441">
        <v>417</v>
      </c>
      <c r="B441">
        <v>52</v>
      </c>
      <c r="C441" t="s">
        <v>45</v>
      </c>
      <c r="D441" s="3">
        <v>101105</v>
      </c>
      <c r="E441">
        <v>11</v>
      </c>
      <c r="F441">
        <v>9</v>
      </c>
      <c r="G441">
        <v>2</v>
      </c>
      <c r="H441" t="s">
        <v>13</v>
      </c>
      <c r="I441">
        <v>714.72</v>
      </c>
      <c r="J441">
        <v>714.72</v>
      </c>
    </row>
    <row r="442" spans="1:10" x14ac:dyDescent="0.25">
      <c r="A442">
        <v>419</v>
      </c>
      <c r="B442">
        <v>64</v>
      </c>
      <c r="C442" t="s">
        <v>45</v>
      </c>
      <c r="D442" s="3">
        <v>71594</v>
      </c>
      <c r="E442">
        <v>40</v>
      </c>
      <c r="F442">
        <v>4</v>
      </c>
      <c r="G442">
        <v>42</v>
      </c>
      <c r="H442" t="s">
        <v>17</v>
      </c>
      <c r="I442">
        <v>487.73</v>
      </c>
      <c r="J442">
        <v>487.73</v>
      </c>
    </row>
    <row r="443" spans="1:10" x14ac:dyDescent="0.25">
      <c r="A443">
        <v>422</v>
      </c>
      <c r="B443">
        <v>56</v>
      </c>
      <c r="C443" t="s">
        <v>45</v>
      </c>
      <c r="D443" s="3">
        <v>36843</v>
      </c>
      <c r="E443">
        <v>46</v>
      </c>
      <c r="F443">
        <v>7</v>
      </c>
      <c r="G443">
        <v>12</v>
      </c>
      <c r="H443" t="s">
        <v>13</v>
      </c>
      <c r="I443">
        <v>22.15</v>
      </c>
      <c r="J443">
        <v>22.15</v>
      </c>
    </row>
    <row r="444" spans="1:10" x14ac:dyDescent="0.25">
      <c r="A444">
        <v>428</v>
      </c>
      <c r="B444">
        <v>54</v>
      </c>
      <c r="C444" t="s">
        <v>45</v>
      </c>
      <c r="D444" s="3">
        <v>90780</v>
      </c>
      <c r="E444">
        <v>24</v>
      </c>
      <c r="F444">
        <v>3</v>
      </c>
      <c r="G444">
        <v>46</v>
      </c>
      <c r="H444" t="s">
        <v>16</v>
      </c>
      <c r="I444">
        <v>824.65</v>
      </c>
      <c r="J444">
        <v>824.65</v>
      </c>
    </row>
    <row r="445" spans="1:10" x14ac:dyDescent="0.25">
      <c r="A445">
        <v>430</v>
      </c>
      <c r="B445">
        <v>64</v>
      </c>
      <c r="C445" t="s">
        <v>45</v>
      </c>
      <c r="D445" s="3">
        <v>124369</v>
      </c>
      <c r="E445">
        <v>74</v>
      </c>
      <c r="F445">
        <v>2</v>
      </c>
      <c r="G445">
        <v>3</v>
      </c>
      <c r="H445" t="s">
        <v>13</v>
      </c>
      <c r="I445">
        <v>275.39999999999998</v>
      </c>
      <c r="J445">
        <v>275.39999999999998</v>
      </c>
    </row>
    <row r="446" spans="1:10" x14ac:dyDescent="0.25">
      <c r="A446">
        <v>437</v>
      </c>
      <c r="B446">
        <v>48</v>
      </c>
      <c r="C446" t="s">
        <v>45</v>
      </c>
      <c r="D446" s="3">
        <v>51565</v>
      </c>
      <c r="E446">
        <v>44</v>
      </c>
      <c r="F446">
        <v>5</v>
      </c>
      <c r="G446">
        <v>20</v>
      </c>
      <c r="H446" t="s">
        <v>16</v>
      </c>
      <c r="I446">
        <v>552.48</v>
      </c>
      <c r="J446">
        <v>552.48</v>
      </c>
    </row>
    <row r="447" spans="1:10" x14ac:dyDescent="0.25">
      <c r="A447">
        <v>444</v>
      </c>
      <c r="B447">
        <v>62</v>
      </c>
      <c r="C447" t="s">
        <v>45</v>
      </c>
      <c r="D447" s="3">
        <v>59481</v>
      </c>
      <c r="E447">
        <v>30</v>
      </c>
      <c r="F447">
        <v>4</v>
      </c>
      <c r="G447">
        <v>35</v>
      </c>
      <c r="H447" t="s">
        <v>17</v>
      </c>
      <c r="I447">
        <v>121</v>
      </c>
      <c r="J447">
        <v>121</v>
      </c>
    </row>
    <row r="448" spans="1:10" x14ac:dyDescent="0.25">
      <c r="A448">
        <v>447</v>
      </c>
      <c r="B448">
        <v>27</v>
      </c>
      <c r="C448" t="s">
        <v>45</v>
      </c>
      <c r="D448" s="3">
        <v>68689</v>
      </c>
      <c r="E448">
        <v>83</v>
      </c>
      <c r="F448">
        <v>8</v>
      </c>
      <c r="G448">
        <v>33</v>
      </c>
      <c r="H448" t="s">
        <v>16</v>
      </c>
      <c r="I448">
        <v>782.58</v>
      </c>
      <c r="J448">
        <v>782.58</v>
      </c>
    </row>
    <row r="449" spans="1:10" x14ac:dyDescent="0.25">
      <c r="A449">
        <v>451</v>
      </c>
      <c r="B449">
        <v>24</v>
      </c>
      <c r="C449" t="s">
        <v>45</v>
      </c>
      <c r="D449" s="3">
        <v>147555</v>
      </c>
      <c r="E449">
        <v>65</v>
      </c>
      <c r="F449">
        <v>4</v>
      </c>
      <c r="G449">
        <v>28</v>
      </c>
      <c r="H449" t="s">
        <v>16</v>
      </c>
      <c r="I449">
        <v>434.84</v>
      </c>
      <c r="J449">
        <v>434.84</v>
      </c>
    </row>
    <row r="450" spans="1:10" x14ac:dyDescent="0.25">
      <c r="A450">
        <v>456</v>
      </c>
      <c r="B450">
        <v>61</v>
      </c>
      <c r="C450" t="s">
        <v>45</v>
      </c>
      <c r="D450" s="3">
        <v>57851</v>
      </c>
      <c r="E450">
        <v>46</v>
      </c>
      <c r="F450">
        <v>3</v>
      </c>
      <c r="G450">
        <v>5</v>
      </c>
      <c r="H450" t="s">
        <v>17</v>
      </c>
      <c r="I450">
        <v>604.29</v>
      </c>
      <c r="J450">
        <v>604.29</v>
      </c>
    </row>
    <row r="451" spans="1:10" x14ac:dyDescent="0.25">
      <c r="A451">
        <v>459</v>
      </c>
      <c r="B451">
        <v>30</v>
      </c>
      <c r="C451" t="s">
        <v>45</v>
      </c>
      <c r="D451" s="3">
        <v>100399</v>
      </c>
      <c r="E451">
        <v>96</v>
      </c>
      <c r="F451">
        <v>2</v>
      </c>
      <c r="G451">
        <v>5</v>
      </c>
      <c r="H451" t="s">
        <v>17</v>
      </c>
      <c r="I451">
        <v>705.64</v>
      </c>
      <c r="J451">
        <v>705.64</v>
      </c>
    </row>
    <row r="452" spans="1:10" x14ac:dyDescent="0.25">
      <c r="A452">
        <v>466</v>
      </c>
      <c r="B452">
        <v>69</v>
      </c>
      <c r="C452" t="s">
        <v>45</v>
      </c>
      <c r="D452" s="3">
        <v>143640</v>
      </c>
      <c r="E452">
        <v>14</v>
      </c>
      <c r="F452">
        <v>8</v>
      </c>
      <c r="G452">
        <v>2</v>
      </c>
      <c r="H452" t="s">
        <v>17</v>
      </c>
      <c r="I452">
        <v>387.39</v>
      </c>
      <c r="J452">
        <v>387.39</v>
      </c>
    </row>
    <row r="453" spans="1:10" x14ac:dyDescent="0.25">
      <c r="A453">
        <v>469</v>
      </c>
      <c r="B453">
        <v>32</v>
      </c>
      <c r="C453" t="s">
        <v>45</v>
      </c>
      <c r="D453" s="3">
        <v>100736</v>
      </c>
      <c r="E453">
        <v>84</v>
      </c>
      <c r="F453">
        <v>10</v>
      </c>
      <c r="G453">
        <v>32</v>
      </c>
      <c r="H453" t="s">
        <v>16</v>
      </c>
      <c r="I453">
        <v>863.93</v>
      </c>
      <c r="J453">
        <v>863.93</v>
      </c>
    </row>
    <row r="454" spans="1:10" x14ac:dyDescent="0.25">
      <c r="A454">
        <v>470</v>
      </c>
      <c r="B454">
        <v>53</v>
      </c>
      <c r="C454" t="s">
        <v>45</v>
      </c>
      <c r="D454" s="3">
        <v>139508</v>
      </c>
      <c r="E454">
        <v>92</v>
      </c>
      <c r="F454">
        <v>6</v>
      </c>
      <c r="G454">
        <v>39</v>
      </c>
      <c r="H454" t="s">
        <v>17</v>
      </c>
      <c r="I454">
        <v>172.99</v>
      </c>
      <c r="J454">
        <v>172.99</v>
      </c>
    </row>
    <row r="455" spans="1:10" x14ac:dyDescent="0.25">
      <c r="A455">
        <v>475</v>
      </c>
      <c r="B455">
        <v>36</v>
      </c>
      <c r="C455" t="s">
        <v>45</v>
      </c>
      <c r="D455" s="3">
        <v>112674</v>
      </c>
      <c r="E455">
        <v>12</v>
      </c>
      <c r="F455">
        <v>7</v>
      </c>
      <c r="G455">
        <v>35</v>
      </c>
      <c r="H455" t="s">
        <v>16</v>
      </c>
      <c r="I455">
        <v>590.32000000000005</v>
      </c>
      <c r="J455">
        <v>590.32000000000005</v>
      </c>
    </row>
    <row r="456" spans="1:10" x14ac:dyDescent="0.25">
      <c r="A456">
        <v>478</v>
      </c>
      <c r="B456">
        <v>48</v>
      </c>
      <c r="C456" t="s">
        <v>45</v>
      </c>
      <c r="D456" s="3">
        <v>143424</v>
      </c>
      <c r="E456">
        <v>24</v>
      </c>
      <c r="F456">
        <v>3</v>
      </c>
      <c r="G456">
        <v>22</v>
      </c>
      <c r="H456" t="s">
        <v>13</v>
      </c>
      <c r="I456">
        <v>594.94000000000005</v>
      </c>
      <c r="J456">
        <v>594.94000000000005</v>
      </c>
    </row>
    <row r="457" spans="1:10" x14ac:dyDescent="0.25">
      <c r="A457">
        <v>482</v>
      </c>
      <c r="B457">
        <v>65</v>
      </c>
      <c r="C457" t="s">
        <v>45</v>
      </c>
      <c r="D457" s="3">
        <v>120542</v>
      </c>
      <c r="E457">
        <v>52</v>
      </c>
      <c r="F457">
        <v>3</v>
      </c>
      <c r="G457">
        <v>36</v>
      </c>
      <c r="H457" t="s">
        <v>17</v>
      </c>
      <c r="I457">
        <v>70.22</v>
      </c>
      <c r="J457">
        <v>70.22</v>
      </c>
    </row>
    <row r="458" spans="1:10" x14ac:dyDescent="0.25">
      <c r="A458">
        <v>486</v>
      </c>
      <c r="B458">
        <v>66</v>
      </c>
      <c r="C458" t="s">
        <v>45</v>
      </c>
      <c r="D458" s="3">
        <v>91672</v>
      </c>
      <c r="E458">
        <v>71</v>
      </c>
      <c r="F458">
        <v>5</v>
      </c>
      <c r="G458">
        <v>9</v>
      </c>
      <c r="H458" t="s">
        <v>17</v>
      </c>
      <c r="I458">
        <v>10.4</v>
      </c>
      <c r="J458">
        <v>10.4</v>
      </c>
    </row>
    <row r="459" spans="1:10" x14ac:dyDescent="0.25">
      <c r="A459">
        <v>488</v>
      </c>
      <c r="B459">
        <v>47</v>
      </c>
      <c r="C459" t="s">
        <v>45</v>
      </c>
      <c r="D459" s="3">
        <v>124597</v>
      </c>
      <c r="E459">
        <v>67</v>
      </c>
      <c r="F459">
        <v>9</v>
      </c>
      <c r="G459">
        <v>8</v>
      </c>
      <c r="H459" t="s">
        <v>17</v>
      </c>
      <c r="I459">
        <v>885.33</v>
      </c>
      <c r="J459">
        <v>885.33</v>
      </c>
    </row>
    <row r="460" spans="1:10" x14ac:dyDescent="0.25">
      <c r="A460">
        <v>517</v>
      </c>
      <c r="B460">
        <v>18</v>
      </c>
      <c r="C460" t="s">
        <v>45</v>
      </c>
      <c r="D460" s="3">
        <v>112021</v>
      </c>
      <c r="E460">
        <v>9</v>
      </c>
      <c r="F460">
        <v>3</v>
      </c>
      <c r="G460">
        <v>11</v>
      </c>
      <c r="H460" t="s">
        <v>16</v>
      </c>
      <c r="I460">
        <v>588.37</v>
      </c>
      <c r="J460">
        <v>588.37</v>
      </c>
    </row>
    <row r="461" spans="1:10" x14ac:dyDescent="0.25">
      <c r="A461">
        <v>521</v>
      </c>
      <c r="B461">
        <v>69</v>
      </c>
      <c r="C461" t="s">
        <v>45</v>
      </c>
      <c r="D461" s="3">
        <v>78534</v>
      </c>
      <c r="E461">
        <v>100</v>
      </c>
      <c r="F461">
        <v>2</v>
      </c>
      <c r="G461">
        <v>9</v>
      </c>
      <c r="H461" t="s">
        <v>13</v>
      </c>
      <c r="I461">
        <v>75.03</v>
      </c>
      <c r="J461">
        <v>75.03</v>
      </c>
    </row>
    <row r="462" spans="1:10" x14ac:dyDescent="0.25">
      <c r="A462">
        <v>542</v>
      </c>
      <c r="B462">
        <v>69</v>
      </c>
      <c r="C462" t="s">
        <v>45</v>
      </c>
      <c r="D462" s="3">
        <v>86860</v>
      </c>
      <c r="E462">
        <v>70</v>
      </c>
      <c r="F462">
        <v>1</v>
      </c>
      <c r="G462">
        <v>1</v>
      </c>
      <c r="H462" t="s">
        <v>17</v>
      </c>
      <c r="I462">
        <v>812.25</v>
      </c>
      <c r="J462">
        <v>812.25</v>
      </c>
    </row>
    <row r="463" spans="1:10" x14ac:dyDescent="0.25">
      <c r="A463">
        <v>546</v>
      </c>
      <c r="B463">
        <v>44</v>
      </c>
      <c r="C463" t="s">
        <v>45</v>
      </c>
      <c r="D463" s="3">
        <v>112137</v>
      </c>
      <c r="E463">
        <v>37</v>
      </c>
      <c r="F463">
        <v>7</v>
      </c>
      <c r="G463">
        <v>18</v>
      </c>
      <c r="H463" t="s">
        <v>16</v>
      </c>
      <c r="I463">
        <v>769.16</v>
      </c>
      <c r="J463">
        <v>769.16</v>
      </c>
    </row>
    <row r="464" spans="1:10" x14ac:dyDescent="0.25">
      <c r="A464">
        <v>561</v>
      </c>
      <c r="B464">
        <v>61</v>
      </c>
      <c r="C464" t="s">
        <v>45</v>
      </c>
      <c r="D464" s="3">
        <v>137276</v>
      </c>
      <c r="E464">
        <v>92</v>
      </c>
      <c r="F464">
        <v>5</v>
      </c>
      <c r="G464">
        <v>8</v>
      </c>
      <c r="H464" t="s">
        <v>16</v>
      </c>
      <c r="I464">
        <v>482.77</v>
      </c>
      <c r="J464">
        <v>482.77</v>
      </c>
    </row>
    <row r="465" spans="1:10" x14ac:dyDescent="0.25">
      <c r="A465">
        <v>570</v>
      </c>
      <c r="B465">
        <v>18</v>
      </c>
      <c r="C465" t="s">
        <v>45</v>
      </c>
      <c r="D465" s="3">
        <v>94701</v>
      </c>
      <c r="E465">
        <v>69</v>
      </c>
      <c r="F465">
        <v>8</v>
      </c>
      <c r="G465">
        <v>48</v>
      </c>
      <c r="H465" t="s">
        <v>17</v>
      </c>
      <c r="I465">
        <v>760.34</v>
      </c>
      <c r="J465">
        <v>760.34</v>
      </c>
    </row>
    <row r="466" spans="1:10" x14ac:dyDescent="0.25">
      <c r="A466">
        <v>574</v>
      </c>
      <c r="B466">
        <v>48</v>
      </c>
      <c r="C466" t="s">
        <v>45</v>
      </c>
      <c r="D466" s="3">
        <v>93084</v>
      </c>
      <c r="E466">
        <v>30</v>
      </c>
      <c r="F466">
        <v>7</v>
      </c>
      <c r="G466">
        <v>5</v>
      </c>
      <c r="H466" t="s">
        <v>17</v>
      </c>
      <c r="I466">
        <v>480.55</v>
      </c>
      <c r="J466">
        <v>480.55</v>
      </c>
    </row>
    <row r="467" spans="1:10" x14ac:dyDescent="0.25">
      <c r="A467">
        <v>587</v>
      </c>
      <c r="B467">
        <v>20</v>
      </c>
      <c r="C467" t="s">
        <v>45</v>
      </c>
      <c r="D467" s="3">
        <v>61541</v>
      </c>
      <c r="E467">
        <v>80</v>
      </c>
      <c r="F467">
        <v>2</v>
      </c>
      <c r="G467">
        <v>14</v>
      </c>
      <c r="H467" t="s">
        <v>16</v>
      </c>
      <c r="I467">
        <v>48.5</v>
      </c>
      <c r="J467">
        <v>48.5</v>
      </c>
    </row>
    <row r="468" spans="1:10" x14ac:dyDescent="0.25">
      <c r="A468">
        <v>588</v>
      </c>
      <c r="B468">
        <v>47</v>
      </c>
      <c r="C468" t="s">
        <v>45</v>
      </c>
      <c r="D468" s="3">
        <v>55753</v>
      </c>
      <c r="E468">
        <v>69</v>
      </c>
      <c r="F468">
        <v>5</v>
      </c>
      <c r="G468">
        <v>40</v>
      </c>
      <c r="H468" t="s">
        <v>13</v>
      </c>
      <c r="I468">
        <v>772.89</v>
      </c>
      <c r="J468">
        <v>772.89</v>
      </c>
    </row>
    <row r="469" spans="1:10" x14ac:dyDescent="0.25">
      <c r="A469">
        <v>589</v>
      </c>
      <c r="B469">
        <v>29</v>
      </c>
      <c r="C469" t="s">
        <v>45</v>
      </c>
      <c r="D469" s="3">
        <v>80868</v>
      </c>
      <c r="E469">
        <v>33</v>
      </c>
      <c r="F469">
        <v>6</v>
      </c>
      <c r="G469">
        <v>15</v>
      </c>
      <c r="H469" t="s">
        <v>17</v>
      </c>
      <c r="I469">
        <v>865.65</v>
      </c>
      <c r="J469">
        <v>865.65</v>
      </c>
    </row>
    <row r="470" spans="1:10" x14ac:dyDescent="0.25">
      <c r="A470">
        <v>595</v>
      </c>
      <c r="B470">
        <v>28</v>
      </c>
      <c r="C470" t="s">
        <v>45</v>
      </c>
      <c r="D470" s="3">
        <v>61870</v>
      </c>
      <c r="E470">
        <v>100</v>
      </c>
      <c r="F470">
        <v>6</v>
      </c>
      <c r="G470">
        <v>3</v>
      </c>
      <c r="H470" t="s">
        <v>16</v>
      </c>
      <c r="I470">
        <v>728.67</v>
      </c>
      <c r="J470">
        <v>728.67</v>
      </c>
    </row>
    <row r="471" spans="1:10" x14ac:dyDescent="0.25">
      <c r="A471">
        <v>599</v>
      </c>
      <c r="B471">
        <v>41</v>
      </c>
      <c r="C471" t="s">
        <v>45</v>
      </c>
      <c r="D471" s="3">
        <v>69204</v>
      </c>
      <c r="E471">
        <v>95</v>
      </c>
      <c r="F471">
        <v>4</v>
      </c>
      <c r="G471">
        <v>28</v>
      </c>
      <c r="H471" t="s">
        <v>17</v>
      </c>
      <c r="I471">
        <v>936.04</v>
      </c>
      <c r="J471">
        <v>936.04</v>
      </c>
    </row>
    <row r="472" spans="1:10" x14ac:dyDescent="0.25">
      <c r="A472">
        <v>608</v>
      </c>
      <c r="B472">
        <v>41</v>
      </c>
      <c r="C472" t="s">
        <v>45</v>
      </c>
      <c r="D472" s="3">
        <v>67215</v>
      </c>
      <c r="E472">
        <v>34</v>
      </c>
      <c r="F472">
        <v>3</v>
      </c>
      <c r="G472">
        <v>30</v>
      </c>
      <c r="H472" t="s">
        <v>13</v>
      </c>
      <c r="I472">
        <v>460.25</v>
      </c>
      <c r="J472">
        <v>460.25</v>
      </c>
    </row>
    <row r="473" spans="1:10" x14ac:dyDescent="0.25">
      <c r="A473">
        <v>613</v>
      </c>
      <c r="B473">
        <v>60</v>
      </c>
      <c r="C473" t="s">
        <v>45</v>
      </c>
      <c r="D473" s="3">
        <v>53295</v>
      </c>
      <c r="E473">
        <v>73</v>
      </c>
      <c r="F473">
        <v>3</v>
      </c>
      <c r="G473">
        <v>5</v>
      </c>
      <c r="H473" t="s">
        <v>13</v>
      </c>
      <c r="I473">
        <v>642.29999999999995</v>
      </c>
      <c r="J473">
        <v>642.29999999999995</v>
      </c>
    </row>
    <row r="474" spans="1:10" x14ac:dyDescent="0.25">
      <c r="A474">
        <v>617</v>
      </c>
      <c r="B474">
        <v>29</v>
      </c>
      <c r="C474" t="s">
        <v>45</v>
      </c>
      <c r="D474" s="3">
        <v>83172</v>
      </c>
      <c r="E474">
        <v>51</v>
      </c>
      <c r="F474">
        <v>8</v>
      </c>
      <c r="G474">
        <v>1</v>
      </c>
      <c r="H474" t="s">
        <v>17</v>
      </c>
      <c r="I474">
        <v>906.75</v>
      </c>
      <c r="J474">
        <v>906.75</v>
      </c>
    </row>
    <row r="475" spans="1:10" x14ac:dyDescent="0.25">
      <c r="A475">
        <v>619</v>
      </c>
      <c r="B475">
        <v>29</v>
      </c>
      <c r="C475" t="s">
        <v>45</v>
      </c>
      <c r="D475" s="3">
        <v>88288</v>
      </c>
      <c r="E475">
        <v>39</v>
      </c>
      <c r="F475">
        <v>5</v>
      </c>
      <c r="G475">
        <v>50</v>
      </c>
      <c r="H475" t="s">
        <v>16</v>
      </c>
      <c r="I475">
        <v>803.87</v>
      </c>
      <c r="J475">
        <v>803.87</v>
      </c>
    </row>
    <row r="476" spans="1:10" x14ac:dyDescent="0.25">
      <c r="A476">
        <v>624</v>
      </c>
      <c r="B476">
        <v>59</v>
      </c>
      <c r="C476" t="s">
        <v>45</v>
      </c>
      <c r="D476" s="3">
        <v>66196</v>
      </c>
      <c r="E476">
        <v>37</v>
      </c>
      <c r="F476">
        <v>9</v>
      </c>
      <c r="G476">
        <v>44</v>
      </c>
      <c r="H476" t="s">
        <v>17</v>
      </c>
      <c r="I476">
        <v>483.66</v>
      </c>
      <c r="J476">
        <v>483.66</v>
      </c>
    </row>
    <row r="477" spans="1:10" x14ac:dyDescent="0.25">
      <c r="A477">
        <v>637</v>
      </c>
      <c r="B477">
        <v>52</v>
      </c>
      <c r="C477" t="s">
        <v>45</v>
      </c>
      <c r="D477" s="3">
        <v>85267</v>
      </c>
      <c r="E477">
        <v>6</v>
      </c>
      <c r="F477">
        <v>5</v>
      </c>
      <c r="G477">
        <v>2</v>
      </c>
      <c r="H477" t="s">
        <v>13</v>
      </c>
      <c r="I477">
        <v>704.32</v>
      </c>
      <c r="J477">
        <v>704.32</v>
      </c>
    </row>
    <row r="478" spans="1:10" x14ac:dyDescent="0.25">
      <c r="A478">
        <v>645</v>
      </c>
      <c r="B478">
        <v>67</v>
      </c>
      <c r="C478" t="s">
        <v>45</v>
      </c>
      <c r="D478" s="3">
        <v>115578</v>
      </c>
      <c r="E478">
        <v>10</v>
      </c>
      <c r="F478">
        <v>1</v>
      </c>
      <c r="G478">
        <v>36</v>
      </c>
      <c r="H478" t="s">
        <v>16</v>
      </c>
      <c r="I478">
        <v>646.16</v>
      </c>
      <c r="J478">
        <v>646.16</v>
      </c>
    </row>
    <row r="479" spans="1:10" x14ac:dyDescent="0.25">
      <c r="A479">
        <v>650</v>
      </c>
      <c r="B479">
        <v>47</v>
      </c>
      <c r="C479" t="s">
        <v>45</v>
      </c>
      <c r="D479" s="3">
        <v>88268</v>
      </c>
      <c r="E479">
        <v>32</v>
      </c>
      <c r="F479">
        <v>8</v>
      </c>
      <c r="G479">
        <v>27</v>
      </c>
      <c r="H479" t="s">
        <v>16</v>
      </c>
      <c r="I479">
        <v>686.5</v>
      </c>
      <c r="J479">
        <v>686.5</v>
      </c>
    </row>
    <row r="480" spans="1:10" x14ac:dyDescent="0.25">
      <c r="A480">
        <v>655</v>
      </c>
      <c r="B480">
        <v>45</v>
      </c>
      <c r="C480" t="s">
        <v>45</v>
      </c>
      <c r="D480" s="3">
        <v>47989</v>
      </c>
      <c r="E480">
        <v>70</v>
      </c>
      <c r="F480">
        <v>6</v>
      </c>
      <c r="G480">
        <v>9</v>
      </c>
      <c r="H480" t="s">
        <v>16</v>
      </c>
      <c r="I480">
        <v>218.77</v>
      </c>
      <c r="J480">
        <v>218.77</v>
      </c>
    </row>
    <row r="481" spans="1:10" x14ac:dyDescent="0.25">
      <c r="A481">
        <v>656</v>
      </c>
      <c r="B481">
        <v>33</v>
      </c>
      <c r="C481" t="s">
        <v>45</v>
      </c>
      <c r="D481" s="3">
        <v>65142</v>
      </c>
      <c r="E481">
        <v>45</v>
      </c>
      <c r="F481">
        <v>10</v>
      </c>
      <c r="G481">
        <v>42</v>
      </c>
      <c r="H481" t="s">
        <v>17</v>
      </c>
      <c r="I481">
        <v>132.6</v>
      </c>
      <c r="J481">
        <v>132.6</v>
      </c>
    </row>
    <row r="482" spans="1:10" x14ac:dyDescent="0.25">
      <c r="A482">
        <v>659</v>
      </c>
      <c r="B482">
        <v>35</v>
      </c>
      <c r="C482" t="s">
        <v>45</v>
      </c>
      <c r="D482" s="3">
        <v>116378</v>
      </c>
      <c r="E482">
        <v>38</v>
      </c>
      <c r="F482">
        <v>10</v>
      </c>
      <c r="G482">
        <v>11</v>
      </c>
      <c r="H482" t="s">
        <v>17</v>
      </c>
      <c r="I482">
        <v>79.27</v>
      </c>
      <c r="J482">
        <v>79.27</v>
      </c>
    </row>
    <row r="483" spans="1:10" x14ac:dyDescent="0.25">
      <c r="A483">
        <v>662</v>
      </c>
      <c r="B483">
        <v>66</v>
      </c>
      <c r="C483" t="s">
        <v>45</v>
      </c>
      <c r="D483" s="3">
        <v>38652</v>
      </c>
      <c r="E483">
        <v>40</v>
      </c>
      <c r="F483">
        <v>10</v>
      </c>
      <c r="G483">
        <v>7</v>
      </c>
      <c r="H483" t="s">
        <v>13</v>
      </c>
      <c r="I483">
        <v>566.59</v>
      </c>
      <c r="J483">
        <v>566.59</v>
      </c>
    </row>
    <row r="484" spans="1:10" x14ac:dyDescent="0.25">
      <c r="A484">
        <v>664</v>
      </c>
      <c r="B484">
        <v>56</v>
      </c>
      <c r="C484" t="s">
        <v>45</v>
      </c>
      <c r="D484" s="3">
        <v>30492</v>
      </c>
      <c r="E484">
        <v>47</v>
      </c>
      <c r="F484">
        <v>5</v>
      </c>
      <c r="G484">
        <v>6</v>
      </c>
      <c r="H484" t="s">
        <v>16</v>
      </c>
      <c r="I484">
        <v>725.26</v>
      </c>
      <c r="J484">
        <v>725.26</v>
      </c>
    </row>
    <row r="485" spans="1:10" x14ac:dyDescent="0.25">
      <c r="A485">
        <v>670</v>
      </c>
      <c r="B485">
        <v>55</v>
      </c>
      <c r="C485" t="s">
        <v>45</v>
      </c>
      <c r="D485" s="3">
        <v>59108</v>
      </c>
      <c r="E485">
        <v>36</v>
      </c>
      <c r="F485">
        <v>6</v>
      </c>
      <c r="G485">
        <v>31</v>
      </c>
      <c r="H485" t="s">
        <v>13</v>
      </c>
      <c r="I485">
        <v>900.16</v>
      </c>
      <c r="J485">
        <v>900.16</v>
      </c>
    </row>
    <row r="486" spans="1:10" x14ac:dyDescent="0.25">
      <c r="A486">
        <v>678</v>
      </c>
      <c r="B486">
        <v>63</v>
      </c>
      <c r="C486" t="s">
        <v>45</v>
      </c>
      <c r="D486" s="3">
        <v>56374</v>
      </c>
      <c r="E486">
        <v>60</v>
      </c>
      <c r="F486">
        <v>4</v>
      </c>
      <c r="G486">
        <v>45</v>
      </c>
      <c r="H486" t="s">
        <v>13</v>
      </c>
      <c r="I486">
        <v>943.5</v>
      </c>
      <c r="J486">
        <v>943.5</v>
      </c>
    </row>
    <row r="487" spans="1:10" x14ac:dyDescent="0.25">
      <c r="A487">
        <v>680</v>
      </c>
      <c r="B487">
        <v>36</v>
      </c>
      <c r="C487" t="s">
        <v>45</v>
      </c>
      <c r="D487" s="3">
        <v>106345</v>
      </c>
      <c r="E487">
        <v>98</v>
      </c>
      <c r="F487">
        <v>7</v>
      </c>
      <c r="G487">
        <v>49</v>
      </c>
      <c r="H487" t="s">
        <v>17</v>
      </c>
      <c r="I487">
        <v>55.21</v>
      </c>
      <c r="J487">
        <v>55.21</v>
      </c>
    </row>
    <row r="488" spans="1:10" x14ac:dyDescent="0.25">
      <c r="A488">
        <v>689</v>
      </c>
      <c r="B488">
        <v>69</v>
      </c>
      <c r="C488" t="s">
        <v>45</v>
      </c>
      <c r="D488" s="3">
        <v>45024</v>
      </c>
      <c r="E488">
        <v>38</v>
      </c>
      <c r="F488">
        <v>5</v>
      </c>
      <c r="G488">
        <v>11</v>
      </c>
      <c r="H488" t="s">
        <v>17</v>
      </c>
      <c r="I488">
        <v>830.03</v>
      </c>
      <c r="J488">
        <v>830.03</v>
      </c>
    </row>
    <row r="489" spans="1:10" x14ac:dyDescent="0.25">
      <c r="A489">
        <v>691</v>
      </c>
      <c r="B489">
        <v>53</v>
      </c>
      <c r="C489" t="s">
        <v>45</v>
      </c>
      <c r="D489" s="3">
        <v>84686</v>
      </c>
      <c r="E489">
        <v>93</v>
      </c>
      <c r="F489">
        <v>8</v>
      </c>
      <c r="G489">
        <v>1</v>
      </c>
      <c r="H489" t="s">
        <v>16</v>
      </c>
      <c r="I489">
        <v>109.54</v>
      </c>
      <c r="J489">
        <v>109.54</v>
      </c>
    </row>
    <row r="490" spans="1:10" x14ac:dyDescent="0.25">
      <c r="A490">
        <v>699</v>
      </c>
      <c r="B490">
        <v>55</v>
      </c>
      <c r="C490" t="s">
        <v>45</v>
      </c>
      <c r="D490" s="3">
        <v>53164</v>
      </c>
      <c r="E490">
        <v>64</v>
      </c>
      <c r="F490">
        <v>2</v>
      </c>
      <c r="G490">
        <v>19</v>
      </c>
      <c r="H490" t="s">
        <v>17</v>
      </c>
      <c r="I490">
        <v>932.41</v>
      </c>
      <c r="J490">
        <v>932.41</v>
      </c>
    </row>
    <row r="491" spans="1:10" x14ac:dyDescent="0.25">
      <c r="A491">
        <v>726</v>
      </c>
      <c r="B491">
        <v>40</v>
      </c>
      <c r="C491" t="s">
        <v>45</v>
      </c>
      <c r="D491" s="3">
        <v>105994</v>
      </c>
      <c r="E491">
        <v>39</v>
      </c>
      <c r="F491">
        <v>9</v>
      </c>
      <c r="G491">
        <v>17</v>
      </c>
      <c r="H491" t="s">
        <v>13</v>
      </c>
      <c r="I491">
        <v>347.21</v>
      </c>
      <c r="J491">
        <v>347.21</v>
      </c>
    </row>
    <row r="492" spans="1:10" x14ac:dyDescent="0.25">
      <c r="A492">
        <v>727</v>
      </c>
      <c r="B492">
        <v>18</v>
      </c>
      <c r="C492" t="s">
        <v>45</v>
      </c>
      <c r="D492" s="3">
        <v>84764</v>
      </c>
      <c r="E492">
        <v>2</v>
      </c>
      <c r="F492">
        <v>6</v>
      </c>
      <c r="G492">
        <v>49</v>
      </c>
      <c r="H492" t="s">
        <v>13</v>
      </c>
      <c r="I492">
        <v>348.51</v>
      </c>
      <c r="J492">
        <v>348.51</v>
      </c>
    </row>
    <row r="493" spans="1:10" x14ac:dyDescent="0.25">
      <c r="A493">
        <v>728</v>
      </c>
      <c r="B493">
        <v>28</v>
      </c>
      <c r="C493" t="s">
        <v>45</v>
      </c>
      <c r="D493" s="3">
        <v>53503</v>
      </c>
      <c r="E493">
        <v>39</v>
      </c>
      <c r="F493">
        <v>5</v>
      </c>
      <c r="G493">
        <v>30</v>
      </c>
      <c r="H493" t="s">
        <v>16</v>
      </c>
      <c r="I493">
        <v>591.64</v>
      </c>
      <c r="J493">
        <v>591.64</v>
      </c>
    </row>
    <row r="494" spans="1:10" x14ac:dyDescent="0.25">
      <c r="A494">
        <v>735</v>
      </c>
      <c r="B494">
        <v>38</v>
      </c>
      <c r="C494" t="s">
        <v>45</v>
      </c>
      <c r="D494" s="3">
        <v>115537</v>
      </c>
      <c r="E494">
        <v>10</v>
      </c>
      <c r="F494">
        <v>7</v>
      </c>
      <c r="G494">
        <v>25</v>
      </c>
      <c r="H494" t="s">
        <v>17</v>
      </c>
      <c r="I494">
        <v>632.99</v>
      </c>
      <c r="J494">
        <v>632.99</v>
      </c>
    </row>
    <row r="495" spans="1:10" x14ac:dyDescent="0.25">
      <c r="A495">
        <v>742</v>
      </c>
      <c r="B495">
        <v>45</v>
      </c>
      <c r="C495" t="s">
        <v>45</v>
      </c>
      <c r="D495" s="3">
        <v>30738</v>
      </c>
      <c r="E495">
        <v>38</v>
      </c>
      <c r="F495">
        <v>7</v>
      </c>
      <c r="G495">
        <v>5</v>
      </c>
      <c r="H495" t="s">
        <v>13</v>
      </c>
      <c r="I495">
        <v>144</v>
      </c>
      <c r="J495">
        <v>144</v>
      </c>
    </row>
    <row r="496" spans="1:10" x14ac:dyDescent="0.25">
      <c r="A496">
        <v>759</v>
      </c>
      <c r="B496">
        <v>64</v>
      </c>
      <c r="C496" t="s">
        <v>45</v>
      </c>
      <c r="D496" s="3">
        <v>130443</v>
      </c>
      <c r="E496">
        <v>29</v>
      </c>
      <c r="F496">
        <v>1</v>
      </c>
      <c r="G496">
        <v>17</v>
      </c>
      <c r="H496" t="s">
        <v>13</v>
      </c>
      <c r="I496">
        <v>835.67</v>
      </c>
      <c r="J496">
        <v>835.67</v>
      </c>
    </row>
    <row r="497" spans="1:10" x14ac:dyDescent="0.25">
      <c r="A497">
        <v>766</v>
      </c>
      <c r="B497">
        <v>41</v>
      </c>
      <c r="C497" t="s">
        <v>45</v>
      </c>
      <c r="D497" s="3">
        <v>74198</v>
      </c>
      <c r="E497">
        <v>84</v>
      </c>
      <c r="F497">
        <v>1</v>
      </c>
      <c r="G497">
        <v>50</v>
      </c>
      <c r="H497" t="s">
        <v>17</v>
      </c>
      <c r="I497">
        <v>60.51</v>
      </c>
      <c r="J497">
        <v>60.51</v>
      </c>
    </row>
    <row r="498" spans="1:10" x14ac:dyDescent="0.25">
      <c r="A498">
        <v>767</v>
      </c>
      <c r="B498">
        <v>45</v>
      </c>
      <c r="C498" t="s">
        <v>45</v>
      </c>
      <c r="D498" s="3">
        <v>62582</v>
      </c>
      <c r="E498">
        <v>1</v>
      </c>
      <c r="F498">
        <v>6</v>
      </c>
      <c r="G498">
        <v>46</v>
      </c>
      <c r="H498" t="s">
        <v>17</v>
      </c>
      <c r="I498">
        <v>298.11</v>
      </c>
      <c r="J498">
        <v>298.11</v>
      </c>
    </row>
    <row r="499" spans="1:10" x14ac:dyDescent="0.25">
      <c r="A499">
        <v>768</v>
      </c>
      <c r="B499">
        <v>33</v>
      </c>
      <c r="C499" t="s">
        <v>45</v>
      </c>
      <c r="D499" s="3">
        <v>92798</v>
      </c>
      <c r="E499">
        <v>80</v>
      </c>
      <c r="F499">
        <v>3</v>
      </c>
      <c r="G499">
        <v>44</v>
      </c>
      <c r="H499" t="s">
        <v>16</v>
      </c>
      <c r="I499">
        <v>367.85</v>
      </c>
      <c r="J499">
        <v>367.85</v>
      </c>
    </row>
    <row r="500" spans="1:10" x14ac:dyDescent="0.25">
      <c r="A500">
        <v>771</v>
      </c>
      <c r="B500">
        <v>55</v>
      </c>
      <c r="C500" t="s">
        <v>45</v>
      </c>
      <c r="D500" s="3">
        <v>53069</v>
      </c>
      <c r="E500">
        <v>3</v>
      </c>
      <c r="F500">
        <v>10</v>
      </c>
      <c r="G500">
        <v>43</v>
      </c>
      <c r="H500" t="s">
        <v>17</v>
      </c>
      <c r="I500">
        <v>777.97</v>
      </c>
      <c r="J500">
        <v>777.97</v>
      </c>
    </row>
    <row r="501" spans="1:10" x14ac:dyDescent="0.25">
      <c r="A501">
        <v>783</v>
      </c>
      <c r="B501">
        <v>39</v>
      </c>
      <c r="C501" t="s">
        <v>45</v>
      </c>
      <c r="D501" s="3">
        <v>71987</v>
      </c>
      <c r="E501">
        <v>42</v>
      </c>
      <c r="F501">
        <v>5</v>
      </c>
      <c r="G501">
        <v>35</v>
      </c>
      <c r="H501" t="s">
        <v>17</v>
      </c>
      <c r="I501">
        <v>196.61</v>
      </c>
      <c r="J501">
        <v>196.61</v>
      </c>
    </row>
    <row r="502" spans="1:10" x14ac:dyDescent="0.25">
      <c r="A502">
        <v>784</v>
      </c>
      <c r="B502">
        <v>47</v>
      </c>
      <c r="C502" t="s">
        <v>45</v>
      </c>
      <c r="D502" s="3">
        <v>64229</v>
      </c>
      <c r="E502">
        <v>74</v>
      </c>
      <c r="F502">
        <v>5</v>
      </c>
      <c r="G502">
        <v>22</v>
      </c>
      <c r="H502" t="s">
        <v>16</v>
      </c>
      <c r="I502">
        <v>438.95</v>
      </c>
      <c r="J502">
        <v>438.95</v>
      </c>
    </row>
    <row r="503" spans="1:10" x14ac:dyDescent="0.25">
      <c r="A503">
        <v>787</v>
      </c>
      <c r="B503">
        <v>57</v>
      </c>
      <c r="C503" t="s">
        <v>45</v>
      </c>
      <c r="D503" s="3">
        <v>56547</v>
      </c>
      <c r="E503">
        <v>65</v>
      </c>
      <c r="F503">
        <v>10</v>
      </c>
      <c r="G503">
        <v>43</v>
      </c>
      <c r="H503" t="s">
        <v>16</v>
      </c>
      <c r="I503">
        <v>686.83</v>
      </c>
      <c r="J503">
        <v>686.83</v>
      </c>
    </row>
    <row r="504" spans="1:10" x14ac:dyDescent="0.25">
      <c r="A504">
        <v>812</v>
      </c>
      <c r="B504">
        <v>53</v>
      </c>
      <c r="C504" t="s">
        <v>45</v>
      </c>
      <c r="D504" s="3">
        <v>76842</v>
      </c>
      <c r="E504">
        <v>73</v>
      </c>
      <c r="F504">
        <v>6</v>
      </c>
      <c r="G504">
        <v>35</v>
      </c>
      <c r="H504" t="s">
        <v>13</v>
      </c>
      <c r="I504">
        <v>701.61</v>
      </c>
      <c r="J504">
        <v>701.61</v>
      </c>
    </row>
    <row r="505" spans="1:10" x14ac:dyDescent="0.25">
      <c r="A505">
        <v>814</v>
      </c>
      <c r="B505">
        <v>56</v>
      </c>
      <c r="C505" t="s">
        <v>45</v>
      </c>
      <c r="D505" s="3">
        <v>145028</v>
      </c>
      <c r="E505">
        <v>2</v>
      </c>
      <c r="F505">
        <v>10</v>
      </c>
      <c r="G505">
        <v>32</v>
      </c>
      <c r="H505" t="s">
        <v>13</v>
      </c>
      <c r="I505">
        <v>849.56</v>
      </c>
      <c r="J505">
        <v>849.56</v>
      </c>
    </row>
    <row r="506" spans="1:10" x14ac:dyDescent="0.25">
      <c r="A506">
        <v>816</v>
      </c>
      <c r="B506">
        <v>50</v>
      </c>
      <c r="C506" t="s">
        <v>45</v>
      </c>
      <c r="D506" s="3">
        <v>143612</v>
      </c>
      <c r="E506">
        <v>71</v>
      </c>
      <c r="F506">
        <v>9</v>
      </c>
      <c r="G506">
        <v>28</v>
      </c>
      <c r="H506" t="s">
        <v>16</v>
      </c>
      <c r="I506">
        <v>372.69</v>
      </c>
      <c r="J506">
        <v>372.69</v>
      </c>
    </row>
    <row r="507" spans="1:10" x14ac:dyDescent="0.25">
      <c r="A507">
        <v>819</v>
      </c>
      <c r="B507">
        <v>46</v>
      </c>
      <c r="C507" t="s">
        <v>45</v>
      </c>
      <c r="D507" s="3">
        <v>58692</v>
      </c>
      <c r="E507">
        <v>2</v>
      </c>
      <c r="F507">
        <v>9</v>
      </c>
      <c r="G507">
        <v>22</v>
      </c>
      <c r="H507" t="s">
        <v>13</v>
      </c>
      <c r="I507">
        <v>230.66</v>
      </c>
      <c r="J507">
        <v>230.66</v>
      </c>
    </row>
    <row r="508" spans="1:10" x14ac:dyDescent="0.25">
      <c r="A508">
        <v>821</v>
      </c>
      <c r="B508">
        <v>41</v>
      </c>
      <c r="C508" t="s">
        <v>45</v>
      </c>
      <c r="D508" s="3">
        <v>37547</v>
      </c>
      <c r="E508">
        <v>72</v>
      </c>
      <c r="F508">
        <v>3</v>
      </c>
      <c r="G508">
        <v>24</v>
      </c>
      <c r="H508" t="s">
        <v>16</v>
      </c>
      <c r="I508">
        <v>897.46</v>
      </c>
      <c r="J508">
        <v>897.46</v>
      </c>
    </row>
    <row r="509" spans="1:10" x14ac:dyDescent="0.25">
      <c r="A509">
        <v>832</v>
      </c>
      <c r="B509">
        <v>69</v>
      </c>
      <c r="C509" t="s">
        <v>45</v>
      </c>
      <c r="D509" s="3">
        <v>81964</v>
      </c>
      <c r="E509">
        <v>22</v>
      </c>
      <c r="F509">
        <v>1</v>
      </c>
      <c r="G509">
        <v>3</v>
      </c>
      <c r="H509" t="s">
        <v>13</v>
      </c>
      <c r="I509">
        <v>839.2</v>
      </c>
      <c r="J509">
        <v>839.2</v>
      </c>
    </row>
    <row r="510" spans="1:10" x14ac:dyDescent="0.25">
      <c r="A510">
        <v>836</v>
      </c>
      <c r="B510">
        <v>30</v>
      </c>
      <c r="C510" t="s">
        <v>45</v>
      </c>
      <c r="D510" s="3">
        <v>42089</v>
      </c>
      <c r="E510">
        <v>29</v>
      </c>
      <c r="F510">
        <v>3</v>
      </c>
      <c r="G510">
        <v>3</v>
      </c>
      <c r="H510" t="s">
        <v>13</v>
      </c>
      <c r="I510">
        <v>536.52</v>
      </c>
      <c r="J510">
        <v>536.52</v>
      </c>
    </row>
    <row r="511" spans="1:10" x14ac:dyDescent="0.25">
      <c r="A511">
        <v>843</v>
      </c>
      <c r="B511">
        <v>50</v>
      </c>
      <c r="C511" t="s">
        <v>45</v>
      </c>
      <c r="D511" s="3">
        <v>149578</v>
      </c>
      <c r="E511">
        <v>28</v>
      </c>
      <c r="F511">
        <v>2</v>
      </c>
      <c r="G511">
        <v>39</v>
      </c>
      <c r="H511" t="s">
        <v>13</v>
      </c>
      <c r="I511">
        <v>839.34</v>
      </c>
      <c r="J511">
        <v>839.34</v>
      </c>
    </row>
    <row r="512" spans="1:10" x14ac:dyDescent="0.25">
      <c r="A512">
        <v>848</v>
      </c>
      <c r="B512">
        <v>60</v>
      </c>
      <c r="C512" t="s">
        <v>45</v>
      </c>
      <c r="D512" s="3">
        <v>111784</v>
      </c>
      <c r="E512">
        <v>31</v>
      </c>
      <c r="F512">
        <v>1</v>
      </c>
      <c r="G512">
        <v>14</v>
      </c>
      <c r="H512" t="s">
        <v>17</v>
      </c>
      <c r="I512">
        <v>122.12</v>
      </c>
      <c r="J512">
        <v>122.12</v>
      </c>
    </row>
    <row r="513" spans="1:10" x14ac:dyDescent="0.25">
      <c r="A513">
        <v>851</v>
      </c>
      <c r="B513">
        <v>51</v>
      </c>
      <c r="C513" t="s">
        <v>45</v>
      </c>
      <c r="D513" s="3">
        <v>59566</v>
      </c>
      <c r="E513">
        <v>25</v>
      </c>
      <c r="F513">
        <v>5</v>
      </c>
      <c r="G513">
        <v>22</v>
      </c>
      <c r="H513" t="s">
        <v>16</v>
      </c>
      <c r="I513">
        <v>847.03</v>
      </c>
      <c r="J513">
        <v>847.03</v>
      </c>
    </row>
    <row r="514" spans="1:10" x14ac:dyDescent="0.25">
      <c r="A514">
        <v>853</v>
      </c>
      <c r="B514">
        <v>22</v>
      </c>
      <c r="C514" t="s">
        <v>45</v>
      </c>
      <c r="D514" s="3">
        <v>120644</v>
      </c>
      <c r="E514">
        <v>75</v>
      </c>
      <c r="F514">
        <v>1</v>
      </c>
      <c r="G514">
        <v>4</v>
      </c>
      <c r="H514" t="s">
        <v>17</v>
      </c>
      <c r="I514">
        <v>456.11</v>
      </c>
      <c r="J514">
        <v>456.11</v>
      </c>
    </row>
    <row r="515" spans="1:10" x14ac:dyDescent="0.25">
      <c r="A515">
        <v>856</v>
      </c>
      <c r="B515">
        <v>45</v>
      </c>
      <c r="C515" t="s">
        <v>45</v>
      </c>
      <c r="D515" s="3">
        <v>135627</v>
      </c>
      <c r="E515">
        <v>67</v>
      </c>
      <c r="F515">
        <v>2</v>
      </c>
      <c r="G515">
        <v>46</v>
      </c>
      <c r="H515" t="s">
        <v>16</v>
      </c>
      <c r="I515">
        <v>524.16</v>
      </c>
      <c r="J515">
        <v>524.16</v>
      </c>
    </row>
    <row r="516" spans="1:10" x14ac:dyDescent="0.25">
      <c r="A516">
        <v>861</v>
      </c>
      <c r="B516">
        <v>21</v>
      </c>
      <c r="C516" t="s">
        <v>45</v>
      </c>
      <c r="D516" s="3">
        <v>145884</v>
      </c>
      <c r="E516">
        <v>3</v>
      </c>
      <c r="F516">
        <v>4</v>
      </c>
      <c r="G516">
        <v>25</v>
      </c>
      <c r="H516" t="s">
        <v>13</v>
      </c>
      <c r="I516">
        <v>676.93</v>
      </c>
      <c r="J516">
        <v>676.93</v>
      </c>
    </row>
    <row r="517" spans="1:10" x14ac:dyDescent="0.25">
      <c r="A517">
        <v>863</v>
      </c>
      <c r="B517">
        <v>42</v>
      </c>
      <c r="C517" t="s">
        <v>45</v>
      </c>
      <c r="D517" s="3">
        <v>77292</v>
      </c>
      <c r="E517">
        <v>73</v>
      </c>
      <c r="F517">
        <v>10</v>
      </c>
      <c r="G517">
        <v>43</v>
      </c>
      <c r="H517" t="s">
        <v>16</v>
      </c>
      <c r="I517">
        <v>787.66</v>
      </c>
      <c r="J517">
        <v>787.66</v>
      </c>
    </row>
    <row r="518" spans="1:10" x14ac:dyDescent="0.25">
      <c r="A518">
        <v>865</v>
      </c>
      <c r="B518">
        <v>57</v>
      </c>
      <c r="C518" t="s">
        <v>45</v>
      </c>
      <c r="D518" s="3">
        <v>106632</v>
      </c>
      <c r="E518">
        <v>26</v>
      </c>
      <c r="F518">
        <v>1</v>
      </c>
      <c r="G518">
        <v>17</v>
      </c>
      <c r="H518" t="s">
        <v>16</v>
      </c>
      <c r="I518">
        <v>610.98</v>
      </c>
      <c r="J518">
        <v>610.98</v>
      </c>
    </row>
    <row r="519" spans="1:10" x14ac:dyDescent="0.25">
      <c r="A519">
        <v>868</v>
      </c>
      <c r="B519">
        <v>51</v>
      </c>
      <c r="C519" t="s">
        <v>45</v>
      </c>
      <c r="D519" s="3">
        <v>83467</v>
      </c>
      <c r="E519">
        <v>83</v>
      </c>
      <c r="F519">
        <v>1</v>
      </c>
      <c r="G519">
        <v>19</v>
      </c>
      <c r="H519" t="s">
        <v>17</v>
      </c>
      <c r="I519">
        <v>30.88</v>
      </c>
      <c r="J519">
        <v>30.88</v>
      </c>
    </row>
    <row r="520" spans="1:10" x14ac:dyDescent="0.25">
      <c r="A520">
        <v>870</v>
      </c>
      <c r="B520">
        <v>57</v>
      </c>
      <c r="C520" t="s">
        <v>45</v>
      </c>
      <c r="D520" s="3">
        <v>112212</v>
      </c>
      <c r="E520">
        <v>6</v>
      </c>
      <c r="F520">
        <v>6</v>
      </c>
      <c r="G520">
        <v>44</v>
      </c>
      <c r="H520" t="s">
        <v>13</v>
      </c>
      <c r="I520">
        <v>312.64</v>
      </c>
      <c r="J520">
        <v>312.64</v>
      </c>
    </row>
    <row r="521" spans="1:10" x14ac:dyDescent="0.25">
      <c r="A521">
        <v>880</v>
      </c>
      <c r="B521">
        <v>59</v>
      </c>
      <c r="C521" t="s">
        <v>45</v>
      </c>
      <c r="D521" s="3">
        <v>97355</v>
      </c>
      <c r="E521">
        <v>63</v>
      </c>
      <c r="F521">
        <v>2</v>
      </c>
      <c r="G521">
        <v>22</v>
      </c>
      <c r="H521" t="s">
        <v>16</v>
      </c>
      <c r="I521">
        <v>329.18</v>
      </c>
      <c r="J521">
        <v>329.18</v>
      </c>
    </row>
    <row r="522" spans="1:10" x14ac:dyDescent="0.25">
      <c r="A522">
        <v>883</v>
      </c>
      <c r="B522">
        <v>62</v>
      </c>
      <c r="C522" t="s">
        <v>45</v>
      </c>
      <c r="D522" s="3">
        <v>97909</v>
      </c>
      <c r="E522">
        <v>100</v>
      </c>
      <c r="F522">
        <v>1</v>
      </c>
      <c r="G522">
        <v>5</v>
      </c>
      <c r="H522" t="s">
        <v>13</v>
      </c>
      <c r="I522">
        <v>439.63</v>
      </c>
      <c r="J522">
        <v>439.63</v>
      </c>
    </row>
    <row r="523" spans="1:10" x14ac:dyDescent="0.25">
      <c r="A523">
        <v>890</v>
      </c>
      <c r="B523">
        <v>60</v>
      </c>
      <c r="C523" t="s">
        <v>45</v>
      </c>
      <c r="D523" s="3">
        <v>73059</v>
      </c>
      <c r="E523">
        <v>77</v>
      </c>
      <c r="F523">
        <v>3</v>
      </c>
      <c r="G523">
        <v>31</v>
      </c>
      <c r="H523" t="s">
        <v>17</v>
      </c>
      <c r="I523">
        <v>581.15</v>
      </c>
      <c r="J523">
        <v>581.15</v>
      </c>
    </row>
    <row r="524" spans="1:10" x14ac:dyDescent="0.25">
      <c r="A524">
        <v>898</v>
      </c>
      <c r="B524">
        <v>64</v>
      </c>
      <c r="C524" t="s">
        <v>45</v>
      </c>
      <c r="D524" s="3">
        <v>82140</v>
      </c>
      <c r="E524">
        <v>57</v>
      </c>
      <c r="F524">
        <v>3</v>
      </c>
      <c r="G524">
        <v>7</v>
      </c>
      <c r="H524" t="s">
        <v>13</v>
      </c>
      <c r="I524">
        <v>97.97</v>
      </c>
      <c r="J524">
        <v>97.97</v>
      </c>
    </row>
    <row r="525" spans="1:10" x14ac:dyDescent="0.25">
      <c r="A525">
        <v>907</v>
      </c>
      <c r="B525">
        <v>62</v>
      </c>
      <c r="C525" t="s">
        <v>45</v>
      </c>
      <c r="D525" s="3">
        <v>113706</v>
      </c>
      <c r="E525">
        <v>19</v>
      </c>
      <c r="F525">
        <v>1</v>
      </c>
      <c r="G525">
        <v>13</v>
      </c>
      <c r="H525" t="s">
        <v>13</v>
      </c>
      <c r="I525">
        <v>427.68</v>
      </c>
      <c r="J525">
        <v>427.68</v>
      </c>
    </row>
    <row r="526" spans="1:10" x14ac:dyDescent="0.25">
      <c r="A526">
        <v>910</v>
      </c>
      <c r="B526">
        <v>55</v>
      </c>
      <c r="C526" t="s">
        <v>45</v>
      </c>
      <c r="D526" s="3">
        <v>45562</v>
      </c>
      <c r="E526">
        <v>68</v>
      </c>
      <c r="F526">
        <v>3</v>
      </c>
      <c r="G526">
        <v>30</v>
      </c>
      <c r="H526" t="s">
        <v>16</v>
      </c>
      <c r="I526">
        <v>628.34</v>
      </c>
      <c r="J526">
        <v>628.34</v>
      </c>
    </row>
    <row r="527" spans="1:10" x14ac:dyDescent="0.25">
      <c r="A527">
        <v>919</v>
      </c>
      <c r="B527">
        <v>28</v>
      </c>
      <c r="C527" t="s">
        <v>45</v>
      </c>
      <c r="D527" s="3">
        <v>57107</v>
      </c>
      <c r="E527">
        <v>82</v>
      </c>
      <c r="F527">
        <v>5</v>
      </c>
      <c r="G527">
        <v>2</v>
      </c>
      <c r="H527" t="s">
        <v>13</v>
      </c>
      <c r="I527">
        <v>271.17</v>
      </c>
      <c r="J527">
        <v>271.17</v>
      </c>
    </row>
    <row r="528" spans="1:10" x14ac:dyDescent="0.25">
      <c r="A528">
        <v>925</v>
      </c>
      <c r="B528">
        <v>53</v>
      </c>
      <c r="C528" t="s">
        <v>45</v>
      </c>
      <c r="D528" s="3">
        <v>32539</v>
      </c>
      <c r="E528">
        <v>22</v>
      </c>
      <c r="F528">
        <v>6</v>
      </c>
      <c r="G528">
        <v>42</v>
      </c>
      <c r="H528" t="s">
        <v>13</v>
      </c>
      <c r="I528">
        <v>536.05999999999995</v>
      </c>
      <c r="J528">
        <v>536.05999999999995</v>
      </c>
    </row>
    <row r="529" spans="1:10" x14ac:dyDescent="0.25">
      <c r="A529">
        <v>927</v>
      </c>
      <c r="B529">
        <v>46</v>
      </c>
      <c r="C529" t="s">
        <v>45</v>
      </c>
      <c r="D529" s="3">
        <v>46368</v>
      </c>
      <c r="E529">
        <v>11</v>
      </c>
      <c r="F529">
        <v>7</v>
      </c>
      <c r="G529">
        <v>17</v>
      </c>
      <c r="H529" t="s">
        <v>13</v>
      </c>
      <c r="I529">
        <v>869.05</v>
      </c>
      <c r="J529">
        <v>869.05</v>
      </c>
    </row>
    <row r="530" spans="1:10" x14ac:dyDescent="0.25">
      <c r="A530">
        <v>930</v>
      </c>
      <c r="B530">
        <v>42</v>
      </c>
      <c r="C530" t="s">
        <v>45</v>
      </c>
      <c r="D530" s="3">
        <v>128064</v>
      </c>
      <c r="E530">
        <v>8</v>
      </c>
      <c r="F530">
        <v>8</v>
      </c>
      <c r="G530">
        <v>44</v>
      </c>
      <c r="H530" t="s">
        <v>16</v>
      </c>
      <c r="I530">
        <v>316.5</v>
      </c>
      <c r="J530">
        <v>316.5</v>
      </c>
    </row>
    <row r="531" spans="1:10" x14ac:dyDescent="0.25">
      <c r="A531">
        <v>935</v>
      </c>
      <c r="B531">
        <v>48</v>
      </c>
      <c r="C531" t="s">
        <v>45</v>
      </c>
      <c r="D531" s="3">
        <v>129592</v>
      </c>
      <c r="E531">
        <v>2</v>
      </c>
      <c r="F531">
        <v>3</v>
      </c>
      <c r="G531">
        <v>26</v>
      </c>
      <c r="H531" t="s">
        <v>17</v>
      </c>
      <c r="I531">
        <v>748.46</v>
      </c>
      <c r="J531">
        <v>748.46</v>
      </c>
    </row>
    <row r="532" spans="1:10" x14ac:dyDescent="0.25">
      <c r="A532">
        <v>938</v>
      </c>
      <c r="B532">
        <v>64</v>
      </c>
      <c r="C532" t="s">
        <v>45</v>
      </c>
      <c r="D532" s="3">
        <v>65498</v>
      </c>
      <c r="E532">
        <v>23</v>
      </c>
      <c r="F532">
        <v>5</v>
      </c>
      <c r="G532">
        <v>24</v>
      </c>
      <c r="H532" t="s">
        <v>17</v>
      </c>
      <c r="I532">
        <v>351.94</v>
      </c>
      <c r="J532">
        <v>351.94</v>
      </c>
    </row>
    <row r="533" spans="1:10" x14ac:dyDescent="0.25">
      <c r="A533">
        <v>947</v>
      </c>
      <c r="B533">
        <v>60</v>
      </c>
      <c r="C533" t="s">
        <v>45</v>
      </c>
      <c r="D533" s="3">
        <v>111493</v>
      </c>
      <c r="E533">
        <v>40</v>
      </c>
      <c r="F533">
        <v>10</v>
      </c>
      <c r="G533">
        <v>8</v>
      </c>
      <c r="H533" t="s">
        <v>16</v>
      </c>
      <c r="I533">
        <v>190.34</v>
      </c>
      <c r="J533">
        <v>190.34</v>
      </c>
    </row>
    <row r="534" spans="1:10" x14ac:dyDescent="0.25">
      <c r="A534">
        <v>950</v>
      </c>
      <c r="B534">
        <v>45</v>
      </c>
      <c r="C534" t="s">
        <v>45</v>
      </c>
      <c r="D534" s="3">
        <v>114390</v>
      </c>
      <c r="E534">
        <v>38</v>
      </c>
      <c r="F534">
        <v>3</v>
      </c>
      <c r="G534">
        <v>9</v>
      </c>
      <c r="H534" t="s">
        <v>16</v>
      </c>
      <c r="I534">
        <v>663.25</v>
      </c>
      <c r="J534">
        <v>663.25</v>
      </c>
    </row>
    <row r="535" spans="1:10" x14ac:dyDescent="0.25">
      <c r="A535">
        <v>956</v>
      </c>
      <c r="B535">
        <v>60</v>
      </c>
      <c r="C535" t="s">
        <v>45</v>
      </c>
      <c r="D535" s="3">
        <v>48802</v>
      </c>
      <c r="E535">
        <v>68</v>
      </c>
      <c r="F535">
        <v>1</v>
      </c>
      <c r="G535">
        <v>40</v>
      </c>
      <c r="H535" t="s">
        <v>16</v>
      </c>
      <c r="I535">
        <v>296.76</v>
      </c>
      <c r="J535">
        <v>296.76</v>
      </c>
    </row>
    <row r="536" spans="1:10" x14ac:dyDescent="0.25">
      <c r="A536">
        <v>966</v>
      </c>
      <c r="B536">
        <v>58</v>
      </c>
      <c r="C536" t="s">
        <v>45</v>
      </c>
      <c r="D536" s="3">
        <v>133888</v>
      </c>
      <c r="E536">
        <v>92</v>
      </c>
      <c r="F536">
        <v>10</v>
      </c>
      <c r="G536">
        <v>14</v>
      </c>
      <c r="H536" t="s">
        <v>13</v>
      </c>
      <c r="I536">
        <v>628.29999999999995</v>
      </c>
      <c r="J536">
        <v>628.29999999999995</v>
      </c>
    </row>
    <row r="537" spans="1:10" x14ac:dyDescent="0.25">
      <c r="A537">
        <v>982</v>
      </c>
      <c r="B537">
        <v>59</v>
      </c>
      <c r="C537" t="s">
        <v>45</v>
      </c>
      <c r="D537" s="3">
        <v>87884</v>
      </c>
      <c r="E537">
        <v>79</v>
      </c>
      <c r="F537">
        <v>9</v>
      </c>
      <c r="G537">
        <v>28</v>
      </c>
      <c r="H537" t="s">
        <v>16</v>
      </c>
      <c r="I537">
        <v>491.55</v>
      </c>
      <c r="J537">
        <v>491.55</v>
      </c>
    </row>
    <row r="538" spans="1:10" x14ac:dyDescent="0.25">
      <c r="A538">
        <v>986</v>
      </c>
      <c r="B538">
        <v>66</v>
      </c>
      <c r="C538" t="s">
        <v>45</v>
      </c>
      <c r="D538" s="3">
        <v>78149</v>
      </c>
      <c r="E538">
        <v>2</v>
      </c>
      <c r="F538">
        <v>10</v>
      </c>
      <c r="G538">
        <v>9</v>
      </c>
      <c r="H538" t="s">
        <v>13</v>
      </c>
      <c r="I538">
        <v>579.27</v>
      </c>
      <c r="J538">
        <v>579.27</v>
      </c>
    </row>
    <row r="539" spans="1:10" x14ac:dyDescent="0.25">
      <c r="A539">
        <v>997</v>
      </c>
      <c r="B539">
        <v>23</v>
      </c>
      <c r="C539" t="s">
        <v>45</v>
      </c>
      <c r="D539" s="3">
        <v>65337</v>
      </c>
      <c r="E539">
        <v>76</v>
      </c>
      <c r="F539">
        <v>10</v>
      </c>
      <c r="G539">
        <v>23</v>
      </c>
      <c r="H539" t="s">
        <v>16</v>
      </c>
      <c r="I539">
        <v>632.83000000000004</v>
      </c>
      <c r="J539">
        <v>632.83000000000004</v>
      </c>
    </row>
    <row r="540" spans="1:10" x14ac:dyDescent="0.25">
      <c r="A540">
        <v>14</v>
      </c>
      <c r="B540">
        <v>64</v>
      </c>
      <c r="C540" t="s">
        <v>45</v>
      </c>
      <c r="D540" s="3">
        <v>33018</v>
      </c>
      <c r="E540">
        <v>46</v>
      </c>
      <c r="F540">
        <v>4</v>
      </c>
      <c r="G540">
        <v>3</v>
      </c>
      <c r="H540" t="s">
        <v>15</v>
      </c>
      <c r="I540">
        <v>221.35</v>
      </c>
      <c r="J540">
        <v>221.35</v>
      </c>
    </row>
    <row r="541" spans="1:10" x14ac:dyDescent="0.25">
      <c r="A541">
        <v>23</v>
      </c>
      <c r="B541">
        <v>36</v>
      </c>
      <c r="C541" t="s">
        <v>45</v>
      </c>
      <c r="D541" s="3">
        <v>85473</v>
      </c>
      <c r="E541">
        <v>68</v>
      </c>
      <c r="F541">
        <v>1</v>
      </c>
      <c r="G541">
        <v>16</v>
      </c>
      <c r="H541" t="s">
        <v>15</v>
      </c>
      <c r="I541">
        <v>806.55</v>
      </c>
      <c r="J541">
        <v>806.55</v>
      </c>
    </row>
    <row r="542" spans="1:10" x14ac:dyDescent="0.25">
      <c r="A542">
        <v>35</v>
      </c>
      <c r="B542">
        <v>45</v>
      </c>
      <c r="C542" t="s">
        <v>45</v>
      </c>
      <c r="D542" s="3">
        <v>43138</v>
      </c>
      <c r="E542">
        <v>54</v>
      </c>
      <c r="F542">
        <v>10</v>
      </c>
      <c r="G542">
        <v>48</v>
      </c>
      <c r="H542" t="s">
        <v>15</v>
      </c>
      <c r="I542">
        <v>639.22</v>
      </c>
      <c r="J542">
        <v>639.22</v>
      </c>
    </row>
    <row r="543" spans="1:10" x14ac:dyDescent="0.25">
      <c r="A543">
        <v>49</v>
      </c>
      <c r="B543">
        <v>19</v>
      </c>
      <c r="C543" t="s">
        <v>45</v>
      </c>
      <c r="D543" s="3">
        <v>85309</v>
      </c>
      <c r="E543">
        <v>65</v>
      </c>
      <c r="F543">
        <v>5</v>
      </c>
      <c r="G543">
        <v>10</v>
      </c>
      <c r="H543" t="s">
        <v>15</v>
      </c>
      <c r="I543">
        <v>28.55</v>
      </c>
      <c r="J543">
        <v>28.55</v>
      </c>
    </row>
    <row r="544" spans="1:10" x14ac:dyDescent="0.25">
      <c r="A544">
        <v>56</v>
      </c>
      <c r="B544">
        <v>42</v>
      </c>
      <c r="C544" t="s">
        <v>45</v>
      </c>
      <c r="D544" s="3">
        <v>73466</v>
      </c>
      <c r="E544">
        <v>50</v>
      </c>
      <c r="F544">
        <v>4</v>
      </c>
      <c r="G544">
        <v>13</v>
      </c>
      <c r="H544" t="s">
        <v>15</v>
      </c>
      <c r="I544">
        <v>903.07</v>
      </c>
      <c r="J544">
        <v>903.07</v>
      </c>
    </row>
    <row r="545" spans="1:10" x14ac:dyDescent="0.25">
      <c r="A545">
        <v>65</v>
      </c>
      <c r="B545">
        <v>27</v>
      </c>
      <c r="C545" t="s">
        <v>45</v>
      </c>
      <c r="D545" s="3">
        <v>90557</v>
      </c>
      <c r="E545">
        <v>36</v>
      </c>
      <c r="F545">
        <v>2</v>
      </c>
      <c r="G545">
        <v>2</v>
      </c>
      <c r="H545" t="s">
        <v>15</v>
      </c>
      <c r="I545">
        <v>494.55</v>
      </c>
      <c r="J545">
        <v>494.55</v>
      </c>
    </row>
    <row r="546" spans="1:10" x14ac:dyDescent="0.25">
      <c r="A546">
        <v>70</v>
      </c>
      <c r="B546">
        <v>49</v>
      </c>
      <c r="C546" t="s">
        <v>45</v>
      </c>
      <c r="D546" s="3">
        <v>40936</v>
      </c>
      <c r="E546">
        <v>32</v>
      </c>
      <c r="F546">
        <v>9</v>
      </c>
      <c r="G546">
        <v>49</v>
      </c>
      <c r="H546" t="s">
        <v>15</v>
      </c>
      <c r="I546">
        <v>495.62</v>
      </c>
      <c r="J546">
        <v>495.62</v>
      </c>
    </row>
    <row r="547" spans="1:10" x14ac:dyDescent="0.25">
      <c r="A547">
        <v>95</v>
      </c>
      <c r="B547">
        <v>30</v>
      </c>
      <c r="C547" t="s">
        <v>45</v>
      </c>
      <c r="D547" s="3">
        <v>75926</v>
      </c>
      <c r="E547">
        <v>97</v>
      </c>
      <c r="F547">
        <v>10</v>
      </c>
      <c r="G547">
        <v>19</v>
      </c>
      <c r="H547" t="s">
        <v>15</v>
      </c>
      <c r="I547">
        <v>670.87</v>
      </c>
      <c r="J547">
        <v>670.87</v>
      </c>
    </row>
    <row r="548" spans="1:10" x14ac:dyDescent="0.25">
      <c r="A548">
        <v>99</v>
      </c>
      <c r="B548">
        <v>21</v>
      </c>
      <c r="C548" t="s">
        <v>45</v>
      </c>
      <c r="D548" s="3">
        <v>105024</v>
      </c>
      <c r="E548">
        <v>45</v>
      </c>
      <c r="F548">
        <v>3</v>
      </c>
      <c r="G548">
        <v>32</v>
      </c>
      <c r="H548" t="s">
        <v>15</v>
      </c>
      <c r="I548">
        <v>795.84</v>
      </c>
      <c r="J548">
        <v>795.84</v>
      </c>
    </row>
    <row r="549" spans="1:10" x14ac:dyDescent="0.25">
      <c r="A549">
        <v>107</v>
      </c>
      <c r="B549">
        <v>19</v>
      </c>
      <c r="C549" t="s">
        <v>45</v>
      </c>
      <c r="D549" s="3">
        <v>37993</v>
      </c>
      <c r="E549">
        <v>59</v>
      </c>
      <c r="F549">
        <v>6</v>
      </c>
      <c r="G549">
        <v>30</v>
      </c>
      <c r="H549" t="s">
        <v>15</v>
      </c>
      <c r="I549">
        <v>873.8</v>
      </c>
      <c r="J549">
        <v>873.8</v>
      </c>
    </row>
    <row r="550" spans="1:10" x14ac:dyDescent="0.25">
      <c r="A550">
        <v>123</v>
      </c>
      <c r="B550">
        <v>26</v>
      </c>
      <c r="C550" t="s">
        <v>45</v>
      </c>
      <c r="D550" s="3">
        <v>55515</v>
      </c>
      <c r="E550">
        <v>29</v>
      </c>
      <c r="F550">
        <v>9</v>
      </c>
      <c r="G550">
        <v>37</v>
      </c>
      <c r="H550" t="s">
        <v>15</v>
      </c>
      <c r="I550">
        <v>50.57</v>
      </c>
      <c r="J550">
        <v>50.57</v>
      </c>
    </row>
    <row r="551" spans="1:10" x14ac:dyDescent="0.25">
      <c r="A551">
        <v>129</v>
      </c>
      <c r="B551">
        <v>67</v>
      </c>
      <c r="C551" t="s">
        <v>45</v>
      </c>
      <c r="D551" s="3">
        <v>40385</v>
      </c>
      <c r="E551">
        <v>64</v>
      </c>
      <c r="F551">
        <v>1</v>
      </c>
      <c r="G551">
        <v>17</v>
      </c>
      <c r="H551" t="s">
        <v>15</v>
      </c>
      <c r="I551">
        <v>957.06</v>
      </c>
      <c r="J551">
        <v>957.06</v>
      </c>
    </row>
    <row r="552" spans="1:10" x14ac:dyDescent="0.25">
      <c r="A552">
        <v>162</v>
      </c>
      <c r="B552">
        <v>64</v>
      </c>
      <c r="C552" t="s">
        <v>45</v>
      </c>
      <c r="D552" s="3">
        <v>122472</v>
      </c>
      <c r="E552">
        <v>75</v>
      </c>
      <c r="F552">
        <v>1</v>
      </c>
      <c r="G552">
        <v>17</v>
      </c>
      <c r="H552" t="s">
        <v>15</v>
      </c>
      <c r="I552">
        <v>771.33</v>
      </c>
      <c r="J552">
        <v>771.33</v>
      </c>
    </row>
    <row r="553" spans="1:10" x14ac:dyDescent="0.25">
      <c r="A553">
        <v>164</v>
      </c>
      <c r="B553">
        <v>60</v>
      </c>
      <c r="C553" t="s">
        <v>45</v>
      </c>
      <c r="D553" s="3">
        <v>98771</v>
      </c>
      <c r="E553">
        <v>37</v>
      </c>
      <c r="F553">
        <v>8</v>
      </c>
      <c r="G553">
        <v>42</v>
      </c>
      <c r="H553" t="s">
        <v>15</v>
      </c>
      <c r="I553">
        <v>520.37</v>
      </c>
      <c r="J553">
        <v>520.37</v>
      </c>
    </row>
    <row r="554" spans="1:10" x14ac:dyDescent="0.25">
      <c r="A554">
        <v>236</v>
      </c>
      <c r="B554">
        <v>42</v>
      </c>
      <c r="C554" t="s">
        <v>45</v>
      </c>
      <c r="D554" s="3">
        <v>66495</v>
      </c>
      <c r="E554">
        <v>79</v>
      </c>
      <c r="F554">
        <v>9</v>
      </c>
      <c r="G554">
        <v>31</v>
      </c>
      <c r="H554" t="s">
        <v>15</v>
      </c>
      <c r="I554">
        <v>537.66</v>
      </c>
      <c r="J554">
        <v>537.66</v>
      </c>
    </row>
    <row r="555" spans="1:10" x14ac:dyDescent="0.25">
      <c r="A555">
        <v>247</v>
      </c>
      <c r="B555">
        <v>54</v>
      </c>
      <c r="C555" t="s">
        <v>45</v>
      </c>
      <c r="D555" s="3">
        <v>48896</v>
      </c>
      <c r="E555">
        <v>28</v>
      </c>
      <c r="F555">
        <v>9</v>
      </c>
      <c r="G555">
        <v>25</v>
      </c>
      <c r="H555" t="s">
        <v>15</v>
      </c>
      <c r="I555">
        <v>244.79</v>
      </c>
      <c r="J555">
        <v>244.79</v>
      </c>
    </row>
    <row r="556" spans="1:10" x14ac:dyDescent="0.25">
      <c r="A556">
        <v>248</v>
      </c>
      <c r="B556">
        <v>28</v>
      </c>
      <c r="C556" t="s">
        <v>45</v>
      </c>
      <c r="D556" s="3">
        <v>48383</v>
      </c>
      <c r="E556">
        <v>57</v>
      </c>
      <c r="F556">
        <v>8</v>
      </c>
      <c r="G556">
        <v>35</v>
      </c>
      <c r="H556" t="s">
        <v>15</v>
      </c>
      <c r="I556">
        <v>17.97</v>
      </c>
      <c r="J556">
        <v>17.97</v>
      </c>
    </row>
    <row r="557" spans="1:10" x14ac:dyDescent="0.25">
      <c r="A557">
        <v>261</v>
      </c>
      <c r="B557">
        <v>39</v>
      </c>
      <c r="C557" t="s">
        <v>45</v>
      </c>
      <c r="D557" s="3">
        <v>117432</v>
      </c>
      <c r="E557">
        <v>96</v>
      </c>
      <c r="F557">
        <v>7</v>
      </c>
      <c r="G557">
        <v>41</v>
      </c>
      <c r="H557" t="s">
        <v>15</v>
      </c>
      <c r="I557">
        <v>25.44</v>
      </c>
      <c r="J557">
        <v>25.44</v>
      </c>
    </row>
    <row r="558" spans="1:10" x14ac:dyDescent="0.25">
      <c r="A558">
        <v>293</v>
      </c>
      <c r="B558">
        <v>45</v>
      </c>
      <c r="C558" t="s">
        <v>45</v>
      </c>
      <c r="D558" s="3">
        <v>54819</v>
      </c>
      <c r="E558">
        <v>72</v>
      </c>
      <c r="F558">
        <v>3</v>
      </c>
      <c r="G558">
        <v>47</v>
      </c>
      <c r="H558" t="s">
        <v>15</v>
      </c>
      <c r="I558">
        <v>553.44000000000005</v>
      </c>
      <c r="J558">
        <v>553.44000000000005</v>
      </c>
    </row>
    <row r="559" spans="1:10" x14ac:dyDescent="0.25">
      <c r="A559">
        <v>296</v>
      </c>
      <c r="B559">
        <v>56</v>
      </c>
      <c r="C559" t="s">
        <v>45</v>
      </c>
      <c r="D559" s="3">
        <v>129611</v>
      </c>
      <c r="E559">
        <v>23</v>
      </c>
      <c r="F559">
        <v>3</v>
      </c>
      <c r="G559">
        <v>48</v>
      </c>
      <c r="H559" t="s">
        <v>15</v>
      </c>
      <c r="I559">
        <v>98.85</v>
      </c>
      <c r="J559">
        <v>98.85</v>
      </c>
    </row>
    <row r="560" spans="1:10" x14ac:dyDescent="0.25">
      <c r="A560">
        <v>332</v>
      </c>
      <c r="B560">
        <v>38</v>
      </c>
      <c r="C560" t="s">
        <v>45</v>
      </c>
      <c r="D560" s="3">
        <v>50518</v>
      </c>
      <c r="E560">
        <v>70</v>
      </c>
      <c r="F560">
        <v>1</v>
      </c>
      <c r="G560">
        <v>38</v>
      </c>
      <c r="H560" t="s">
        <v>15</v>
      </c>
      <c r="I560">
        <v>816.09</v>
      </c>
      <c r="J560">
        <v>816.09</v>
      </c>
    </row>
    <row r="561" spans="1:10" x14ac:dyDescent="0.25">
      <c r="A561">
        <v>333</v>
      </c>
      <c r="B561">
        <v>21</v>
      </c>
      <c r="C561" t="s">
        <v>45</v>
      </c>
      <c r="D561" s="3">
        <v>126598</v>
      </c>
      <c r="E561">
        <v>14</v>
      </c>
      <c r="F561">
        <v>3</v>
      </c>
      <c r="G561">
        <v>1</v>
      </c>
      <c r="H561" t="s">
        <v>15</v>
      </c>
      <c r="I561">
        <v>505.98</v>
      </c>
      <c r="J561">
        <v>505.98</v>
      </c>
    </row>
    <row r="562" spans="1:10" x14ac:dyDescent="0.25">
      <c r="A562">
        <v>354</v>
      </c>
      <c r="B562">
        <v>63</v>
      </c>
      <c r="C562" t="s">
        <v>45</v>
      </c>
      <c r="D562" s="3">
        <v>37003</v>
      </c>
      <c r="E562">
        <v>57</v>
      </c>
      <c r="F562">
        <v>4</v>
      </c>
      <c r="G562">
        <v>25</v>
      </c>
      <c r="H562" t="s">
        <v>15</v>
      </c>
      <c r="I562">
        <v>857.68</v>
      </c>
      <c r="J562">
        <v>857.68</v>
      </c>
    </row>
    <row r="563" spans="1:10" x14ac:dyDescent="0.25">
      <c r="A563">
        <v>355</v>
      </c>
      <c r="B563">
        <v>38</v>
      </c>
      <c r="C563" t="s">
        <v>45</v>
      </c>
      <c r="D563" s="3">
        <v>81837</v>
      </c>
      <c r="E563">
        <v>68</v>
      </c>
      <c r="F563">
        <v>5</v>
      </c>
      <c r="G563">
        <v>6</v>
      </c>
      <c r="H563" t="s">
        <v>15</v>
      </c>
      <c r="I563">
        <v>349.35</v>
      </c>
      <c r="J563">
        <v>349.35</v>
      </c>
    </row>
    <row r="564" spans="1:10" x14ac:dyDescent="0.25">
      <c r="A564">
        <v>364</v>
      </c>
      <c r="B564">
        <v>63</v>
      </c>
      <c r="C564" t="s">
        <v>45</v>
      </c>
      <c r="D564" s="3">
        <v>145117</v>
      </c>
      <c r="E564">
        <v>66</v>
      </c>
      <c r="F564">
        <v>7</v>
      </c>
      <c r="G564">
        <v>12</v>
      </c>
      <c r="H564" t="s">
        <v>15</v>
      </c>
      <c r="I564">
        <v>971.02</v>
      </c>
      <c r="J564">
        <v>971.02</v>
      </c>
    </row>
    <row r="565" spans="1:10" x14ac:dyDescent="0.25">
      <c r="A565">
        <v>369</v>
      </c>
      <c r="B565">
        <v>63</v>
      </c>
      <c r="C565" t="s">
        <v>45</v>
      </c>
      <c r="D565" s="3">
        <v>77411</v>
      </c>
      <c r="E565">
        <v>20</v>
      </c>
      <c r="F565">
        <v>2</v>
      </c>
      <c r="G565">
        <v>37</v>
      </c>
      <c r="H565" t="s">
        <v>15</v>
      </c>
      <c r="I565">
        <v>648.38</v>
      </c>
      <c r="J565">
        <v>648.38</v>
      </c>
    </row>
    <row r="566" spans="1:10" x14ac:dyDescent="0.25">
      <c r="A566">
        <v>374</v>
      </c>
      <c r="B566">
        <v>64</v>
      </c>
      <c r="C566" t="s">
        <v>45</v>
      </c>
      <c r="D566" s="3">
        <v>84380</v>
      </c>
      <c r="E566">
        <v>69</v>
      </c>
      <c r="F566">
        <v>10</v>
      </c>
      <c r="G566">
        <v>28</v>
      </c>
      <c r="H566" t="s">
        <v>15</v>
      </c>
      <c r="I566">
        <v>212.08</v>
      </c>
      <c r="J566">
        <v>212.08</v>
      </c>
    </row>
    <row r="567" spans="1:10" x14ac:dyDescent="0.25">
      <c r="A567">
        <v>380</v>
      </c>
      <c r="B567">
        <v>59</v>
      </c>
      <c r="C567" t="s">
        <v>45</v>
      </c>
      <c r="D567" s="3">
        <v>140349</v>
      </c>
      <c r="E567">
        <v>75</v>
      </c>
      <c r="F567">
        <v>2</v>
      </c>
      <c r="G567">
        <v>6</v>
      </c>
      <c r="H567" t="s">
        <v>15</v>
      </c>
      <c r="I567">
        <v>383.64</v>
      </c>
      <c r="J567">
        <v>383.64</v>
      </c>
    </row>
    <row r="568" spans="1:10" x14ac:dyDescent="0.25">
      <c r="A568">
        <v>389</v>
      </c>
      <c r="B568">
        <v>34</v>
      </c>
      <c r="C568" t="s">
        <v>45</v>
      </c>
      <c r="D568" s="3">
        <v>118622</v>
      </c>
      <c r="E568">
        <v>99</v>
      </c>
      <c r="F568">
        <v>4</v>
      </c>
      <c r="G568">
        <v>47</v>
      </c>
      <c r="H568" t="s">
        <v>15</v>
      </c>
      <c r="I568">
        <v>122.21</v>
      </c>
      <c r="J568">
        <v>122.21</v>
      </c>
    </row>
    <row r="569" spans="1:10" x14ac:dyDescent="0.25">
      <c r="A569">
        <v>416</v>
      </c>
      <c r="B569">
        <v>38</v>
      </c>
      <c r="C569" t="s">
        <v>45</v>
      </c>
      <c r="D569" s="3">
        <v>51327</v>
      </c>
      <c r="E569">
        <v>62</v>
      </c>
      <c r="F569">
        <v>5</v>
      </c>
      <c r="G569">
        <v>24</v>
      </c>
      <c r="H569" t="s">
        <v>15</v>
      </c>
      <c r="I569">
        <v>645.42999999999995</v>
      </c>
      <c r="J569">
        <v>645.42999999999995</v>
      </c>
    </row>
    <row r="570" spans="1:10" x14ac:dyDescent="0.25">
      <c r="A570">
        <v>436</v>
      </c>
      <c r="B570">
        <v>52</v>
      </c>
      <c r="C570" t="s">
        <v>45</v>
      </c>
      <c r="D570" s="3">
        <v>136827</v>
      </c>
      <c r="E570">
        <v>87</v>
      </c>
      <c r="F570">
        <v>5</v>
      </c>
      <c r="G570">
        <v>20</v>
      </c>
      <c r="H570" t="s">
        <v>15</v>
      </c>
      <c r="I570">
        <v>322.29000000000002</v>
      </c>
      <c r="J570">
        <v>322.29000000000002</v>
      </c>
    </row>
    <row r="571" spans="1:10" x14ac:dyDescent="0.25">
      <c r="A571">
        <v>508</v>
      </c>
      <c r="B571">
        <v>48</v>
      </c>
      <c r="C571" t="s">
        <v>45</v>
      </c>
      <c r="D571" s="3">
        <v>72108</v>
      </c>
      <c r="E571">
        <v>85</v>
      </c>
      <c r="F571">
        <v>8</v>
      </c>
      <c r="G571">
        <v>13</v>
      </c>
      <c r="H571" t="s">
        <v>15</v>
      </c>
      <c r="I571">
        <v>486.58</v>
      </c>
      <c r="J571">
        <v>486.58</v>
      </c>
    </row>
    <row r="572" spans="1:10" x14ac:dyDescent="0.25">
      <c r="A572">
        <v>509</v>
      </c>
      <c r="B572">
        <v>68</v>
      </c>
      <c r="C572" t="s">
        <v>45</v>
      </c>
      <c r="D572" s="3">
        <v>113760</v>
      </c>
      <c r="E572">
        <v>64</v>
      </c>
      <c r="F572">
        <v>2</v>
      </c>
      <c r="G572">
        <v>37</v>
      </c>
      <c r="H572" t="s">
        <v>15</v>
      </c>
      <c r="I572">
        <v>462.62</v>
      </c>
      <c r="J572">
        <v>462.62</v>
      </c>
    </row>
    <row r="573" spans="1:10" x14ac:dyDescent="0.25">
      <c r="A573">
        <v>511</v>
      </c>
      <c r="B573">
        <v>24</v>
      </c>
      <c r="C573" t="s">
        <v>45</v>
      </c>
      <c r="D573" s="3">
        <v>109039</v>
      </c>
      <c r="E573">
        <v>71</v>
      </c>
      <c r="F573">
        <v>9</v>
      </c>
      <c r="G573">
        <v>41</v>
      </c>
      <c r="H573" t="s">
        <v>15</v>
      </c>
      <c r="I573">
        <v>606.17999999999995</v>
      </c>
      <c r="J573">
        <v>606.17999999999995</v>
      </c>
    </row>
    <row r="574" spans="1:10" x14ac:dyDescent="0.25">
      <c r="A574">
        <v>533</v>
      </c>
      <c r="B574">
        <v>36</v>
      </c>
      <c r="C574" t="s">
        <v>45</v>
      </c>
      <c r="D574" s="3">
        <v>113794</v>
      </c>
      <c r="E574">
        <v>74</v>
      </c>
      <c r="F574">
        <v>1</v>
      </c>
      <c r="G574">
        <v>27</v>
      </c>
      <c r="H574" t="s">
        <v>15</v>
      </c>
      <c r="I574">
        <v>377.75</v>
      </c>
      <c r="J574">
        <v>377.75</v>
      </c>
    </row>
    <row r="575" spans="1:10" x14ac:dyDescent="0.25">
      <c r="A575">
        <v>535</v>
      </c>
      <c r="B575">
        <v>46</v>
      </c>
      <c r="C575" t="s">
        <v>45</v>
      </c>
      <c r="D575" s="3">
        <v>61090</v>
      </c>
      <c r="E575">
        <v>3</v>
      </c>
      <c r="F575">
        <v>4</v>
      </c>
      <c r="G575">
        <v>3</v>
      </c>
      <c r="H575" t="s">
        <v>15</v>
      </c>
      <c r="I575">
        <v>213.68</v>
      </c>
      <c r="J575">
        <v>213.68</v>
      </c>
    </row>
    <row r="576" spans="1:10" x14ac:dyDescent="0.25">
      <c r="A576">
        <v>555</v>
      </c>
      <c r="B576">
        <v>66</v>
      </c>
      <c r="C576" t="s">
        <v>45</v>
      </c>
      <c r="D576" s="3">
        <v>53345</v>
      </c>
      <c r="E576">
        <v>100</v>
      </c>
      <c r="F576">
        <v>4</v>
      </c>
      <c r="G576">
        <v>22</v>
      </c>
      <c r="H576" t="s">
        <v>15</v>
      </c>
      <c r="I576">
        <v>221.75</v>
      </c>
      <c r="J576">
        <v>221.75</v>
      </c>
    </row>
    <row r="577" spans="1:10" x14ac:dyDescent="0.25">
      <c r="A577">
        <v>594</v>
      </c>
      <c r="B577">
        <v>29</v>
      </c>
      <c r="C577" t="s">
        <v>45</v>
      </c>
      <c r="D577" s="3">
        <v>98150</v>
      </c>
      <c r="E577">
        <v>42</v>
      </c>
      <c r="F577">
        <v>9</v>
      </c>
      <c r="G577">
        <v>34</v>
      </c>
      <c r="H577" t="s">
        <v>15</v>
      </c>
      <c r="I577">
        <v>324.11</v>
      </c>
      <c r="J577">
        <v>324.11</v>
      </c>
    </row>
    <row r="578" spans="1:10" x14ac:dyDescent="0.25">
      <c r="A578">
        <v>618</v>
      </c>
      <c r="B578">
        <v>53</v>
      </c>
      <c r="C578" t="s">
        <v>45</v>
      </c>
      <c r="D578" s="3">
        <v>62024</v>
      </c>
      <c r="E578">
        <v>13</v>
      </c>
      <c r="F578">
        <v>2</v>
      </c>
      <c r="G578">
        <v>39</v>
      </c>
      <c r="H578" t="s">
        <v>15</v>
      </c>
      <c r="I578">
        <v>66.599999999999994</v>
      </c>
      <c r="J578">
        <v>66.599999999999994</v>
      </c>
    </row>
    <row r="579" spans="1:10" x14ac:dyDescent="0.25">
      <c r="A579">
        <v>620</v>
      </c>
      <c r="B579">
        <v>53</v>
      </c>
      <c r="C579" t="s">
        <v>45</v>
      </c>
      <c r="D579" s="3">
        <v>50215</v>
      </c>
      <c r="E579">
        <v>92</v>
      </c>
      <c r="F579">
        <v>6</v>
      </c>
      <c r="G579">
        <v>48</v>
      </c>
      <c r="H579" t="s">
        <v>15</v>
      </c>
      <c r="I579">
        <v>814.52</v>
      </c>
      <c r="J579">
        <v>814.52</v>
      </c>
    </row>
    <row r="580" spans="1:10" x14ac:dyDescent="0.25">
      <c r="A580">
        <v>622</v>
      </c>
      <c r="B580">
        <v>33</v>
      </c>
      <c r="C580" t="s">
        <v>45</v>
      </c>
      <c r="D580" s="3">
        <v>102269</v>
      </c>
      <c r="E580">
        <v>26</v>
      </c>
      <c r="F580">
        <v>8</v>
      </c>
      <c r="G580">
        <v>47</v>
      </c>
      <c r="H580" t="s">
        <v>15</v>
      </c>
      <c r="I580">
        <v>356.67</v>
      </c>
      <c r="J580">
        <v>356.67</v>
      </c>
    </row>
    <row r="581" spans="1:10" x14ac:dyDescent="0.25">
      <c r="A581">
        <v>628</v>
      </c>
      <c r="B581">
        <v>39</v>
      </c>
      <c r="C581" t="s">
        <v>45</v>
      </c>
      <c r="D581" s="3">
        <v>108744</v>
      </c>
      <c r="E581">
        <v>63</v>
      </c>
      <c r="F581">
        <v>2</v>
      </c>
      <c r="G581">
        <v>23</v>
      </c>
      <c r="H581" t="s">
        <v>15</v>
      </c>
      <c r="I581">
        <v>411.86</v>
      </c>
      <c r="J581">
        <v>411.86</v>
      </c>
    </row>
    <row r="582" spans="1:10" x14ac:dyDescent="0.25">
      <c r="A582">
        <v>641</v>
      </c>
      <c r="B582">
        <v>59</v>
      </c>
      <c r="C582" t="s">
        <v>45</v>
      </c>
      <c r="D582" s="3">
        <v>141667</v>
      </c>
      <c r="E582">
        <v>28</v>
      </c>
      <c r="F582">
        <v>4</v>
      </c>
      <c r="G582">
        <v>5</v>
      </c>
      <c r="H582" t="s">
        <v>15</v>
      </c>
      <c r="I582">
        <v>204.25</v>
      </c>
      <c r="J582">
        <v>204.25</v>
      </c>
    </row>
    <row r="583" spans="1:10" x14ac:dyDescent="0.25">
      <c r="A583">
        <v>666</v>
      </c>
      <c r="B583">
        <v>31</v>
      </c>
      <c r="C583" t="s">
        <v>45</v>
      </c>
      <c r="D583" s="3">
        <v>85972</v>
      </c>
      <c r="E583">
        <v>62</v>
      </c>
      <c r="F583">
        <v>9</v>
      </c>
      <c r="G583">
        <v>25</v>
      </c>
      <c r="H583" t="s">
        <v>15</v>
      </c>
      <c r="I583">
        <v>914.63</v>
      </c>
      <c r="J583">
        <v>914.63</v>
      </c>
    </row>
    <row r="584" spans="1:10" x14ac:dyDescent="0.25">
      <c r="A584">
        <v>711</v>
      </c>
      <c r="B584">
        <v>43</v>
      </c>
      <c r="C584" t="s">
        <v>45</v>
      </c>
      <c r="D584" s="3">
        <v>51398</v>
      </c>
      <c r="E584">
        <v>12</v>
      </c>
      <c r="F584">
        <v>4</v>
      </c>
      <c r="G584">
        <v>26</v>
      </c>
      <c r="H584" t="s">
        <v>15</v>
      </c>
      <c r="I584">
        <v>117.85</v>
      </c>
      <c r="J584">
        <v>117.85</v>
      </c>
    </row>
    <row r="585" spans="1:10" x14ac:dyDescent="0.25">
      <c r="A585">
        <v>724</v>
      </c>
      <c r="B585">
        <v>21</v>
      </c>
      <c r="C585" t="s">
        <v>45</v>
      </c>
      <c r="D585" s="3">
        <v>114762</v>
      </c>
      <c r="E585">
        <v>28</v>
      </c>
      <c r="F585">
        <v>3</v>
      </c>
      <c r="G585">
        <v>7</v>
      </c>
      <c r="H585" t="s">
        <v>15</v>
      </c>
      <c r="I585">
        <v>397.54</v>
      </c>
      <c r="J585">
        <v>397.54</v>
      </c>
    </row>
    <row r="586" spans="1:10" x14ac:dyDescent="0.25">
      <c r="A586">
        <v>777</v>
      </c>
      <c r="B586">
        <v>19</v>
      </c>
      <c r="C586" t="s">
        <v>45</v>
      </c>
      <c r="D586" s="3">
        <v>45781</v>
      </c>
      <c r="E586">
        <v>93</v>
      </c>
      <c r="F586">
        <v>6</v>
      </c>
      <c r="G586">
        <v>43</v>
      </c>
      <c r="H586" t="s">
        <v>15</v>
      </c>
      <c r="I586">
        <v>412.99</v>
      </c>
      <c r="J586">
        <v>412.99</v>
      </c>
    </row>
    <row r="587" spans="1:10" x14ac:dyDescent="0.25">
      <c r="A587">
        <v>780</v>
      </c>
      <c r="B587">
        <v>65</v>
      </c>
      <c r="C587" t="s">
        <v>45</v>
      </c>
      <c r="D587" s="3">
        <v>80686</v>
      </c>
      <c r="E587">
        <v>2</v>
      </c>
      <c r="F587">
        <v>8</v>
      </c>
      <c r="G587">
        <v>30</v>
      </c>
      <c r="H587" t="s">
        <v>15</v>
      </c>
      <c r="I587">
        <v>491.8</v>
      </c>
      <c r="J587">
        <v>491.8</v>
      </c>
    </row>
    <row r="588" spans="1:10" x14ac:dyDescent="0.25">
      <c r="A588">
        <v>792</v>
      </c>
      <c r="B588">
        <v>18</v>
      </c>
      <c r="C588" t="s">
        <v>45</v>
      </c>
      <c r="D588" s="3">
        <v>140475</v>
      </c>
      <c r="E588">
        <v>38</v>
      </c>
      <c r="F588">
        <v>8</v>
      </c>
      <c r="G588">
        <v>7</v>
      </c>
      <c r="H588" t="s">
        <v>15</v>
      </c>
      <c r="I588">
        <v>442.42</v>
      </c>
      <c r="J588">
        <v>442.42</v>
      </c>
    </row>
    <row r="589" spans="1:10" x14ac:dyDescent="0.25">
      <c r="A589">
        <v>798</v>
      </c>
      <c r="B589">
        <v>68</v>
      </c>
      <c r="C589" t="s">
        <v>45</v>
      </c>
      <c r="D589" s="3">
        <v>44597</v>
      </c>
      <c r="E589">
        <v>3</v>
      </c>
      <c r="F589">
        <v>1</v>
      </c>
      <c r="G589">
        <v>36</v>
      </c>
      <c r="H589" t="s">
        <v>15</v>
      </c>
      <c r="I589">
        <v>743.73</v>
      </c>
      <c r="J589">
        <v>743.73</v>
      </c>
    </row>
    <row r="590" spans="1:10" x14ac:dyDescent="0.25">
      <c r="A590">
        <v>800</v>
      </c>
      <c r="B590">
        <v>35</v>
      </c>
      <c r="C590" t="s">
        <v>45</v>
      </c>
      <c r="D590" s="3">
        <v>114874</v>
      </c>
      <c r="E590">
        <v>40</v>
      </c>
      <c r="F590">
        <v>3</v>
      </c>
      <c r="G590">
        <v>15</v>
      </c>
      <c r="H590" t="s">
        <v>15</v>
      </c>
      <c r="I590">
        <v>333.55</v>
      </c>
      <c r="J590">
        <v>333.55</v>
      </c>
    </row>
    <row r="591" spans="1:10" x14ac:dyDescent="0.25">
      <c r="A591">
        <v>801</v>
      </c>
      <c r="B591">
        <v>61</v>
      </c>
      <c r="C591" t="s">
        <v>45</v>
      </c>
      <c r="D591" s="3">
        <v>69791</v>
      </c>
      <c r="E591">
        <v>33</v>
      </c>
      <c r="F591">
        <v>8</v>
      </c>
      <c r="G591">
        <v>1</v>
      </c>
      <c r="H591" t="s">
        <v>15</v>
      </c>
      <c r="I591">
        <v>165.39</v>
      </c>
      <c r="J591">
        <v>165.39</v>
      </c>
    </row>
    <row r="592" spans="1:10" x14ac:dyDescent="0.25">
      <c r="A592">
        <v>820</v>
      </c>
      <c r="B592">
        <v>52</v>
      </c>
      <c r="C592" t="s">
        <v>45</v>
      </c>
      <c r="D592" s="3">
        <v>73723</v>
      </c>
      <c r="E592">
        <v>69</v>
      </c>
      <c r="F592">
        <v>10</v>
      </c>
      <c r="G592">
        <v>19</v>
      </c>
      <c r="H592" t="s">
        <v>15</v>
      </c>
      <c r="I592">
        <v>321.92</v>
      </c>
      <c r="J592">
        <v>321.92</v>
      </c>
    </row>
    <row r="593" spans="1:10" x14ac:dyDescent="0.25">
      <c r="A593">
        <v>827</v>
      </c>
      <c r="B593">
        <v>62</v>
      </c>
      <c r="C593" t="s">
        <v>45</v>
      </c>
      <c r="D593" s="3">
        <v>88975</v>
      </c>
      <c r="E593">
        <v>58</v>
      </c>
      <c r="F593">
        <v>6</v>
      </c>
      <c r="G593">
        <v>24</v>
      </c>
      <c r="H593" t="s">
        <v>15</v>
      </c>
      <c r="I593">
        <v>921.21</v>
      </c>
      <c r="J593">
        <v>921.21</v>
      </c>
    </row>
    <row r="594" spans="1:10" x14ac:dyDescent="0.25">
      <c r="A594">
        <v>867</v>
      </c>
      <c r="B594">
        <v>68</v>
      </c>
      <c r="C594" t="s">
        <v>45</v>
      </c>
      <c r="D594" s="3">
        <v>35122</v>
      </c>
      <c r="E594">
        <v>72</v>
      </c>
      <c r="F594">
        <v>6</v>
      </c>
      <c r="G594">
        <v>33</v>
      </c>
      <c r="H594" t="s">
        <v>15</v>
      </c>
      <c r="I594">
        <v>983.84</v>
      </c>
      <c r="J594">
        <v>983.84</v>
      </c>
    </row>
    <row r="595" spans="1:10" x14ac:dyDescent="0.25">
      <c r="A595">
        <v>876</v>
      </c>
      <c r="B595">
        <v>60</v>
      </c>
      <c r="C595" t="s">
        <v>45</v>
      </c>
      <c r="D595" s="3">
        <v>120195</v>
      </c>
      <c r="E595">
        <v>68</v>
      </c>
      <c r="F595">
        <v>9</v>
      </c>
      <c r="G595">
        <v>26</v>
      </c>
      <c r="H595" t="s">
        <v>15</v>
      </c>
      <c r="I595">
        <v>600.21</v>
      </c>
      <c r="J595">
        <v>600.21</v>
      </c>
    </row>
    <row r="596" spans="1:10" x14ac:dyDescent="0.25">
      <c r="A596">
        <v>886</v>
      </c>
      <c r="B596">
        <v>26</v>
      </c>
      <c r="C596" t="s">
        <v>45</v>
      </c>
      <c r="D596" s="3">
        <v>113532</v>
      </c>
      <c r="E596">
        <v>70</v>
      </c>
      <c r="F596">
        <v>7</v>
      </c>
      <c r="G596">
        <v>28</v>
      </c>
      <c r="H596" t="s">
        <v>15</v>
      </c>
      <c r="I596">
        <v>679.69</v>
      </c>
      <c r="J596">
        <v>679.69</v>
      </c>
    </row>
    <row r="597" spans="1:10" x14ac:dyDescent="0.25">
      <c r="A597">
        <v>889</v>
      </c>
      <c r="B597">
        <v>33</v>
      </c>
      <c r="C597" t="s">
        <v>45</v>
      </c>
      <c r="D597" s="3">
        <v>146269</v>
      </c>
      <c r="E597">
        <v>92</v>
      </c>
      <c r="F597">
        <v>6</v>
      </c>
      <c r="G597">
        <v>10</v>
      </c>
      <c r="H597" t="s">
        <v>15</v>
      </c>
      <c r="I597">
        <v>486.86</v>
      </c>
      <c r="J597">
        <v>486.86</v>
      </c>
    </row>
    <row r="598" spans="1:10" x14ac:dyDescent="0.25">
      <c r="A598">
        <v>891</v>
      </c>
      <c r="B598">
        <v>22</v>
      </c>
      <c r="C598" t="s">
        <v>45</v>
      </c>
      <c r="D598" s="3">
        <v>87909</v>
      </c>
      <c r="E598">
        <v>19</v>
      </c>
      <c r="F598">
        <v>7</v>
      </c>
      <c r="G598">
        <v>39</v>
      </c>
      <c r="H598" t="s">
        <v>15</v>
      </c>
      <c r="I598">
        <v>20.52</v>
      </c>
      <c r="J598">
        <v>20.52</v>
      </c>
    </row>
    <row r="599" spans="1:10" x14ac:dyDescent="0.25">
      <c r="A599">
        <v>892</v>
      </c>
      <c r="B599">
        <v>66</v>
      </c>
      <c r="C599" t="s">
        <v>45</v>
      </c>
      <c r="D599" s="3">
        <v>40932</v>
      </c>
      <c r="E599">
        <v>5</v>
      </c>
      <c r="F599">
        <v>1</v>
      </c>
      <c r="G599">
        <v>48</v>
      </c>
      <c r="H599" t="s">
        <v>15</v>
      </c>
      <c r="I599">
        <v>546.05999999999995</v>
      </c>
      <c r="J599">
        <v>546.05999999999995</v>
      </c>
    </row>
    <row r="600" spans="1:10" x14ac:dyDescent="0.25">
      <c r="A600">
        <v>894</v>
      </c>
      <c r="B600">
        <v>63</v>
      </c>
      <c r="C600" t="s">
        <v>45</v>
      </c>
      <c r="D600" s="3">
        <v>119492</v>
      </c>
      <c r="E600">
        <v>25</v>
      </c>
      <c r="F600">
        <v>8</v>
      </c>
      <c r="G600">
        <v>40</v>
      </c>
      <c r="H600" t="s">
        <v>15</v>
      </c>
      <c r="I600">
        <v>758.1</v>
      </c>
      <c r="J600">
        <v>758.1</v>
      </c>
    </row>
    <row r="601" spans="1:10" x14ac:dyDescent="0.25">
      <c r="A601">
        <v>903</v>
      </c>
      <c r="B601">
        <v>33</v>
      </c>
      <c r="C601" t="s">
        <v>45</v>
      </c>
      <c r="D601" s="3">
        <v>106771</v>
      </c>
      <c r="E601">
        <v>23</v>
      </c>
      <c r="F601">
        <v>7</v>
      </c>
      <c r="G601">
        <v>3</v>
      </c>
      <c r="H601" t="s">
        <v>15</v>
      </c>
      <c r="I601">
        <v>609.79999999999995</v>
      </c>
      <c r="J601">
        <v>609.79999999999995</v>
      </c>
    </row>
    <row r="602" spans="1:10" x14ac:dyDescent="0.25">
      <c r="A602">
        <v>908</v>
      </c>
      <c r="B602">
        <v>59</v>
      </c>
      <c r="C602" t="s">
        <v>45</v>
      </c>
      <c r="D602" s="3">
        <v>141567</v>
      </c>
      <c r="E602">
        <v>27</v>
      </c>
      <c r="F602">
        <v>8</v>
      </c>
      <c r="G602">
        <v>30</v>
      </c>
      <c r="H602" t="s">
        <v>15</v>
      </c>
      <c r="I602">
        <v>95.96</v>
      </c>
      <c r="J602">
        <v>95.96</v>
      </c>
    </row>
    <row r="603" spans="1:10" x14ac:dyDescent="0.25">
      <c r="A603">
        <v>915</v>
      </c>
      <c r="B603">
        <v>18</v>
      </c>
      <c r="C603" t="s">
        <v>45</v>
      </c>
      <c r="D603" s="3">
        <v>69502</v>
      </c>
      <c r="E603">
        <v>83</v>
      </c>
      <c r="F603">
        <v>6</v>
      </c>
      <c r="G603">
        <v>32</v>
      </c>
      <c r="H603" t="s">
        <v>15</v>
      </c>
      <c r="I603">
        <v>236.83</v>
      </c>
      <c r="J603">
        <v>236.83</v>
      </c>
    </row>
    <row r="604" spans="1:10" x14ac:dyDescent="0.25">
      <c r="A604">
        <v>932</v>
      </c>
      <c r="B604">
        <v>31</v>
      </c>
      <c r="C604" t="s">
        <v>45</v>
      </c>
      <c r="D604" s="3">
        <v>30969</v>
      </c>
      <c r="E604">
        <v>32</v>
      </c>
      <c r="F604">
        <v>9</v>
      </c>
      <c r="G604">
        <v>11</v>
      </c>
      <c r="H604" t="s">
        <v>15</v>
      </c>
      <c r="I604">
        <v>562.47</v>
      </c>
      <c r="J604">
        <v>562.47</v>
      </c>
    </row>
    <row r="605" spans="1:10" x14ac:dyDescent="0.25">
      <c r="A605">
        <v>948</v>
      </c>
      <c r="B605">
        <v>21</v>
      </c>
      <c r="C605" t="s">
        <v>45</v>
      </c>
      <c r="D605" s="3">
        <v>117520</v>
      </c>
      <c r="E605">
        <v>34</v>
      </c>
      <c r="F605">
        <v>3</v>
      </c>
      <c r="G605">
        <v>32</v>
      </c>
      <c r="H605" t="s">
        <v>15</v>
      </c>
      <c r="I605">
        <v>256.98</v>
      </c>
      <c r="J605">
        <v>256.98</v>
      </c>
    </row>
    <row r="606" spans="1:10" x14ac:dyDescent="0.25">
      <c r="A606">
        <v>949</v>
      </c>
      <c r="B606">
        <v>62</v>
      </c>
      <c r="C606" t="s">
        <v>45</v>
      </c>
      <c r="D606" s="3">
        <v>128667</v>
      </c>
      <c r="E606">
        <v>37</v>
      </c>
      <c r="F606">
        <v>5</v>
      </c>
      <c r="G606">
        <v>17</v>
      </c>
      <c r="H606" t="s">
        <v>15</v>
      </c>
      <c r="I606">
        <v>150.62</v>
      </c>
      <c r="J606">
        <v>150.62</v>
      </c>
    </row>
    <row r="607" spans="1:10" x14ac:dyDescent="0.25">
      <c r="A607">
        <v>964</v>
      </c>
      <c r="B607">
        <v>26</v>
      </c>
      <c r="C607" t="s">
        <v>45</v>
      </c>
      <c r="D607" s="3">
        <v>109221</v>
      </c>
      <c r="E607">
        <v>91</v>
      </c>
      <c r="F607">
        <v>2</v>
      </c>
      <c r="G607">
        <v>44</v>
      </c>
      <c r="H607" t="s">
        <v>15</v>
      </c>
      <c r="I607">
        <v>660.05</v>
      </c>
      <c r="J607">
        <v>660.05</v>
      </c>
    </row>
    <row r="608" spans="1:10" x14ac:dyDescent="0.25">
      <c r="A608">
        <v>969</v>
      </c>
      <c r="B608">
        <v>61</v>
      </c>
      <c r="C608" t="s">
        <v>45</v>
      </c>
      <c r="D608" s="3">
        <v>38209</v>
      </c>
      <c r="E608">
        <v>79</v>
      </c>
      <c r="F608">
        <v>8</v>
      </c>
      <c r="G608">
        <v>40</v>
      </c>
      <c r="H608" t="s">
        <v>15</v>
      </c>
      <c r="I608">
        <v>724.23</v>
      </c>
      <c r="J608">
        <v>724.23</v>
      </c>
    </row>
    <row r="609" spans="1:10" x14ac:dyDescent="0.25">
      <c r="A609">
        <v>985</v>
      </c>
      <c r="B609">
        <v>35</v>
      </c>
      <c r="C609" t="s">
        <v>45</v>
      </c>
      <c r="D609" s="3">
        <v>82057</v>
      </c>
      <c r="E609">
        <v>66</v>
      </c>
      <c r="F609">
        <v>4</v>
      </c>
      <c r="G609">
        <v>9</v>
      </c>
      <c r="H609" t="s">
        <v>15</v>
      </c>
      <c r="I609">
        <v>683.93</v>
      </c>
      <c r="J609">
        <v>683.93</v>
      </c>
    </row>
    <row r="610" spans="1:10" x14ac:dyDescent="0.25">
      <c r="A610">
        <v>991</v>
      </c>
      <c r="B610">
        <v>21</v>
      </c>
      <c r="C610" t="s">
        <v>45</v>
      </c>
      <c r="D610" s="3">
        <v>80264</v>
      </c>
      <c r="E610">
        <v>41</v>
      </c>
      <c r="F610">
        <v>4</v>
      </c>
      <c r="G610">
        <v>26</v>
      </c>
      <c r="H610" t="s">
        <v>15</v>
      </c>
      <c r="I610">
        <v>458.93</v>
      </c>
      <c r="J610">
        <v>458.93</v>
      </c>
    </row>
    <row r="611" spans="1:10" x14ac:dyDescent="0.25">
      <c r="A611">
        <v>992</v>
      </c>
      <c r="B611">
        <v>53</v>
      </c>
      <c r="C611" t="s">
        <v>45</v>
      </c>
      <c r="D611" s="3">
        <v>83578</v>
      </c>
      <c r="E611">
        <v>97</v>
      </c>
      <c r="F611">
        <v>5</v>
      </c>
      <c r="G611">
        <v>50</v>
      </c>
      <c r="H611" t="s">
        <v>15</v>
      </c>
      <c r="I611">
        <v>917.08</v>
      </c>
      <c r="J611">
        <v>917.08</v>
      </c>
    </row>
    <row r="612" spans="1:10" x14ac:dyDescent="0.25">
      <c r="A612">
        <v>38</v>
      </c>
      <c r="B612">
        <v>48</v>
      </c>
      <c r="C612" t="s">
        <v>45</v>
      </c>
      <c r="D612" s="3">
        <v>81794</v>
      </c>
      <c r="E612">
        <v>89</v>
      </c>
      <c r="F612">
        <v>7</v>
      </c>
      <c r="G612">
        <v>50</v>
      </c>
      <c r="H612" t="s">
        <v>14</v>
      </c>
      <c r="I612">
        <v>967.99</v>
      </c>
      <c r="J612">
        <v>967.99</v>
      </c>
    </row>
    <row r="613" spans="1:10" x14ac:dyDescent="0.25">
      <c r="A613">
        <v>57</v>
      </c>
      <c r="B613">
        <v>63</v>
      </c>
      <c r="C613" t="s">
        <v>45</v>
      </c>
      <c r="D613" s="3">
        <v>49607</v>
      </c>
      <c r="E613">
        <v>7</v>
      </c>
      <c r="F613">
        <v>9</v>
      </c>
      <c r="G613">
        <v>20</v>
      </c>
      <c r="H613" t="s">
        <v>14</v>
      </c>
      <c r="I613">
        <v>195.34</v>
      </c>
      <c r="J613">
        <v>195.34</v>
      </c>
    </row>
    <row r="614" spans="1:10" x14ac:dyDescent="0.25">
      <c r="A614">
        <v>80</v>
      </c>
      <c r="B614">
        <v>68</v>
      </c>
      <c r="C614" t="s">
        <v>45</v>
      </c>
      <c r="D614" s="3">
        <v>45092</v>
      </c>
      <c r="E614">
        <v>54</v>
      </c>
      <c r="F614">
        <v>4</v>
      </c>
      <c r="G614">
        <v>40</v>
      </c>
      <c r="H614" t="s">
        <v>14</v>
      </c>
      <c r="I614">
        <v>738.6</v>
      </c>
      <c r="J614">
        <v>738.6</v>
      </c>
    </row>
    <row r="615" spans="1:10" x14ac:dyDescent="0.25">
      <c r="A615">
        <v>81</v>
      </c>
      <c r="B615">
        <v>65</v>
      </c>
      <c r="C615" t="s">
        <v>45</v>
      </c>
      <c r="D615" s="3">
        <v>117157</v>
      </c>
      <c r="E615">
        <v>90</v>
      </c>
      <c r="F615">
        <v>9</v>
      </c>
      <c r="G615">
        <v>39</v>
      </c>
      <c r="H615" t="s">
        <v>14</v>
      </c>
      <c r="I615">
        <v>812.36</v>
      </c>
      <c r="J615">
        <v>812.36</v>
      </c>
    </row>
    <row r="616" spans="1:10" x14ac:dyDescent="0.25">
      <c r="A616">
        <v>97</v>
      </c>
      <c r="B616">
        <v>63</v>
      </c>
      <c r="C616" t="s">
        <v>45</v>
      </c>
      <c r="D616" s="3">
        <v>102834</v>
      </c>
      <c r="E616">
        <v>31</v>
      </c>
      <c r="F616">
        <v>7</v>
      </c>
      <c r="G616">
        <v>20</v>
      </c>
      <c r="H616" t="s">
        <v>14</v>
      </c>
      <c r="I616">
        <v>582.57000000000005</v>
      </c>
      <c r="J616">
        <v>582.57000000000005</v>
      </c>
    </row>
    <row r="617" spans="1:10" x14ac:dyDescent="0.25">
      <c r="A617">
        <v>128</v>
      </c>
      <c r="B617">
        <v>40</v>
      </c>
      <c r="C617" t="s">
        <v>45</v>
      </c>
      <c r="D617" s="3">
        <v>81037</v>
      </c>
      <c r="E617">
        <v>70</v>
      </c>
      <c r="F617">
        <v>10</v>
      </c>
      <c r="G617">
        <v>45</v>
      </c>
      <c r="H617" t="s">
        <v>14</v>
      </c>
      <c r="I617">
        <v>370.75</v>
      </c>
      <c r="J617">
        <v>370.75</v>
      </c>
    </row>
    <row r="618" spans="1:10" x14ac:dyDescent="0.25">
      <c r="A618">
        <v>141</v>
      </c>
      <c r="B618">
        <v>23</v>
      </c>
      <c r="C618" t="s">
        <v>45</v>
      </c>
      <c r="D618" s="3">
        <v>67237</v>
      </c>
      <c r="E618">
        <v>85</v>
      </c>
      <c r="F618">
        <v>9</v>
      </c>
      <c r="G618">
        <v>40</v>
      </c>
      <c r="H618" t="s">
        <v>14</v>
      </c>
      <c r="I618">
        <v>673.02</v>
      </c>
      <c r="J618">
        <v>673.02</v>
      </c>
    </row>
    <row r="619" spans="1:10" x14ac:dyDescent="0.25">
      <c r="A619">
        <v>145</v>
      </c>
      <c r="B619">
        <v>44</v>
      </c>
      <c r="C619" t="s">
        <v>45</v>
      </c>
      <c r="D619" s="3">
        <v>122987</v>
      </c>
      <c r="E619">
        <v>29</v>
      </c>
      <c r="F619">
        <v>10</v>
      </c>
      <c r="G619">
        <v>25</v>
      </c>
      <c r="H619" t="s">
        <v>14</v>
      </c>
      <c r="I619">
        <v>898.68</v>
      </c>
      <c r="J619">
        <v>898.68</v>
      </c>
    </row>
    <row r="620" spans="1:10" x14ac:dyDescent="0.25">
      <c r="A620">
        <v>146</v>
      </c>
      <c r="B620">
        <v>58</v>
      </c>
      <c r="C620" t="s">
        <v>45</v>
      </c>
      <c r="D620" s="3">
        <v>90389</v>
      </c>
      <c r="E620">
        <v>17</v>
      </c>
      <c r="F620">
        <v>5</v>
      </c>
      <c r="G620">
        <v>12</v>
      </c>
      <c r="H620" t="s">
        <v>14</v>
      </c>
      <c r="I620">
        <v>855.21</v>
      </c>
      <c r="J620">
        <v>855.21</v>
      </c>
    </row>
    <row r="621" spans="1:10" x14ac:dyDescent="0.25">
      <c r="A621">
        <v>151</v>
      </c>
      <c r="B621">
        <v>55</v>
      </c>
      <c r="C621" t="s">
        <v>45</v>
      </c>
      <c r="D621" s="3">
        <v>138064</v>
      </c>
      <c r="E621">
        <v>86</v>
      </c>
      <c r="F621">
        <v>5</v>
      </c>
      <c r="G621">
        <v>22</v>
      </c>
      <c r="H621" t="s">
        <v>14</v>
      </c>
      <c r="I621">
        <v>368.75</v>
      </c>
      <c r="J621">
        <v>368.75</v>
      </c>
    </row>
    <row r="622" spans="1:10" x14ac:dyDescent="0.25">
      <c r="A622">
        <v>154</v>
      </c>
      <c r="B622">
        <v>30</v>
      </c>
      <c r="C622" t="s">
        <v>45</v>
      </c>
      <c r="D622" s="3">
        <v>78653</v>
      </c>
      <c r="E622">
        <v>43</v>
      </c>
      <c r="F622">
        <v>4</v>
      </c>
      <c r="G622">
        <v>2</v>
      </c>
      <c r="H622" t="s">
        <v>14</v>
      </c>
      <c r="I622">
        <v>933.73</v>
      </c>
      <c r="J622">
        <v>933.73</v>
      </c>
    </row>
    <row r="623" spans="1:10" x14ac:dyDescent="0.25">
      <c r="A623">
        <v>155</v>
      </c>
      <c r="B623">
        <v>53</v>
      </c>
      <c r="C623" t="s">
        <v>45</v>
      </c>
      <c r="D623" s="3">
        <v>146312</v>
      </c>
      <c r="E623">
        <v>58</v>
      </c>
      <c r="F623">
        <v>2</v>
      </c>
      <c r="G623">
        <v>32</v>
      </c>
      <c r="H623" t="s">
        <v>14</v>
      </c>
      <c r="I623">
        <v>880.78</v>
      </c>
      <c r="J623">
        <v>880.78</v>
      </c>
    </row>
    <row r="624" spans="1:10" x14ac:dyDescent="0.25">
      <c r="A624">
        <v>177</v>
      </c>
      <c r="B624">
        <v>65</v>
      </c>
      <c r="C624" t="s">
        <v>45</v>
      </c>
      <c r="D624" s="3">
        <v>123680</v>
      </c>
      <c r="E624">
        <v>30</v>
      </c>
      <c r="F624">
        <v>2</v>
      </c>
      <c r="G624">
        <v>35</v>
      </c>
      <c r="H624" t="s">
        <v>14</v>
      </c>
      <c r="I624">
        <v>218.74</v>
      </c>
      <c r="J624">
        <v>218.74</v>
      </c>
    </row>
    <row r="625" spans="1:10" x14ac:dyDescent="0.25">
      <c r="A625">
        <v>190</v>
      </c>
      <c r="B625">
        <v>41</v>
      </c>
      <c r="C625" t="s">
        <v>45</v>
      </c>
      <c r="D625" s="3">
        <v>59408</v>
      </c>
      <c r="E625">
        <v>68</v>
      </c>
      <c r="F625">
        <v>1</v>
      </c>
      <c r="G625">
        <v>16</v>
      </c>
      <c r="H625" t="s">
        <v>14</v>
      </c>
      <c r="I625">
        <v>504.16</v>
      </c>
      <c r="J625">
        <v>504.16</v>
      </c>
    </row>
    <row r="626" spans="1:10" x14ac:dyDescent="0.25">
      <c r="A626">
        <v>192</v>
      </c>
      <c r="B626">
        <v>63</v>
      </c>
      <c r="C626" t="s">
        <v>45</v>
      </c>
      <c r="D626" s="3">
        <v>109506</v>
      </c>
      <c r="E626">
        <v>48</v>
      </c>
      <c r="F626">
        <v>10</v>
      </c>
      <c r="G626">
        <v>50</v>
      </c>
      <c r="H626" t="s">
        <v>14</v>
      </c>
      <c r="I626">
        <v>26.85</v>
      </c>
      <c r="J626">
        <v>26.85</v>
      </c>
    </row>
    <row r="627" spans="1:10" x14ac:dyDescent="0.25">
      <c r="A627">
        <v>195</v>
      </c>
      <c r="B627">
        <v>67</v>
      </c>
      <c r="C627" t="s">
        <v>45</v>
      </c>
      <c r="D627" s="3">
        <v>31806</v>
      </c>
      <c r="E627">
        <v>79</v>
      </c>
      <c r="F627">
        <v>8</v>
      </c>
      <c r="G627">
        <v>13</v>
      </c>
      <c r="H627" t="s">
        <v>14</v>
      </c>
      <c r="I627">
        <v>261.07</v>
      </c>
      <c r="J627">
        <v>261.07</v>
      </c>
    </row>
    <row r="628" spans="1:10" x14ac:dyDescent="0.25">
      <c r="A628">
        <v>210</v>
      </c>
      <c r="B628">
        <v>47</v>
      </c>
      <c r="C628" t="s">
        <v>45</v>
      </c>
      <c r="D628" s="3">
        <v>93783</v>
      </c>
      <c r="E628">
        <v>24</v>
      </c>
      <c r="F628">
        <v>10</v>
      </c>
      <c r="G628">
        <v>3</v>
      </c>
      <c r="H628" t="s">
        <v>14</v>
      </c>
      <c r="I628">
        <v>406.56</v>
      </c>
      <c r="J628">
        <v>406.56</v>
      </c>
    </row>
    <row r="629" spans="1:10" x14ac:dyDescent="0.25">
      <c r="A629">
        <v>215</v>
      </c>
      <c r="B629">
        <v>69</v>
      </c>
      <c r="C629" t="s">
        <v>45</v>
      </c>
      <c r="D629" s="3">
        <v>127086</v>
      </c>
      <c r="E629">
        <v>93</v>
      </c>
      <c r="F629">
        <v>4</v>
      </c>
      <c r="G629">
        <v>45</v>
      </c>
      <c r="H629" t="s">
        <v>14</v>
      </c>
      <c r="I629">
        <v>339.9</v>
      </c>
      <c r="J629">
        <v>339.9</v>
      </c>
    </row>
    <row r="630" spans="1:10" x14ac:dyDescent="0.25">
      <c r="A630">
        <v>216</v>
      </c>
      <c r="B630">
        <v>26</v>
      </c>
      <c r="C630" t="s">
        <v>45</v>
      </c>
      <c r="D630" s="3">
        <v>133538</v>
      </c>
      <c r="E630">
        <v>27</v>
      </c>
      <c r="F630">
        <v>5</v>
      </c>
      <c r="G630">
        <v>46</v>
      </c>
      <c r="H630" t="s">
        <v>14</v>
      </c>
      <c r="I630">
        <v>761.08</v>
      </c>
      <c r="J630">
        <v>761.08</v>
      </c>
    </row>
    <row r="631" spans="1:10" x14ac:dyDescent="0.25">
      <c r="A631">
        <v>237</v>
      </c>
      <c r="B631">
        <v>62</v>
      </c>
      <c r="C631" t="s">
        <v>45</v>
      </c>
      <c r="D631" s="3">
        <v>52480</v>
      </c>
      <c r="E631">
        <v>22</v>
      </c>
      <c r="F631">
        <v>3</v>
      </c>
      <c r="G631">
        <v>14</v>
      </c>
      <c r="H631" t="s">
        <v>14</v>
      </c>
      <c r="I631">
        <v>821.42</v>
      </c>
      <c r="J631">
        <v>821.42</v>
      </c>
    </row>
    <row r="632" spans="1:10" x14ac:dyDescent="0.25">
      <c r="A632">
        <v>243</v>
      </c>
      <c r="B632">
        <v>25</v>
      </c>
      <c r="C632" t="s">
        <v>45</v>
      </c>
      <c r="D632" s="3">
        <v>109583</v>
      </c>
      <c r="E632">
        <v>6</v>
      </c>
      <c r="F632">
        <v>4</v>
      </c>
      <c r="G632">
        <v>30</v>
      </c>
      <c r="H632" t="s">
        <v>14</v>
      </c>
      <c r="I632">
        <v>923.64</v>
      </c>
      <c r="J632">
        <v>923.64</v>
      </c>
    </row>
    <row r="633" spans="1:10" x14ac:dyDescent="0.25">
      <c r="A633">
        <v>258</v>
      </c>
      <c r="B633">
        <v>37</v>
      </c>
      <c r="C633" t="s">
        <v>45</v>
      </c>
      <c r="D633" s="3">
        <v>86856</v>
      </c>
      <c r="E633">
        <v>74</v>
      </c>
      <c r="F633">
        <v>3</v>
      </c>
      <c r="G633">
        <v>10</v>
      </c>
      <c r="H633" t="s">
        <v>14</v>
      </c>
      <c r="I633">
        <v>624.29</v>
      </c>
      <c r="J633">
        <v>624.29</v>
      </c>
    </row>
    <row r="634" spans="1:10" x14ac:dyDescent="0.25">
      <c r="A634">
        <v>262</v>
      </c>
      <c r="B634">
        <v>60</v>
      </c>
      <c r="C634" t="s">
        <v>45</v>
      </c>
      <c r="D634" s="3">
        <v>45827</v>
      </c>
      <c r="E634">
        <v>18</v>
      </c>
      <c r="F634">
        <v>2</v>
      </c>
      <c r="G634">
        <v>47</v>
      </c>
      <c r="H634" t="s">
        <v>14</v>
      </c>
      <c r="I634">
        <v>599.66</v>
      </c>
      <c r="J634">
        <v>599.66</v>
      </c>
    </row>
    <row r="635" spans="1:10" x14ac:dyDescent="0.25">
      <c r="A635">
        <v>263</v>
      </c>
      <c r="B635">
        <v>64</v>
      </c>
      <c r="C635" t="s">
        <v>45</v>
      </c>
      <c r="D635" s="3">
        <v>115366</v>
      </c>
      <c r="E635">
        <v>68</v>
      </c>
      <c r="F635">
        <v>9</v>
      </c>
      <c r="G635">
        <v>28</v>
      </c>
      <c r="H635" t="s">
        <v>14</v>
      </c>
      <c r="I635">
        <v>934.88</v>
      </c>
      <c r="J635">
        <v>934.88</v>
      </c>
    </row>
    <row r="636" spans="1:10" x14ac:dyDescent="0.25">
      <c r="A636">
        <v>279</v>
      </c>
      <c r="B636">
        <v>47</v>
      </c>
      <c r="C636" t="s">
        <v>45</v>
      </c>
      <c r="D636" s="3">
        <v>95656</v>
      </c>
      <c r="E636">
        <v>63</v>
      </c>
      <c r="F636">
        <v>2</v>
      </c>
      <c r="G636">
        <v>30</v>
      </c>
      <c r="H636" t="s">
        <v>14</v>
      </c>
      <c r="I636">
        <v>634.19000000000005</v>
      </c>
      <c r="J636">
        <v>634.19000000000005</v>
      </c>
    </row>
    <row r="637" spans="1:10" x14ac:dyDescent="0.25">
      <c r="A637">
        <v>295</v>
      </c>
      <c r="B637">
        <v>18</v>
      </c>
      <c r="C637" t="s">
        <v>45</v>
      </c>
      <c r="D637" s="3">
        <v>135713</v>
      </c>
      <c r="E637">
        <v>79</v>
      </c>
      <c r="F637">
        <v>7</v>
      </c>
      <c r="G637">
        <v>18</v>
      </c>
      <c r="H637" t="s">
        <v>14</v>
      </c>
      <c r="I637">
        <v>871.12</v>
      </c>
      <c r="J637">
        <v>871.12</v>
      </c>
    </row>
    <row r="638" spans="1:10" x14ac:dyDescent="0.25">
      <c r="A638">
        <v>313</v>
      </c>
      <c r="B638">
        <v>69</v>
      </c>
      <c r="C638" t="s">
        <v>45</v>
      </c>
      <c r="D638" s="3">
        <v>35218</v>
      </c>
      <c r="E638">
        <v>47</v>
      </c>
      <c r="F638">
        <v>4</v>
      </c>
      <c r="G638">
        <v>33</v>
      </c>
      <c r="H638" t="s">
        <v>14</v>
      </c>
      <c r="I638">
        <v>315.49</v>
      </c>
      <c r="J638">
        <v>315.49</v>
      </c>
    </row>
    <row r="639" spans="1:10" x14ac:dyDescent="0.25">
      <c r="A639">
        <v>317</v>
      </c>
      <c r="B639">
        <v>18</v>
      </c>
      <c r="C639" t="s">
        <v>45</v>
      </c>
      <c r="D639" s="3">
        <v>92363</v>
      </c>
      <c r="E639">
        <v>84</v>
      </c>
      <c r="F639">
        <v>1</v>
      </c>
      <c r="G639">
        <v>10</v>
      </c>
      <c r="H639" t="s">
        <v>14</v>
      </c>
      <c r="I639">
        <v>539.74</v>
      </c>
      <c r="J639">
        <v>539.74</v>
      </c>
    </row>
    <row r="640" spans="1:10" x14ac:dyDescent="0.25">
      <c r="A640">
        <v>318</v>
      </c>
      <c r="B640">
        <v>23</v>
      </c>
      <c r="C640" t="s">
        <v>45</v>
      </c>
      <c r="D640" s="3">
        <v>84664</v>
      </c>
      <c r="E640">
        <v>45</v>
      </c>
      <c r="F640">
        <v>5</v>
      </c>
      <c r="G640">
        <v>12</v>
      </c>
      <c r="H640" t="s">
        <v>14</v>
      </c>
      <c r="I640">
        <v>592.72</v>
      </c>
      <c r="J640">
        <v>592.72</v>
      </c>
    </row>
    <row r="641" spans="1:10" x14ac:dyDescent="0.25">
      <c r="A641">
        <v>341</v>
      </c>
      <c r="B641">
        <v>31</v>
      </c>
      <c r="C641" t="s">
        <v>45</v>
      </c>
      <c r="D641" s="3">
        <v>35406</v>
      </c>
      <c r="E641">
        <v>45</v>
      </c>
      <c r="F641">
        <v>10</v>
      </c>
      <c r="G641">
        <v>9</v>
      </c>
      <c r="H641" t="s">
        <v>14</v>
      </c>
      <c r="I641">
        <v>637.02</v>
      </c>
      <c r="J641">
        <v>637.02</v>
      </c>
    </row>
    <row r="642" spans="1:10" x14ac:dyDescent="0.25">
      <c r="A642">
        <v>373</v>
      </c>
      <c r="B642">
        <v>30</v>
      </c>
      <c r="C642" t="s">
        <v>45</v>
      </c>
      <c r="D642" s="3">
        <v>80320</v>
      </c>
      <c r="E642">
        <v>91</v>
      </c>
      <c r="F642">
        <v>1</v>
      </c>
      <c r="G642">
        <v>31</v>
      </c>
      <c r="H642" t="s">
        <v>14</v>
      </c>
      <c r="I642">
        <v>930.97</v>
      </c>
      <c r="J642">
        <v>930.97</v>
      </c>
    </row>
    <row r="643" spans="1:10" x14ac:dyDescent="0.25">
      <c r="A643">
        <v>382</v>
      </c>
      <c r="B643">
        <v>68</v>
      </c>
      <c r="C643" t="s">
        <v>45</v>
      </c>
      <c r="D643" s="3">
        <v>93926</v>
      </c>
      <c r="E643">
        <v>45</v>
      </c>
      <c r="F643">
        <v>5</v>
      </c>
      <c r="G643">
        <v>22</v>
      </c>
      <c r="H643" t="s">
        <v>14</v>
      </c>
      <c r="I643">
        <v>19.14</v>
      </c>
      <c r="J643">
        <v>19.14</v>
      </c>
    </row>
    <row r="644" spans="1:10" x14ac:dyDescent="0.25">
      <c r="A644">
        <v>397</v>
      </c>
      <c r="B644">
        <v>23</v>
      </c>
      <c r="C644" t="s">
        <v>45</v>
      </c>
      <c r="D644" s="3">
        <v>37713</v>
      </c>
      <c r="E644">
        <v>11</v>
      </c>
      <c r="F644">
        <v>8</v>
      </c>
      <c r="G644">
        <v>31</v>
      </c>
      <c r="H644" t="s">
        <v>14</v>
      </c>
      <c r="I644">
        <v>481.24</v>
      </c>
      <c r="J644">
        <v>481.24</v>
      </c>
    </row>
    <row r="645" spans="1:10" x14ac:dyDescent="0.25">
      <c r="A645">
        <v>401</v>
      </c>
      <c r="B645">
        <v>32</v>
      </c>
      <c r="C645" t="s">
        <v>45</v>
      </c>
      <c r="D645" s="3">
        <v>86268</v>
      </c>
      <c r="E645">
        <v>96</v>
      </c>
      <c r="F645">
        <v>3</v>
      </c>
      <c r="G645">
        <v>21</v>
      </c>
      <c r="H645" t="s">
        <v>14</v>
      </c>
      <c r="I645">
        <v>643.36</v>
      </c>
      <c r="J645">
        <v>643.36</v>
      </c>
    </row>
    <row r="646" spans="1:10" x14ac:dyDescent="0.25">
      <c r="A646">
        <v>426</v>
      </c>
      <c r="B646">
        <v>40</v>
      </c>
      <c r="C646" t="s">
        <v>45</v>
      </c>
      <c r="D646" s="3">
        <v>142251</v>
      </c>
      <c r="E646">
        <v>90</v>
      </c>
      <c r="F646">
        <v>10</v>
      </c>
      <c r="G646">
        <v>14</v>
      </c>
      <c r="H646" t="s">
        <v>14</v>
      </c>
      <c r="I646">
        <v>866.52</v>
      </c>
      <c r="J646">
        <v>866.52</v>
      </c>
    </row>
    <row r="647" spans="1:10" x14ac:dyDescent="0.25">
      <c r="A647">
        <v>443</v>
      </c>
      <c r="B647">
        <v>47</v>
      </c>
      <c r="C647" t="s">
        <v>45</v>
      </c>
      <c r="D647" s="3">
        <v>138199</v>
      </c>
      <c r="E647">
        <v>79</v>
      </c>
      <c r="F647">
        <v>10</v>
      </c>
      <c r="G647">
        <v>43</v>
      </c>
      <c r="H647" t="s">
        <v>14</v>
      </c>
      <c r="I647">
        <v>171.38</v>
      </c>
      <c r="J647">
        <v>171.38</v>
      </c>
    </row>
    <row r="648" spans="1:10" x14ac:dyDescent="0.25">
      <c r="A648">
        <v>455</v>
      </c>
      <c r="B648">
        <v>28</v>
      </c>
      <c r="C648" t="s">
        <v>45</v>
      </c>
      <c r="D648" s="3">
        <v>126571</v>
      </c>
      <c r="E648">
        <v>82</v>
      </c>
      <c r="F648">
        <v>10</v>
      </c>
      <c r="G648">
        <v>8</v>
      </c>
      <c r="H648" t="s">
        <v>14</v>
      </c>
      <c r="I648">
        <v>26.12</v>
      </c>
      <c r="J648">
        <v>26.12</v>
      </c>
    </row>
    <row r="649" spans="1:10" x14ac:dyDescent="0.25">
      <c r="A649">
        <v>457</v>
      </c>
      <c r="B649">
        <v>30</v>
      </c>
      <c r="C649" t="s">
        <v>45</v>
      </c>
      <c r="D649" s="3">
        <v>120083</v>
      </c>
      <c r="E649">
        <v>47</v>
      </c>
      <c r="F649">
        <v>1</v>
      </c>
      <c r="G649">
        <v>49</v>
      </c>
      <c r="H649" t="s">
        <v>14</v>
      </c>
      <c r="I649">
        <v>443.12</v>
      </c>
      <c r="J649">
        <v>443.12</v>
      </c>
    </row>
    <row r="650" spans="1:10" x14ac:dyDescent="0.25">
      <c r="A650">
        <v>472</v>
      </c>
      <c r="B650">
        <v>35</v>
      </c>
      <c r="C650" t="s">
        <v>45</v>
      </c>
      <c r="D650" s="3">
        <v>42390</v>
      </c>
      <c r="E650">
        <v>27</v>
      </c>
      <c r="F650">
        <v>3</v>
      </c>
      <c r="G650">
        <v>41</v>
      </c>
      <c r="H650" t="s">
        <v>14</v>
      </c>
      <c r="I650">
        <v>781.31</v>
      </c>
      <c r="J650">
        <v>781.31</v>
      </c>
    </row>
    <row r="651" spans="1:10" x14ac:dyDescent="0.25">
      <c r="A651">
        <v>504</v>
      </c>
      <c r="B651">
        <v>18</v>
      </c>
      <c r="C651" t="s">
        <v>45</v>
      </c>
      <c r="D651" s="3">
        <v>142641</v>
      </c>
      <c r="E651">
        <v>40</v>
      </c>
      <c r="F651">
        <v>7</v>
      </c>
      <c r="G651">
        <v>31</v>
      </c>
      <c r="H651" t="s">
        <v>14</v>
      </c>
      <c r="I651">
        <v>240.64</v>
      </c>
      <c r="J651">
        <v>240.64</v>
      </c>
    </row>
    <row r="652" spans="1:10" x14ac:dyDescent="0.25">
      <c r="A652">
        <v>516</v>
      </c>
      <c r="B652">
        <v>32</v>
      </c>
      <c r="C652" t="s">
        <v>45</v>
      </c>
      <c r="D652" s="3">
        <v>137280</v>
      </c>
      <c r="E652">
        <v>95</v>
      </c>
      <c r="F652">
        <v>6</v>
      </c>
      <c r="G652">
        <v>3</v>
      </c>
      <c r="H652" t="s">
        <v>14</v>
      </c>
      <c r="I652">
        <v>31.72</v>
      </c>
      <c r="J652">
        <v>31.72</v>
      </c>
    </row>
    <row r="653" spans="1:10" x14ac:dyDescent="0.25">
      <c r="A653">
        <v>524</v>
      </c>
      <c r="B653">
        <v>47</v>
      </c>
      <c r="C653" t="s">
        <v>45</v>
      </c>
      <c r="D653" s="3">
        <v>100338</v>
      </c>
      <c r="E653">
        <v>13</v>
      </c>
      <c r="F653">
        <v>9</v>
      </c>
      <c r="G653">
        <v>40</v>
      </c>
      <c r="H653" t="s">
        <v>14</v>
      </c>
      <c r="I653">
        <v>48.65</v>
      </c>
      <c r="J653">
        <v>48.65</v>
      </c>
    </row>
    <row r="654" spans="1:10" x14ac:dyDescent="0.25">
      <c r="A654">
        <v>547</v>
      </c>
      <c r="B654">
        <v>60</v>
      </c>
      <c r="C654" t="s">
        <v>45</v>
      </c>
      <c r="D654" s="3">
        <v>108533</v>
      </c>
      <c r="E654">
        <v>23</v>
      </c>
      <c r="F654">
        <v>9</v>
      </c>
      <c r="G654">
        <v>24</v>
      </c>
      <c r="H654" t="s">
        <v>14</v>
      </c>
      <c r="I654">
        <v>506.98</v>
      </c>
      <c r="J654">
        <v>506.98</v>
      </c>
    </row>
    <row r="655" spans="1:10" x14ac:dyDescent="0.25">
      <c r="A655">
        <v>564</v>
      </c>
      <c r="B655">
        <v>56</v>
      </c>
      <c r="C655" t="s">
        <v>45</v>
      </c>
      <c r="D655" s="3">
        <v>134923</v>
      </c>
      <c r="E655">
        <v>18</v>
      </c>
      <c r="F655">
        <v>3</v>
      </c>
      <c r="G655">
        <v>31</v>
      </c>
      <c r="H655" t="s">
        <v>14</v>
      </c>
      <c r="I655">
        <v>515.16</v>
      </c>
      <c r="J655">
        <v>515.16</v>
      </c>
    </row>
    <row r="656" spans="1:10" x14ac:dyDescent="0.25">
      <c r="A656">
        <v>565</v>
      </c>
      <c r="B656">
        <v>68</v>
      </c>
      <c r="C656" t="s">
        <v>45</v>
      </c>
      <c r="D656" s="3">
        <v>106635</v>
      </c>
      <c r="E656">
        <v>85</v>
      </c>
      <c r="F656">
        <v>10</v>
      </c>
      <c r="G656">
        <v>30</v>
      </c>
      <c r="H656" t="s">
        <v>14</v>
      </c>
      <c r="I656">
        <v>854.95</v>
      </c>
      <c r="J656">
        <v>854.95</v>
      </c>
    </row>
    <row r="657" spans="1:10" x14ac:dyDescent="0.25">
      <c r="A657">
        <v>567</v>
      </c>
      <c r="B657">
        <v>22</v>
      </c>
      <c r="C657" t="s">
        <v>45</v>
      </c>
      <c r="D657" s="3">
        <v>92601</v>
      </c>
      <c r="E657">
        <v>75</v>
      </c>
      <c r="F657">
        <v>7</v>
      </c>
      <c r="G657">
        <v>49</v>
      </c>
      <c r="H657" t="s">
        <v>14</v>
      </c>
      <c r="I657">
        <v>120.76</v>
      </c>
      <c r="J657">
        <v>120.76</v>
      </c>
    </row>
    <row r="658" spans="1:10" x14ac:dyDescent="0.25">
      <c r="A658">
        <v>586</v>
      </c>
      <c r="B658">
        <v>62</v>
      </c>
      <c r="C658" t="s">
        <v>45</v>
      </c>
      <c r="D658" s="3">
        <v>147903</v>
      </c>
      <c r="E658">
        <v>79</v>
      </c>
      <c r="F658">
        <v>5</v>
      </c>
      <c r="G658">
        <v>22</v>
      </c>
      <c r="H658" t="s">
        <v>14</v>
      </c>
      <c r="I658">
        <v>203.15</v>
      </c>
      <c r="J658">
        <v>203.15</v>
      </c>
    </row>
    <row r="659" spans="1:10" x14ac:dyDescent="0.25">
      <c r="A659">
        <v>598</v>
      </c>
      <c r="B659">
        <v>56</v>
      </c>
      <c r="C659" t="s">
        <v>45</v>
      </c>
      <c r="D659" s="3">
        <v>55695</v>
      </c>
      <c r="E659">
        <v>58</v>
      </c>
      <c r="F659">
        <v>7</v>
      </c>
      <c r="G659">
        <v>30</v>
      </c>
      <c r="H659" t="s">
        <v>14</v>
      </c>
      <c r="I659">
        <v>435.76</v>
      </c>
      <c r="J659">
        <v>435.76</v>
      </c>
    </row>
    <row r="660" spans="1:10" x14ac:dyDescent="0.25">
      <c r="A660">
        <v>609</v>
      </c>
      <c r="B660">
        <v>53</v>
      </c>
      <c r="C660" t="s">
        <v>45</v>
      </c>
      <c r="D660" s="3">
        <v>96499</v>
      </c>
      <c r="E660">
        <v>29</v>
      </c>
      <c r="F660">
        <v>4</v>
      </c>
      <c r="G660">
        <v>5</v>
      </c>
      <c r="H660" t="s">
        <v>14</v>
      </c>
      <c r="I660">
        <v>744.11</v>
      </c>
      <c r="J660">
        <v>744.11</v>
      </c>
    </row>
    <row r="661" spans="1:10" x14ac:dyDescent="0.25">
      <c r="A661">
        <v>634</v>
      </c>
      <c r="B661">
        <v>51</v>
      </c>
      <c r="C661" t="s">
        <v>45</v>
      </c>
      <c r="D661" s="3">
        <v>143678</v>
      </c>
      <c r="E661">
        <v>50</v>
      </c>
      <c r="F661">
        <v>8</v>
      </c>
      <c r="G661">
        <v>23</v>
      </c>
      <c r="H661" t="s">
        <v>14</v>
      </c>
      <c r="I661">
        <v>916.04</v>
      </c>
      <c r="J661">
        <v>916.04</v>
      </c>
    </row>
    <row r="662" spans="1:10" x14ac:dyDescent="0.25">
      <c r="A662">
        <v>647</v>
      </c>
      <c r="B662">
        <v>24</v>
      </c>
      <c r="C662" t="s">
        <v>45</v>
      </c>
      <c r="D662" s="3">
        <v>122371</v>
      </c>
      <c r="E662">
        <v>11</v>
      </c>
      <c r="F662">
        <v>2</v>
      </c>
      <c r="G662">
        <v>4</v>
      </c>
      <c r="H662" t="s">
        <v>14</v>
      </c>
      <c r="I662">
        <v>838.19</v>
      </c>
      <c r="J662">
        <v>838.19</v>
      </c>
    </row>
    <row r="663" spans="1:10" x14ac:dyDescent="0.25">
      <c r="A663">
        <v>652</v>
      </c>
      <c r="B663">
        <v>32</v>
      </c>
      <c r="C663" t="s">
        <v>45</v>
      </c>
      <c r="D663" s="3">
        <v>95862</v>
      </c>
      <c r="E663">
        <v>34</v>
      </c>
      <c r="F663">
        <v>6</v>
      </c>
      <c r="G663">
        <v>41</v>
      </c>
      <c r="H663" t="s">
        <v>14</v>
      </c>
      <c r="I663">
        <v>65.150000000000006</v>
      </c>
      <c r="J663">
        <v>65.150000000000006</v>
      </c>
    </row>
    <row r="664" spans="1:10" x14ac:dyDescent="0.25">
      <c r="A664">
        <v>674</v>
      </c>
      <c r="B664">
        <v>32</v>
      </c>
      <c r="C664" t="s">
        <v>45</v>
      </c>
      <c r="D664" s="3">
        <v>41072</v>
      </c>
      <c r="E664">
        <v>14</v>
      </c>
      <c r="F664">
        <v>5</v>
      </c>
      <c r="G664">
        <v>39</v>
      </c>
      <c r="H664" t="s">
        <v>14</v>
      </c>
      <c r="I664">
        <v>981.04</v>
      </c>
      <c r="J664">
        <v>981.04</v>
      </c>
    </row>
    <row r="665" spans="1:10" x14ac:dyDescent="0.25">
      <c r="A665">
        <v>681</v>
      </c>
      <c r="B665">
        <v>49</v>
      </c>
      <c r="C665" t="s">
        <v>45</v>
      </c>
      <c r="D665" s="3">
        <v>115974</v>
      </c>
      <c r="E665">
        <v>95</v>
      </c>
      <c r="F665">
        <v>8</v>
      </c>
      <c r="G665">
        <v>22</v>
      </c>
      <c r="H665" t="s">
        <v>14</v>
      </c>
      <c r="I665">
        <v>143</v>
      </c>
      <c r="J665">
        <v>143</v>
      </c>
    </row>
    <row r="666" spans="1:10" x14ac:dyDescent="0.25">
      <c r="A666">
        <v>698</v>
      </c>
      <c r="B666">
        <v>33</v>
      </c>
      <c r="C666" t="s">
        <v>45</v>
      </c>
      <c r="D666" s="3">
        <v>36577</v>
      </c>
      <c r="E666">
        <v>28</v>
      </c>
      <c r="F666">
        <v>4</v>
      </c>
      <c r="G666">
        <v>1</v>
      </c>
      <c r="H666" t="s">
        <v>14</v>
      </c>
      <c r="I666">
        <v>612.54</v>
      </c>
      <c r="J666">
        <v>612.54</v>
      </c>
    </row>
    <row r="667" spans="1:10" x14ac:dyDescent="0.25">
      <c r="A667">
        <v>715</v>
      </c>
      <c r="B667">
        <v>43</v>
      </c>
      <c r="C667" t="s">
        <v>45</v>
      </c>
      <c r="D667" s="3">
        <v>67912</v>
      </c>
      <c r="E667">
        <v>71</v>
      </c>
      <c r="F667">
        <v>10</v>
      </c>
      <c r="G667">
        <v>35</v>
      </c>
      <c r="H667" t="s">
        <v>14</v>
      </c>
      <c r="I667">
        <v>698.03</v>
      </c>
      <c r="J667">
        <v>698.03</v>
      </c>
    </row>
    <row r="668" spans="1:10" x14ac:dyDescent="0.25">
      <c r="A668">
        <v>720</v>
      </c>
      <c r="B668">
        <v>69</v>
      </c>
      <c r="C668" t="s">
        <v>45</v>
      </c>
      <c r="D668" s="3">
        <v>72651</v>
      </c>
      <c r="E668">
        <v>58</v>
      </c>
      <c r="F668">
        <v>5</v>
      </c>
      <c r="G668">
        <v>30</v>
      </c>
      <c r="H668" t="s">
        <v>14</v>
      </c>
      <c r="I668">
        <v>103.11</v>
      </c>
      <c r="J668">
        <v>103.11</v>
      </c>
    </row>
    <row r="669" spans="1:10" x14ac:dyDescent="0.25">
      <c r="A669">
        <v>732</v>
      </c>
      <c r="B669">
        <v>29</v>
      </c>
      <c r="C669" t="s">
        <v>45</v>
      </c>
      <c r="D669" s="3">
        <v>66264</v>
      </c>
      <c r="E669">
        <v>85</v>
      </c>
      <c r="F669">
        <v>2</v>
      </c>
      <c r="G669">
        <v>8</v>
      </c>
      <c r="H669" t="s">
        <v>14</v>
      </c>
      <c r="I669">
        <v>743.3</v>
      </c>
      <c r="J669">
        <v>743.3</v>
      </c>
    </row>
    <row r="670" spans="1:10" x14ac:dyDescent="0.25">
      <c r="A670">
        <v>734</v>
      </c>
      <c r="B670">
        <v>23</v>
      </c>
      <c r="C670" t="s">
        <v>45</v>
      </c>
      <c r="D670" s="3">
        <v>66886</v>
      </c>
      <c r="E670">
        <v>7</v>
      </c>
      <c r="F670">
        <v>6</v>
      </c>
      <c r="G670">
        <v>40</v>
      </c>
      <c r="H670" t="s">
        <v>14</v>
      </c>
      <c r="I670">
        <v>322.64</v>
      </c>
      <c r="J670">
        <v>322.64</v>
      </c>
    </row>
    <row r="671" spans="1:10" x14ac:dyDescent="0.25">
      <c r="A671">
        <v>750</v>
      </c>
      <c r="B671">
        <v>41</v>
      </c>
      <c r="C671" t="s">
        <v>45</v>
      </c>
      <c r="D671" s="3">
        <v>74985</v>
      </c>
      <c r="E671">
        <v>68</v>
      </c>
      <c r="F671">
        <v>8</v>
      </c>
      <c r="G671">
        <v>21</v>
      </c>
      <c r="H671" t="s">
        <v>14</v>
      </c>
      <c r="I671">
        <v>123.96</v>
      </c>
      <c r="J671">
        <v>123.96</v>
      </c>
    </row>
    <row r="672" spans="1:10" x14ac:dyDescent="0.25">
      <c r="A672">
        <v>753</v>
      </c>
      <c r="B672">
        <v>28</v>
      </c>
      <c r="C672" t="s">
        <v>45</v>
      </c>
      <c r="D672" s="3">
        <v>129367</v>
      </c>
      <c r="E672">
        <v>4</v>
      </c>
      <c r="F672">
        <v>1</v>
      </c>
      <c r="G672">
        <v>44</v>
      </c>
      <c r="H672" t="s">
        <v>14</v>
      </c>
      <c r="I672">
        <v>559.61</v>
      </c>
      <c r="J672">
        <v>559.61</v>
      </c>
    </row>
    <row r="673" spans="1:10" x14ac:dyDescent="0.25">
      <c r="A673">
        <v>765</v>
      </c>
      <c r="B673">
        <v>40</v>
      </c>
      <c r="C673" t="s">
        <v>45</v>
      </c>
      <c r="D673" s="3">
        <v>108344</v>
      </c>
      <c r="E673">
        <v>87</v>
      </c>
      <c r="F673">
        <v>2</v>
      </c>
      <c r="G673">
        <v>13</v>
      </c>
      <c r="H673" t="s">
        <v>14</v>
      </c>
      <c r="I673">
        <v>892.28</v>
      </c>
      <c r="J673">
        <v>892.28</v>
      </c>
    </row>
    <row r="674" spans="1:10" x14ac:dyDescent="0.25">
      <c r="A674">
        <v>779</v>
      </c>
      <c r="B674">
        <v>56</v>
      </c>
      <c r="C674" t="s">
        <v>45</v>
      </c>
      <c r="D674" s="3">
        <v>43031</v>
      </c>
      <c r="E674">
        <v>56</v>
      </c>
      <c r="F674">
        <v>2</v>
      </c>
      <c r="G674">
        <v>15</v>
      </c>
      <c r="H674" t="s">
        <v>14</v>
      </c>
      <c r="I674">
        <v>830.79</v>
      </c>
      <c r="J674">
        <v>830.79</v>
      </c>
    </row>
    <row r="675" spans="1:10" x14ac:dyDescent="0.25">
      <c r="A675">
        <v>809</v>
      </c>
      <c r="B675">
        <v>46</v>
      </c>
      <c r="C675" t="s">
        <v>45</v>
      </c>
      <c r="D675" s="3">
        <v>91845</v>
      </c>
      <c r="E675">
        <v>35</v>
      </c>
      <c r="F675">
        <v>8</v>
      </c>
      <c r="G675">
        <v>49</v>
      </c>
      <c r="H675" t="s">
        <v>14</v>
      </c>
      <c r="I675">
        <v>537.23</v>
      </c>
      <c r="J675">
        <v>537.23</v>
      </c>
    </row>
    <row r="676" spans="1:10" x14ac:dyDescent="0.25">
      <c r="A676">
        <v>846</v>
      </c>
      <c r="B676">
        <v>60</v>
      </c>
      <c r="C676" t="s">
        <v>45</v>
      </c>
      <c r="D676" s="3">
        <v>61376</v>
      </c>
      <c r="E676">
        <v>97</v>
      </c>
      <c r="F676">
        <v>8</v>
      </c>
      <c r="G676">
        <v>9</v>
      </c>
      <c r="H676" t="s">
        <v>14</v>
      </c>
      <c r="I676">
        <v>793.84</v>
      </c>
      <c r="J676">
        <v>793.84</v>
      </c>
    </row>
    <row r="677" spans="1:10" x14ac:dyDescent="0.25">
      <c r="A677">
        <v>885</v>
      </c>
      <c r="B677">
        <v>58</v>
      </c>
      <c r="C677" t="s">
        <v>45</v>
      </c>
      <c r="D677" s="3">
        <v>149723</v>
      </c>
      <c r="E677">
        <v>70</v>
      </c>
      <c r="F677">
        <v>9</v>
      </c>
      <c r="G677">
        <v>23</v>
      </c>
      <c r="H677" t="s">
        <v>14</v>
      </c>
      <c r="I677">
        <v>374.59</v>
      </c>
      <c r="J677">
        <v>374.59</v>
      </c>
    </row>
    <row r="678" spans="1:10" x14ac:dyDescent="0.25">
      <c r="A678">
        <v>917</v>
      </c>
      <c r="B678">
        <v>49</v>
      </c>
      <c r="C678" t="s">
        <v>45</v>
      </c>
      <c r="D678" s="3">
        <v>30523</v>
      </c>
      <c r="E678">
        <v>83</v>
      </c>
      <c r="F678">
        <v>4</v>
      </c>
      <c r="G678">
        <v>38</v>
      </c>
      <c r="H678" t="s">
        <v>14</v>
      </c>
      <c r="I678">
        <v>564.48</v>
      </c>
      <c r="J678">
        <v>564.48</v>
      </c>
    </row>
    <row r="679" spans="1:10" x14ac:dyDescent="0.25">
      <c r="A679">
        <v>920</v>
      </c>
      <c r="B679">
        <v>60</v>
      </c>
      <c r="C679" t="s">
        <v>45</v>
      </c>
      <c r="D679" s="3">
        <v>44555</v>
      </c>
      <c r="E679">
        <v>84</v>
      </c>
      <c r="F679">
        <v>7</v>
      </c>
      <c r="G679">
        <v>28</v>
      </c>
      <c r="H679" t="s">
        <v>14</v>
      </c>
      <c r="I679">
        <v>678.42</v>
      </c>
      <c r="J679">
        <v>678.42</v>
      </c>
    </row>
    <row r="680" spans="1:10" x14ac:dyDescent="0.25">
      <c r="A680">
        <v>944</v>
      </c>
      <c r="B680">
        <v>47</v>
      </c>
      <c r="C680" t="s">
        <v>45</v>
      </c>
      <c r="D680" s="3">
        <v>37014</v>
      </c>
      <c r="E680">
        <v>76</v>
      </c>
      <c r="F680">
        <v>5</v>
      </c>
      <c r="G680">
        <v>34</v>
      </c>
      <c r="H680" t="s">
        <v>14</v>
      </c>
      <c r="I680">
        <v>880.18</v>
      </c>
      <c r="J680">
        <v>880.18</v>
      </c>
    </row>
    <row r="681" spans="1:10" x14ac:dyDescent="0.25">
      <c r="A681">
        <v>951</v>
      </c>
      <c r="B681">
        <v>41</v>
      </c>
      <c r="C681" t="s">
        <v>45</v>
      </c>
      <c r="D681" s="3">
        <v>134487</v>
      </c>
      <c r="E681">
        <v>7</v>
      </c>
      <c r="F681">
        <v>10</v>
      </c>
      <c r="G681">
        <v>50</v>
      </c>
      <c r="H681" t="s">
        <v>14</v>
      </c>
      <c r="I681">
        <v>556.1</v>
      </c>
      <c r="J681">
        <v>556.1</v>
      </c>
    </row>
    <row r="682" spans="1:10" x14ac:dyDescent="0.25">
      <c r="A682">
        <v>965</v>
      </c>
      <c r="B682">
        <v>49</v>
      </c>
      <c r="C682" t="s">
        <v>45</v>
      </c>
      <c r="D682" s="3">
        <v>94218</v>
      </c>
      <c r="E682">
        <v>4</v>
      </c>
      <c r="F682">
        <v>10</v>
      </c>
      <c r="G682">
        <v>5</v>
      </c>
      <c r="H682" t="s">
        <v>14</v>
      </c>
      <c r="I682">
        <v>287.36</v>
      </c>
      <c r="J682">
        <v>287.36</v>
      </c>
    </row>
    <row r="683" spans="1:10" x14ac:dyDescent="0.25">
      <c r="A683">
        <v>974</v>
      </c>
      <c r="B683">
        <v>48</v>
      </c>
      <c r="C683" t="s">
        <v>45</v>
      </c>
      <c r="D683" s="3">
        <v>75118</v>
      </c>
      <c r="E683">
        <v>84</v>
      </c>
      <c r="F683">
        <v>6</v>
      </c>
      <c r="G683">
        <v>41</v>
      </c>
      <c r="H683" t="s">
        <v>14</v>
      </c>
      <c r="I683">
        <v>711.37</v>
      </c>
      <c r="J683">
        <v>711.37</v>
      </c>
    </row>
    <row r="684" spans="1:10" x14ac:dyDescent="0.25">
      <c r="A684">
        <v>984</v>
      </c>
      <c r="B684">
        <v>51</v>
      </c>
      <c r="C684" t="s">
        <v>45</v>
      </c>
      <c r="D684" s="3">
        <v>91682</v>
      </c>
      <c r="E684">
        <v>27</v>
      </c>
      <c r="F684">
        <v>9</v>
      </c>
      <c r="G684">
        <v>49</v>
      </c>
      <c r="H684" t="s">
        <v>14</v>
      </c>
      <c r="I684">
        <v>990.87</v>
      </c>
      <c r="J684">
        <v>990.87</v>
      </c>
    </row>
    <row r="685" spans="1:10" x14ac:dyDescent="0.25">
      <c r="A685">
        <v>990</v>
      </c>
      <c r="B685">
        <v>31</v>
      </c>
      <c r="C685" t="s">
        <v>45</v>
      </c>
      <c r="D685" s="3">
        <v>45695</v>
      </c>
      <c r="E685">
        <v>36</v>
      </c>
      <c r="F685">
        <v>2</v>
      </c>
      <c r="G685">
        <v>31</v>
      </c>
      <c r="H685" t="s">
        <v>14</v>
      </c>
      <c r="I685">
        <v>864.67</v>
      </c>
      <c r="J685">
        <v>864.67</v>
      </c>
    </row>
    <row r="686" spans="1:10" x14ac:dyDescent="0.25">
      <c r="A686">
        <v>13</v>
      </c>
      <c r="B686">
        <v>29</v>
      </c>
      <c r="C686" t="s">
        <v>18</v>
      </c>
      <c r="D686" s="3">
        <v>87461</v>
      </c>
      <c r="E686">
        <v>81</v>
      </c>
      <c r="F686">
        <v>3</v>
      </c>
      <c r="G686">
        <v>27</v>
      </c>
      <c r="H686" t="s">
        <v>13</v>
      </c>
      <c r="I686">
        <v>101.07</v>
      </c>
      <c r="J686">
        <v>101.07</v>
      </c>
    </row>
    <row r="687" spans="1:10" x14ac:dyDescent="0.25">
      <c r="A687">
        <v>21</v>
      </c>
      <c r="B687">
        <v>19</v>
      </c>
      <c r="C687" t="s">
        <v>18</v>
      </c>
      <c r="D687" s="3">
        <v>82519</v>
      </c>
      <c r="E687">
        <v>13</v>
      </c>
      <c r="F687">
        <v>4</v>
      </c>
      <c r="G687">
        <v>4</v>
      </c>
      <c r="H687" t="s">
        <v>13</v>
      </c>
      <c r="I687">
        <v>742.39</v>
      </c>
      <c r="J687">
        <v>742.39</v>
      </c>
    </row>
    <row r="688" spans="1:10" x14ac:dyDescent="0.25">
      <c r="A688">
        <v>29</v>
      </c>
      <c r="B688">
        <v>18</v>
      </c>
      <c r="C688" t="s">
        <v>18</v>
      </c>
      <c r="D688" s="3">
        <v>70721</v>
      </c>
      <c r="E688">
        <v>78</v>
      </c>
      <c r="F688">
        <v>7</v>
      </c>
      <c r="G688">
        <v>1</v>
      </c>
      <c r="H688" t="s">
        <v>13</v>
      </c>
      <c r="I688">
        <v>191.9</v>
      </c>
      <c r="J688">
        <v>191.9</v>
      </c>
    </row>
    <row r="689" spans="1:10" x14ac:dyDescent="0.25">
      <c r="A689">
        <v>54</v>
      </c>
      <c r="B689">
        <v>33</v>
      </c>
      <c r="C689" t="s">
        <v>18</v>
      </c>
      <c r="D689" s="3">
        <v>45136</v>
      </c>
      <c r="E689">
        <v>84</v>
      </c>
      <c r="F689">
        <v>9</v>
      </c>
      <c r="G689">
        <v>38</v>
      </c>
      <c r="H689" t="s">
        <v>13</v>
      </c>
      <c r="I689">
        <v>332.34</v>
      </c>
      <c r="J689">
        <v>332.34</v>
      </c>
    </row>
    <row r="690" spans="1:10" x14ac:dyDescent="0.25">
      <c r="A690">
        <v>74</v>
      </c>
      <c r="B690">
        <v>38</v>
      </c>
      <c r="C690" t="s">
        <v>18</v>
      </c>
      <c r="D690" s="3">
        <v>102944</v>
      </c>
      <c r="E690">
        <v>63</v>
      </c>
      <c r="F690">
        <v>8</v>
      </c>
      <c r="G690">
        <v>9</v>
      </c>
      <c r="H690" t="s">
        <v>13</v>
      </c>
      <c r="I690">
        <v>92.69</v>
      </c>
      <c r="J690">
        <v>92.69</v>
      </c>
    </row>
    <row r="691" spans="1:10" x14ac:dyDescent="0.25">
      <c r="A691">
        <v>76</v>
      </c>
      <c r="B691">
        <v>60</v>
      </c>
      <c r="C691" t="s">
        <v>18</v>
      </c>
      <c r="D691" s="3">
        <v>131101</v>
      </c>
      <c r="E691">
        <v>68</v>
      </c>
      <c r="F691">
        <v>8</v>
      </c>
      <c r="G691">
        <v>28</v>
      </c>
      <c r="H691" t="s">
        <v>13</v>
      </c>
      <c r="I691">
        <v>522.95000000000005</v>
      </c>
      <c r="J691">
        <v>522.95000000000005</v>
      </c>
    </row>
    <row r="692" spans="1:10" x14ac:dyDescent="0.25">
      <c r="A692">
        <v>110</v>
      </c>
      <c r="B692">
        <v>56</v>
      </c>
      <c r="C692" t="s">
        <v>18</v>
      </c>
      <c r="D692" s="3">
        <v>40676</v>
      </c>
      <c r="E692">
        <v>86</v>
      </c>
      <c r="F692">
        <v>7</v>
      </c>
      <c r="G692">
        <v>38</v>
      </c>
      <c r="H692" t="s">
        <v>13</v>
      </c>
      <c r="I692">
        <v>627.65</v>
      </c>
      <c r="J692">
        <v>627.65</v>
      </c>
    </row>
    <row r="693" spans="1:10" x14ac:dyDescent="0.25">
      <c r="A693">
        <v>132</v>
      </c>
      <c r="B693">
        <v>67</v>
      </c>
      <c r="C693" t="s">
        <v>18</v>
      </c>
      <c r="D693" s="3">
        <v>116124</v>
      </c>
      <c r="E693">
        <v>78</v>
      </c>
      <c r="F693">
        <v>10</v>
      </c>
      <c r="G693">
        <v>28</v>
      </c>
      <c r="H693" t="s">
        <v>13</v>
      </c>
      <c r="I693">
        <v>11.29</v>
      </c>
      <c r="J693">
        <v>11.29</v>
      </c>
    </row>
    <row r="694" spans="1:10" x14ac:dyDescent="0.25">
      <c r="A694">
        <v>144</v>
      </c>
      <c r="B694">
        <v>41</v>
      </c>
      <c r="C694" t="s">
        <v>18</v>
      </c>
      <c r="D694" s="3">
        <v>82613</v>
      </c>
      <c r="E694">
        <v>49</v>
      </c>
      <c r="F694">
        <v>3</v>
      </c>
      <c r="G694">
        <v>10</v>
      </c>
      <c r="H694" t="s">
        <v>13</v>
      </c>
      <c r="I694">
        <v>421.24</v>
      </c>
      <c r="J694">
        <v>421.24</v>
      </c>
    </row>
    <row r="695" spans="1:10" x14ac:dyDescent="0.25">
      <c r="A695">
        <v>148</v>
      </c>
      <c r="B695">
        <v>47</v>
      </c>
      <c r="C695" t="s">
        <v>18</v>
      </c>
      <c r="D695" s="3">
        <v>104517</v>
      </c>
      <c r="E695">
        <v>91</v>
      </c>
      <c r="F695">
        <v>2</v>
      </c>
      <c r="G695">
        <v>6</v>
      </c>
      <c r="H695" t="s">
        <v>13</v>
      </c>
      <c r="I695">
        <v>979.41</v>
      </c>
      <c r="J695">
        <v>979.41</v>
      </c>
    </row>
    <row r="696" spans="1:10" x14ac:dyDescent="0.25">
      <c r="A696">
        <v>152</v>
      </c>
      <c r="B696">
        <v>45</v>
      </c>
      <c r="C696" t="s">
        <v>18</v>
      </c>
      <c r="D696" s="3">
        <v>79721</v>
      </c>
      <c r="E696">
        <v>20</v>
      </c>
      <c r="F696">
        <v>1</v>
      </c>
      <c r="G696">
        <v>1</v>
      </c>
      <c r="H696" t="s">
        <v>13</v>
      </c>
      <c r="I696">
        <v>215.41</v>
      </c>
      <c r="J696">
        <v>215.41</v>
      </c>
    </row>
    <row r="697" spans="1:10" x14ac:dyDescent="0.25">
      <c r="A697">
        <v>156</v>
      </c>
      <c r="B697">
        <v>24</v>
      </c>
      <c r="C697" t="s">
        <v>18</v>
      </c>
      <c r="D697" s="3">
        <v>103766</v>
      </c>
      <c r="E697">
        <v>77</v>
      </c>
      <c r="F697">
        <v>4</v>
      </c>
      <c r="G697">
        <v>25</v>
      </c>
      <c r="H697" t="s">
        <v>13</v>
      </c>
      <c r="I697">
        <v>663.21</v>
      </c>
      <c r="J697">
        <v>663.21</v>
      </c>
    </row>
    <row r="698" spans="1:10" x14ac:dyDescent="0.25">
      <c r="A698">
        <v>173</v>
      </c>
      <c r="B698">
        <v>56</v>
      </c>
      <c r="C698" t="s">
        <v>18</v>
      </c>
      <c r="D698" s="3">
        <v>111754</v>
      </c>
      <c r="E698">
        <v>96</v>
      </c>
      <c r="F698">
        <v>8</v>
      </c>
      <c r="G698">
        <v>38</v>
      </c>
      <c r="H698" t="s">
        <v>13</v>
      </c>
      <c r="I698">
        <v>631.05999999999995</v>
      </c>
      <c r="J698">
        <v>631.05999999999995</v>
      </c>
    </row>
    <row r="699" spans="1:10" x14ac:dyDescent="0.25">
      <c r="A699">
        <v>183</v>
      </c>
      <c r="B699">
        <v>43</v>
      </c>
      <c r="C699" t="s">
        <v>18</v>
      </c>
      <c r="D699" s="3">
        <v>32512</v>
      </c>
      <c r="E699">
        <v>95</v>
      </c>
      <c r="F699">
        <v>4</v>
      </c>
      <c r="G699">
        <v>49</v>
      </c>
      <c r="H699" t="s">
        <v>13</v>
      </c>
      <c r="I699">
        <v>223.39</v>
      </c>
      <c r="J699">
        <v>223.39</v>
      </c>
    </row>
    <row r="700" spans="1:10" x14ac:dyDescent="0.25">
      <c r="A700">
        <v>185</v>
      </c>
      <c r="B700">
        <v>41</v>
      </c>
      <c r="C700" t="s">
        <v>18</v>
      </c>
      <c r="D700" s="3">
        <v>104337</v>
      </c>
      <c r="E700">
        <v>91</v>
      </c>
      <c r="F700">
        <v>6</v>
      </c>
      <c r="G700">
        <v>27</v>
      </c>
      <c r="H700" t="s">
        <v>13</v>
      </c>
      <c r="I700">
        <v>401.63</v>
      </c>
      <c r="J700">
        <v>401.63</v>
      </c>
    </row>
    <row r="701" spans="1:10" x14ac:dyDescent="0.25">
      <c r="A701">
        <v>197</v>
      </c>
      <c r="B701">
        <v>34</v>
      </c>
      <c r="C701" t="s">
        <v>18</v>
      </c>
      <c r="D701" s="3">
        <v>56125</v>
      </c>
      <c r="E701">
        <v>66</v>
      </c>
      <c r="F701">
        <v>10</v>
      </c>
      <c r="G701">
        <v>26</v>
      </c>
      <c r="H701" t="s">
        <v>13</v>
      </c>
      <c r="I701">
        <v>610.66</v>
      </c>
      <c r="J701">
        <v>610.66</v>
      </c>
    </row>
    <row r="702" spans="1:10" x14ac:dyDescent="0.25">
      <c r="A702">
        <v>209</v>
      </c>
      <c r="B702">
        <v>60</v>
      </c>
      <c r="C702" t="s">
        <v>18</v>
      </c>
      <c r="D702" s="3">
        <v>124416</v>
      </c>
      <c r="E702">
        <v>24</v>
      </c>
      <c r="F702">
        <v>5</v>
      </c>
      <c r="G702">
        <v>39</v>
      </c>
      <c r="H702" t="s">
        <v>13</v>
      </c>
      <c r="I702">
        <v>544.04</v>
      </c>
      <c r="J702">
        <v>544.04</v>
      </c>
    </row>
    <row r="703" spans="1:10" x14ac:dyDescent="0.25">
      <c r="A703">
        <v>226</v>
      </c>
      <c r="B703">
        <v>19</v>
      </c>
      <c r="C703" t="s">
        <v>18</v>
      </c>
      <c r="D703" s="3">
        <v>51355</v>
      </c>
      <c r="E703">
        <v>48</v>
      </c>
      <c r="F703">
        <v>8</v>
      </c>
      <c r="G703">
        <v>28</v>
      </c>
      <c r="H703" t="s">
        <v>13</v>
      </c>
      <c r="I703">
        <v>278.20999999999998</v>
      </c>
      <c r="J703">
        <v>278.20999999999998</v>
      </c>
    </row>
    <row r="704" spans="1:10" x14ac:dyDescent="0.25">
      <c r="A704">
        <v>244</v>
      </c>
      <c r="B704">
        <v>47</v>
      </c>
      <c r="C704" t="s">
        <v>18</v>
      </c>
      <c r="D704" s="3">
        <v>108356</v>
      </c>
      <c r="E704">
        <v>84</v>
      </c>
      <c r="F704">
        <v>6</v>
      </c>
      <c r="G704">
        <v>19</v>
      </c>
      <c r="H704" t="s">
        <v>13</v>
      </c>
      <c r="I704">
        <v>911</v>
      </c>
      <c r="J704">
        <v>911</v>
      </c>
    </row>
    <row r="705" spans="1:10" x14ac:dyDescent="0.25">
      <c r="A705">
        <v>267</v>
      </c>
      <c r="B705">
        <v>57</v>
      </c>
      <c r="C705" t="s">
        <v>18</v>
      </c>
      <c r="D705" s="3">
        <v>114972</v>
      </c>
      <c r="E705">
        <v>42</v>
      </c>
      <c r="F705">
        <v>9</v>
      </c>
      <c r="G705">
        <v>12</v>
      </c>
      <c r="H705" t="s">
        <v>13</v>
      </c>
      <c r="I705">
        <v>999.74</v>
      </c>
      <c r="J705">
        <v>999.74</v>
      </c>
    </row>
    <row r="706" spans="1:10" x14ac:dyDescent="0.25">
      <c r="A706">
        <v>348</v>
      </c>
      <c r="B706">
        <v>39</v>
      </c>
      <c r="C706" t="s">
        <v>18</v>
      </c>
      <c r="D706" s="3">
        <v>136141</v>
      </c>
      <c r="E706">
        <v>58</v>
      </c>
      <c r="F706">
        <v>6</v>
      </c>
      <c r="G706">
        <v>30</v>
      </c>
      <c r="H706" t="s">
        <v>13</v>
      </c>
      <c r="I706">
        <v>211.56</v>
      </c>
      <c r="J706">
        <v>211.56</v>
      </c>
    </row>
    <row r="707" spans="1:10" x14ac:dyDescent="0.25">
      <c r="A707">
        <v>368</v>
      </c>
      <c r="B707">
        <v>53</v>
      </c>
      <c r="C707" t="s">
        <v>18</v>
      </c>
      <c r="D707" s="3">
        <v>130474</v>
      </c>
      <c r="E707">
        <v>74</v>
      </c>
      <c r="F707">
        <v>10</v>
      </c>
      <c r="G707">
        <v>39</v>
      </c>
      <c r="H707" t="s">
        <v>13</v>
      </c>
      <c r="I707">
        <v>217.92</v>
      </c>
      <c r="J707">
        <v>217.92</v>
      </c>
    </row>
    <row r="708" spans="1:10" x14ac:dyDescent="0.25">
      <c r="A708">
        <v>378</v>
      </c>
      <c r="B708">
        <v>45</v>
      </c>
      <c r="C708" t="s">
        <v>18</v>
      </c>
      <c r="D708" s="3">
        <v>110174</v>
      </c>
      <c r="E708">
        <v>87</v>
      </c>
      <c r="F708">
        <v>5</v>
      </c>
      <c r="G708">
        <v>32</v>
      </c>
      <c r="H708" t="s">
        <v>13</v>
      </c>
      <c r="I708">
        <v>388.15</v>
      </c>
      <c r="J708">
        <v>388.15</v>
      </c>
    </row>
    <row r="709" spans="1:10" x14ac:dyDescent="0.25">
      <c r="A709">
        <v>395</v>
      </c>
      <c r="B709">
        <v>69</v>
      </c>
      <c r="C709" t="s">
        <v>18</v>
      </c>
      <c r="D709" s="3">
        <v>119075</v>
      </c>
      <c r="E709">
        <v>40</v>
      </c>
      <c r="F709">
        <v>8</v>
      </c>
      <c r="G709">
        <v>44</v>
      </c>
      <c r="H709" t="s">
        <v>13</v>
      </c>
      <c r="I709">
        <v>866.72</v>
      </c>
      <c r="J709">
        <v>866.72</v>
      </c>
    </row>
    <row r="710" spans="1:10" x14ac:dyDescent="0.25">
      <c r="A710">
        <v>409</v>
      </c>
      <c r="B710">
        <v>63</v>
      </c>
      <c r="C710" t="s">
        <v>18</v>
      </c>
      <c r="D710" s="3">
        <v>70967</v>
      </c>
      <c r="E710">
        <v>59</v>
      </c>
      <c r="F710">
        <v>6</v>
      </c>
      <c r="G710">
        <v>10</v>
      </c>
      <c r="H710" t="s">
        <v>13</v>
      </c>
      <c r="I710">
        <v>954.05</v>
      </c>
      <c r="J710">
        <v>954.05</v>
      </c>
    </row>
    <row r="711" spans="1:10" x14ac:dyDescent="0.25">
      <c r="A711">
        <v>410</v>
      </c>
      <c r="B711">
        <v>20</v>
      </c>
      <c r="C711" t="s">
        <v>18</v>
      </c>
      <c r="D711" s="3">
        <v>98213</v>
      </c>
      <c r="E711">
        <v>12</v>
      </c>
      <c r="F711">
        <v>5</v>
      </c>
      <c r="G711">
        <v>37</v>
      </c>
      <c r="H711" t="s">
        <v>13</v>
      </c>
      <c r="I711">
        <v>902.24</v>
      </c>
      <c r="J711">
        <v>902.24</v>
      </c>
    </row>
    <row r="712" spans="1:10" x14ac:dyDescent="0.25">
      <c r="A712">
        <v>413</v>
      </c>
      <c r="B712">
        <v>19</v>
      </c>
      <c r="C712" t="s">
        <v>18</v>
      </c>
      <c r="D712" s="3">
        <v>105731</v>
      </c>
      <c r="E712">
        <v>9</v>
      </c>
      <c r="F712">
        <v>7</v>
      </c>
      <c r="G712">
        <v>10</v>
      </c>
      <c r="H712" t="s">
        <v>13</v>
      </c>
      <c r="I712">
        <v>421.08</v>
      </c>
      <c r="J712">
        <v>421.08</v>
      </c>
    </row>
    <row r="713" spans="1:10" x14ac:dyDescent="0.25">
      <c r="A713">
        <v>435</v>
      </c>
      <c r="B713">
        <v>32</v>
      </c>
      <c r="C713" t="s">
        <v>18</v>
      </c>
      <c r="D713" s="3">
        <v>69782</v>
      </c>
      <c r="E713">
        <v>76</v>
      </c>
      <c r="F713">
        <v>1</v>
      </c>
      <c r="G713">
        <v>9</v>
      </c>
      <c r="H713" t="s">
        <v>13</v>
      </c>
      <c r="I713">
        <v>803.28</v>
      </c>
      <c r="J713">
        <v>803.28</v>
      </c>
    </row>
    <row r="714" spans="1:10" x14ac:dyDescent="0.25">
      <c r="A714">
        <v>473</v>
      </c>
      <c r="B714">
        <v>53</v>
      </c>
      <c r="C714" t="s">
        <v>18</v>
      </c>
      <c r="D714" s="3">
        <v>104435</v>
      </c>
      <c r="E714">
        <v>42</v>
      </c>
      <c r="F714">
        <v>4</v>
      </c>
      <c r="G714">
        <v>34</v>
      </c>
      <c r="H714" t="s">
        <v>13</v>
      </c>
      <c r="I714">
        <v>795.81</v>
      </c>
      <c r="J714">
        <v>795.81</v>
      </c>
    </row>
    <row r="715" spans="1:10" x14ac:dyDescent="0.25">
      <c r="A715">
        <v>487</v>
      </c>
      <c r="B715">
        <v>22</v>
      </c>
      <c r="C715" t="s">
        <v>18</v>
      </c>
      <c r="D715" s="3">
        <v>104781</v>
      </c>
      <c r="E715">
        <v>64</v>
      </c>
      <c r="F715">
        <v>8</v>
      </c>
      <c r="G715">
        <v>38</v>
      </c>
      <c r="H715" t="s">
        <v>13</v>
      </c>
      <c r="I715">
        <v>151.47999999999999</v>
      </c>
      <c r="J715">
        <v>151.47999999999999</v>
      </c>
    </row>
    <row r="716" spans="1:10" x14ac:dyDescent="0.25">
      <c r="A716">
        <v>489</v>
      </c>
      <c r="B716">
        <v>26</v>
      </c>
      <c r="C716" t="s">
        <v>18</v>
      </c>
      <c r="D716" s="3">
        <v>96845</v>
      </c>
      <c r="E716">
        <v>19</v>
      </c>
      <c r="F716">
        <v>1</v>
      </c>
      <c r="G716">
        <v>5</v>
      </c>
      <c r="H716" t="s">
        <v>13</v>
      </c>
      <c r="I716">
        <v>154.88999999999999</v>
      </c>
      <c r="J716">
        <v>154.88999999999999</v>
      </c>
    </row>
    <row r="717" spans="1:10" x14ac:dyDescent="0.25">
      <c r="A717">
        <v>514</v>
      </c>
      <c r="B717">
        <v>69</v>
      </c>
      <c r="C717" t="s">
        <v>18</v>
      </c>
      <c r="D717" s="3">
        <v>58668</v>
      </c>
      <c r="E717">
        <v>40</v>
      </c>
      <c r="F717">
        <v>2</v>
      </c>
      <c r="G717">
        <v>15</v>
      </c>
      <c r="H717" t="s">
        <v>13</v>
      </c>
      <c r="I717">
        <v>626.35</v>
      </c>
      <c r="J717">
        <v>626.35</v>
      </c>
    </row>
    <row r="718" spans="1:10" x14ac:dyDescent="0.25">
      <c r="A718">
        <v>522</v>
      </c>
      <c r="B718">
        <v>29</v>
      </c>
      <c r="C718" t="s">
        <v>18</v>
      </c>
      <c r="D718" s="3">
        <v>51471</v>
      </c>
      <c r="E718">
        <v>96</v>
      </c>
      <c r="F718">
        <v>3</v>
      </c>
      <c r="G718">
        <v>13</v>
      </c>
      <c r="H718" t="s">
        <v>13</v>
      </c>
      <c r="I718">
        <v>668.21</v>
      </c>
      <c r="J718">
        <v>668.21</v>
      </c>
    </row>
    <row r="719" spans="1:10" x14ac:dyDescent="0.25">
      <c r="A719">
        <v>537</v>
      </c>
      <c r="B719">
        <v>48</v>
      </c>
      <c r="C719" t="s">
        <v>18</v>
      </c>
      <c r="D719" s="3">
        <v>57932</v>
      </c>
      <c r="E719">
        <v>70</v>
      </c>
      <c r="F719">
        <v>9</v>
      </c>
      <c r="G719">
        <v>44</v>
      </c>
      <c r="H719" t="s">
        <v>13</v>
      </c>
      <c r="I719">
        <v>192.46</v>
      </c>
      <c r="J719">
        <v>192.46</v>
      </c>
    </row>
    <row r="720" spans="1:10" x14ac:dyDescent="0.25">
      <c r="A720">
        <v>548</v>
      </c>
      <c r="B720">
        <v>22</v>
      </c>
      <c r="C720" t="s">
        <v>18</v>
      </c>
      <c r="D720" s="3">
        <v>93861</v>
      </c>
      <c r="E720">
        <v>42</v>
      </c>
      <c r="F720">
        <v>6</v>
      </c>
      <c r="G720">
        <v>6</v>
      </c>
      <c r="H720" t="s">
        <v>13</v>
      </c>
      <c r="I720">
        <v>73.13</v>
      </c>
      <c r="J720">
        <v>73.13</v>
      </c>
    </row>
    <row r="721" spans="1:10" x14ac:dyDescent="0.25">
      <c r="A721">
        <v>554</v>
      </c>
      <c r="B721">
        <v>61</v>
      </c>
      <c r="C721" t="s">
        <v>18</v>
      </c>
      <c r="D721" s="3">
        <v>54256</v>
      </c>
      <c r="E721">
        <v>78</v>
      </c>
      <c r="F721">
        <v>3</v>
      </c>
      <c r="G721">
        <v>3</v>
      </c>
      <c r="H721" t="s">
        <v>13</v>
      </c>
      <c r="I721">
        <v>886.44</v>
      </c>
      <c r="J721">
        <v>886.44</v>
      </c>
    </row>
    <row r="722" spans="1:10" x14ac:dyDescent="0.25">
      <c r="A722">
        <v>568</v>
      </c>
      <c r="B722">
        <v>45</v>
      </c>
      <c r="C722" t="s">
        <v>18</v>
      </c>
      <c r="D722" s="3">
        <v>41917</v>
      </c>
      <c r="E722">
        <v>58</v>
      </c>
      <c r="F722">
        <v>8</v>
      </c>
      <c r="G722">
        <v>5</v>
      </c>
      <c r="H722" t="s">
        <v>13</v>
      </c>
      <c r="I722">
        <v>870.38</v>
      </c>
      <c r="J722">
        <v>870.38</v>
      </c>
    </row>
    <row r="723" spans="1:10" x14ac:dyDescent="0.25">
      <c r="A723">
        <v>610</v>
      </c>
      <c r="B723">
        <v>23</v>
      </c>
      <c r="C723" t="s">
        <v>18</v>
      </c>
      <c r="D723" s="3">
        <v>83912</v>
      </c>
      <c r="E723">
        <v>28</v>
      </c>
      <c r="F723">
        <v>6</v>
      </c>
      <c r="G723">
        <v>31</v>
      </c>
      <c r="H723" t="s">
        <v>13</v>
      </c>
      <c r="I723">
        <v>98.32</v>
      </c>
      <c r="J723">
        <v>98.32</v>
      </c>
    </row>
    <row r="724" spans="1:10" x14ac:dyDescent="0.25">
      <c r="A724">
        <v>611</v>
      </c>
      <c r="B724">
        <v>42</v>
      </c>
      <c r="C724" t="s">
        <v>18</v>
      </c>
      <c r="D724" s="3">
        <v>63444</v>
      </c>
      <c r="E724">
        <v>72</v>
      </c>
      <c r="F724">
        <v>4</v>
      </c>
      <c r="G724">
        <v>40</v>
      </c>
      <c r="H724" t="s">
        <v>13</v>
      </c>
      <c r="I724">
        <v>166.45</v>
      </c>
      <c r="J724">
        <v>166.45</v>
      </c>
    </row>
    <row r="725" spans="1:10" x14ac:dyDescent="0.25">
      <c r="A725">
        <v>630</v>
      </c>
      <c r="B725">
        <v>64</v>
      </c>
      <c r="C725" t="s">
        <v>18</v>
      </c>
      <c r="D725" s="3">
        <v>145746</v>
      </c>
      <c r="E725">
        <v>76</v>
      </c>
      <c r="F725">
        <v>2</v>
      </c>
      <c r="G725">
        <v>48</v>
      </c>
      <c r="H725" t="s">
        <v>13</v>
      </c>
      <c r="I725">
        <v>49.06</v>
      </c>
      <c r="J725">
        <v>49.06</v>
      </c>
    </row>
    <row r="726" spans="1:10" x14ac:dyDescent="0.25">
      <c r="A726">
        <v>638</v>
      </c>
      <c r="B726">
        <v>34</v>
      </c>
      <c r="C726" t="s">
        <v>18</v>
      </c>
      <c r="D726" s="3">
        <v>60489</v>
      </c>
      <c r="E726">
        <v>95</v>
      </c>
      <c r="F726">
        <v>3</v>
      </c>
      <c r="G726">
        <v>38</v>
      </c>
      <c r="H726" t="s">
        <v>13</v>
      </c>
      <c r="I726">
        <v>304.86</v>
      </c>
      <c r="J726">
        <v>304.86</v>
      </c>
    </row>
    <row r="727" spans="1:10" x14ac:dyDescent="0.25">
      <c r="A727">
        <v>675</v>
      </c>
      <c r="B727">
        <v>64</v>
      </c>
      <c r="C727" t="s">
        <v>18</v>
      </c>
      <c r="D727" s="3">
        <v>67704</v>
      </c>
      <c r="E727">
        <v>12</v>
      </c>
      <c r="F727">
        <v>6</v>
      </c>
      <c r="G727">
        <v>17</v>
      </c>
      <c r="H727" t="s">
        <v>13</v>
      </c>
      <c r="I727">
        <v>126.15</v>
      </c>
      <c r="J727">
        <v>126.15</v>
      </c>
    </row>
    <row r="728" spans="1:10" x14ac:dyDescent="0.25">
      <c r="A728">
        <v>683</v>
      </c>
      <c r="B728">
        <v>27</v>
      </c>
      <c r="C728" t="s">
        <v>18</v>
      </c>
      <c r="D728" s="3">
        <v>89855</v>
      </c>
      <c r="E728">
        <v>54</v>
      </c>
      <c r="F728">
        <v>10</v>
      </c>
      <c r="G728">
        <v>37</v>
      </c>
      <c r="H728" t="s">
        <v>13</v>
      </c>
      <c r="I728">
        <v>750.51</v>
      </c>
      <c r="J728">
        <v>750.51</v>
      </c>
    </row>
    <row r="729" spans="1:10" x14ac:dyDescent="0.25">
      <c r="A729">
        <v>703</v>
      </c>
      <c r="B729">
        <v>26</v>
      </c>
      <c r="C729" t="s">
        <v>18</v>
      </c>
      <c r="D729" s="3">
        <v>56466</v>
      </c>
      <c r="E729">
        <v>61</v>
      </c>
      <c r="F729">
        <v>3</v>
      </c>
      <c r="G729">
        <v>12</v>
      </c>
      <c r="H729" t="s">
        <v>13</v>
      </c>
      <c r="I729">
        <v>358.22</v>
      </c>
      <c r="J729">
        <v>358.22</v>
      </c>
    </row>
    <row r="730" spans="1:10" x14ac:dyDescent="0.25">
      <c r="A730">
        <v>718</v>
      </c>
      <c r="B730">
        <v>57</v>
      </c>
      <c r="C730" t="s">
        <v>18</v>
      </c>
      <c r="D730" s="3">
        <v>108833</v>
      </c>
      <c r="E730">
        <v>77</v>
      </c>
      <c r="F730">
        <v>3</v>
      </c>
      <c r="G730">
        <v>37</v>
      </c>
      <c r="H730" t="s">
        <v>13</v>
      </c>
      <c r="I730">
        <v>623.78</v>
      </c>
      <c r="J730">
        <v>623.78</v>
      </c>
    </row>
    <row r="731" spans="1:10" x14ac:dyDescent="0.25">
      <c r="A731">
        <v>757</v>
      </c>
      <c r="B731">
        <v>19</v>
      </c>
      <c r="C731" t="s">
        <v>18</v>
      </c>
      <c r="D731" s="3">
        <v>129687</v>
      </c>
      <c r="E731">
        <v>78</v>
      </c>
      <c r="F731">
        <v>3</v>
      </c>
      <c r="G731">
        <v>43</v>
      </c>
      <c r="H731" t="s">
        <v>13</v>
      </c>
      <c r="I731">
        <v>679.67</v>
      </c>
      <c r="J731">
        <v>679.67</v>
      </c>
    </row>
    <row r="732" spans="1:10" x14ac:dyDescent="0.25">
      <c r="A732">
        <v>791</v>
      </c>
      <c r="B732">
        <v>59</v>
      </c>
      <c r="C732" t="s">
        <v>18</v>
      </c>
      <c r="D732" s="3">
        <v>97756</v>
      </c>
      <c r="E732">
        <v>89</v>
      </c>
      <c r="F732">
        <v>6</v>
      </c>
      <c r="G732">
        <v>3</v>
      </c>
      <c r="H732" t="s">
        <v>13</v>
      </c>
      <c r="I732">
        <v>318.74</v>
      </c>
      <c r="J732">
        <v>318.74</v>
      </c>
    </row>
    <row r="733" spans="1:10" x14ac:dyDescent="0.25">
      <c r="A733">
        <v>793</v>
      </c>
      <c r="B733">
        <v>63</v>
      </c>
      <c r="C733" t="s">
        <v>18</v>
      </c>
      <c r="D733" s="3">
        <v>123481</v>
      </c>
      <c r="E733">
        <v>26</v>
      </c>
      <c r="F733">
        <v>1</v>
      </c>
      <c r="G733">
        <v>26</v>
      </c>
      <c r="H733" t="s">
        <v>13</v>
      </c>
      <c r="I733">
        <v>386.51</v>
      </c>
      <c r="J733">
        <v>386.51</v>
      </c>
    </row>
    <row r="734" spans="1:10" x14ac:dyDescent="0.25">
      <c r="A734">
        <v>811</v>
      </c>
      <c r="B734">
        <v>27</v>
      </c>
      <c r="C734" t="s">
        <v>18</v>
      </c>
      <c r="D734" s="3">
        <v>78001</v>
      </c>
      <c r="E734">
        <v>50</v>
      </c>
      <c r="F734">
        <v>5</v>
      </c>
      <c r="G734">
        <v>17</v>
      </c>
      <c r="H734" t="s">
        <v>13</v>
      </c>
      <c r="I734">
        <v>117.03</v>
      </c>
      <c r="J734">
        <v>117.03</v>
      </c>
    </row>
    <row r="735" spans="1:10" x14ac:dyDescent="0.25">
      <c r="A735">
        <v>815</v>
      </c>
      <c r="B735">
        <v>53</v>
      </c>
      <c r="C735" t="s">
        <v>18</v>
      </c>
      <c r="D735" s="3">
        <v>58486</v>
      </c>
      <c r="E735">
        <v>87</v>
      </c>
      <c r="F735">
        <v>8</v>
      </c>
      <c r="G735">
        <v>23</v>
      </c>
      <c r="H735" t="s">
        <v>13</v>
      </c>
      <c r="I735">
        <v>409.35</v>
      </c>
      <c r="J735">
        <v>409.35</v>
      </c>
    </row>
    <row r="736" spans="1:10" x14ac:dyDescent="0.25">
      <c r="A736">
        <v>824</v>
      </c>
      <c r="B736">
        <v>38</v>
      </c>
      <c r="C736" t="s">
        <v>18</v>
      </c>
      <c r="D736" s="3">
        <v>81244</v>
      </c>
      <c r="E736">
        <v>57</v>
      </c>
      <c r="F736">
        <v>5</v>
      </c>
      <c r="G736">
        <v>3</v>
      </c>
      <c r="H736" t="s">
        <v>13</v>
      </c>
      <c r="I736">
        <v>301.58999999999997</v>
      </c>
      <c r="J736">
        <v>301.58999999999997</v>
      </c>
    </row>
    <row r="737" spans="1:10" x14ac:dyDescent="0.25">
      <c r="A737">
        <v>831</v>
      </c>
      <c r="B737">
        <v>43</v>
      </c>
      <c r="C737" t="s">
        <v>18</v>
      </c>
      <c r="D737" s="3">
        <v>76811</v>
      </c>
      <c r="E737">
        <v>26</v>
      </c>
      <c r="F737">
        <v>1</v>
      </c>
      <c r="G737">
        <v>33</v>
      </c>
      <c r="H737" t="s">
        <v>13</v>
      </c>
      <c r="I737">
        <v>836.5</v>
      </c>
      <c r="J737">
        <v>836.5</v>
      </c>
    </row>
    <row r="738" spans="1:10" x14ac:dyDescent="0.25">
      <c r="A738">
        <v>857</v>
      </c>
      <c r="B738">
        <v>19</v>
      </c>
      <c r="C738" t="s">
        <v>18</v>
      </c>
      <c r="D738" s="3">
        <v>90561</v>
      </c>
      <c r="E738">
        <v>75</v>
      </c>
      <c r="F738">
        <v>10</v>
      </c>
      <c r="G738">
        <v>23</v>
      </c>
      <c r="H738" t="s">
        <v>13</v>
      </c>
      <c r="I738">
        <v>866.23</v>
      </c>
      <c r="J738">
        <v>866.23</v>
      </c>
    </row>
    <row r="739" spans="1:10" x14ac:dyDescent="0.25">
      <c r="A739">
        <v>869</v>
      </c>
      <c r="B739">
        <v>49</v>
      </c>
      <c r="C739" t="s">
        <v>18</v>
      </c>
      <c r="D739" s="3">
        <v>61376</v>
      </c>
      <c r="E739">
        <v>47</v>
      </c>
      <c r="F739">
        <v>5</v>
      </c>
      <c r="G739">
        <v>16</v>
      </c>
      <c r="H739" t="s">
        <v>13</v>
      </c>
      <c r="I739">
        <v>241.25</v>
      </c>
      <c r="J739">
        <v>241.25</v>
      </c>
    </row>
    <row r="740" spans="1:10" x14ac:dyDescent="0.25">
      <c r="A740">
        <v>871</v>
      </c>
      <c r="B740">
        <v>57</v>
      </c>
      <c r="C740" t="s">
        <v>18</v>
      </c>
      <c r="D740" s="3">
        <v>128481</v>
      </c>
      <c r="E740">
        <v>86</v>
      </c>
      <c r="F740">
        <v>10</v>
      </c>
      <c r="G740">
        <v>40</v>
      </c>
      <c r="H740" t="s">
        <v>13</v>
      </c>
      <c r="I740">
        <v>727.15</v>
      </c>
      <c r="J740">
        <v>727.15</v>
      </c>
    </row>
    <row r="741" spans="1:10" x14ac:dyDescent="0.25">
      <c r="A741">
        <v>875</v>
      </c>
      <c r="B741">
        <v>25</v>
      </c>
      <c r="C741" t="s">
        <v>18</v>
      </c>
      <c r="D741" s="3">
        <v>76606</v>
      </c>
      <c r="E741">
        <v>99</v>
      </c>
      <c r="F741">
        <v>10</v>
      </c>
      <c r="G741">
        <v>32</v>
      </c>
      <c r="H741" t="s">
        <v>13</v>
      </c>
      <c r="I741">
        <v>472.4</v>
      </c>
      <c r="J741">
        <v>472.4</v>
      </c>
    </row>
    <row r="742" spans="1:10" x14ac:dyDescent="0.25">
      <c r="A742">
        <v>877</v>
      </c>
      <c r="B742">
        <v>51</v>
      </c>
      <c r="C742" t="s">
        <v>18</v>
      </c>
      <c r="D742" s="3">
        <v>127950</v>
      </c>
      <c r="E742">
        <v>27</v>
      </c>
      <c r="F742">
        <v>3</v>
      </c>
      <c r="G742">
        <v>45</v>
      </c>
      <c r="H742" t="s">
        <v>13</v>
      </c>
      <c r="I742">
        <v>412.76</v>
      </c>
      <c r="J742">
        <v>412.76</v>
      </c>
    </row>
    <row r="743" spans="1:10" x14ac:dyDescent="0.25">
      <c r="A743">
        <v>878</v>
      </c>
      <c r="B743">
        <v>45</v>
      </c>
      <c r="C743" t="s">
        <v>18</v>
      </c>
      <c r="D743" s="3">
        <v>51646</v>
      </c>
      <c r="E743">
        <v>61</v>
      </c>
      <c r="F743">
        <v>5</v>
      </c>
      <c r="G743">
        <v>41</v>
      </c>
      <c r="H743" t="s">
        <v>13</v>
      </c>
      <c r="I743">
        <v>246.41</v>
      </c>
      <c r="J743">
        <v>246.41</v>
      </c>
    </row>
    <row r="744" spans="1:10" x14ac:dyDescent="0.25">
      <c r="A744">
        <v>893</v>
      </c>
      <c r="B744">
        <v>24</v>
      </c>
      <c r="C744" t="s">
        <v>18</v>
      </c>
      <c r="D744" s="3">
        <v>60763</v>
      </c>
      <c r="E744">
        <v>92</v>
      </c>
      <c r="F744">
        <v>5</v>
      </c>
      <c r="G744">
        <v>29</v>
      </c>
      <c r="H744" t="s">
        <v>13</v>
      </c>
      <c r="I744">
        <v>320.7</v>
      </c>
      <c r="J744">
        <v>320.7</v>
      </c>
    </row>
    <row r="745" spans="1:10" x14ac:dyDescent="0.25">
      <c r="A745">
        <v>900</v>
      </c>
      <c r="B745">
        <v>52</v>
      </c>
      <c r="C745" t="s">
        <v>18</v>
      </c>
      <c r="D745" s="3">
        <v>41544</v>
      </c>
      <c r="E745">
        <v>1</v>
      </c>
      <c r="F745">
        <v>10</v>
      </c>
      <c r="G745">
        <v>46</v>
      </c>
      <c r="H745" t="s">
        <v>13</v>
      </c>
      <c r="I745">
        <v>720.52</v>
      </c>
      <c r="J745">
        <v>720.52</v>
      </c>
    </row>
    <row r="746" spans="1:10" x14ac:dyDescent="0.25">
      <c r="A746">
        <v>901</v>
      </c>
      <c r="B746">
        <v>57</v>
      </c>
      <c r="C746" t="s">
        <v>18</v>
      </c>
      <c r="D746" s="3">
        <v>135440</v>
      </c>
      <c r="E746">
        <v>46</v>
      </c>
      <c r="F746">
        <v>8</v>
      </c>
      <c r="G746">
        <v>3</v>
      </c>
      <c r="H746" t="s">
        <v>13</v>
      </c>
      <c r="I746">
        <v>442.46</v>
      </c>
      <c r="J746">
        <v>442.46</v>
      </c>
    </row>
    <row r="747" spans="1:10" x14ac:dyDescent="0.25">
      <c r="A747">
        <v>902</v>
      </c>
      <c r="B747">
        <v>55</v>
      </c>
      <c r="C747" t="s">
        <v>18</v>
      </c>
      <c r="D747" s="3">
        <v>72193</v>
      </c>
      <c r="E747">
        <v>39</v>
      </c>
      <c r="F747">
        <v>2</v>
      </c>
      <c r="G747">
        <v>6</v>
      </c>
      <c r="H747" t="s">
        <v>13</v>
      </c>
      <c r="I747">
        <v>207.44</v>
      </c>
      <c r="J747">
        <v>207.44</v>
      </c>
    </row>
    <row r="748" spans="1:10" x14ac:dyDescent="0.25">
      <c r="A748">
        <v>937</v>
      </c>
      <c r="B748">
        <v>43</v>
      </c>
      <c r="C748" t="s">
        <v>18</v>
      </c>
      <c r="D748" s="3">
        <v>42201</v>
      </c>
      <c r="E748">
        <v>76</v>
      </c>
      <c r="F748">
        <v>1</v>
      </c>
      <c r="G748">
        <v>50</v>
      </c>
      <c r="H748" t="s">
        <v>13</v>
      </c>
      <c r="I748">
        <v>106.48</v>
      </c>
      <c r="J748">
        <v>106.48</v>
      </c>
    </row>
    <row r="749" spans="1:10" x14ac:dyDescent="0.25">
      <c r="A749">
        <v>940</v>
      </c>
      <c r="B749">
        <v>56</v>
      </c>
      <c r="C749" t="s">
        <v>18</v>
      </c>
      <c r="D749" s="3">
        <v>51736</v>
      </c>
      <c r="E749">
        <v>3</v>
      </c>
      <c r="F749">
        <v>9</v>
      </c>
      <c r="G749">
        <v>25</v>
      </c>
      <c r="H749" t="s">
        <v>13</v>
      </c>
      <c r="I749">
        <v>666.01</v>
      </c>
      <c r="J749">
        <v>666.01</v>
      </c>
    </row>
    <row r="750" spans="1:10" x14ac:dyDescent="0.25">
      <c r="A750">
        <v>961</v>
      </c>
      <c r="B750">
        <v>23</v>
      </c>
      <c r="C750" t="s">
        <v>18</v>
      </c>
      <c r="D750" s="3">
        <v>60808</v>
      </c>
      <c r="E750">
        <v>96</v>
      </c>
      <c r="F750">
        <v>2</v>
      </c>
      <c r="G750">
        <v>12</v>
      </c>
      <c r="H750" t="s">
        <v>13</v>
      </c>
      <c r="I750">
        <v>231.03</v>
      </c>
      <c r="J750">
        <v>231.03</v>
      </c>
    </row>
    <row r="751" spans="1:10" x14ac:dyDescent="0.25">
      <c r="A751">
        <v>971</v>
      </c>
      <c r="B751">
        <v>58</v>
      </c>
      <c r="C751" t="s">
        <v>18</v>
      </c>
      <c r="D751" s="3">
        <v>51913</v>
      </c>
      <c r="E751">
        <v>14</v>
      </c>
      <c r="F751">
        <v>4</v>
      </c>
      <c r="G751">
        <v>21</v>
      </c>
      <c r="H751" t="s">
        <v>13</v>
      </c>
      <c r="I751">
        <v>733.63</v>
      </c>
      <c r="J751">
        <v>733.63</v>
      </c>
    </row>
    <row r="752" spans="1:10" x14ac:dyDescent="0.25">
      <c r="A752">
        <v>975</v>
      </c>
      <c r="B752">
        <v>49</v>
      </c>
      <c r="C752" t="s">
        <v>18</v>
      </c>
      <c r="D752" s="3">
        <v>79546</v>
      </c>
      <c r="E752">
        <v>26</v>
      </c>
      <c r="F752">
        <v>5</v>
      </c>
      <c r="G752">
        <v>12</v>
      </c>
      <c r="H752" t="s">
        <v>13</v>
      </c>
      <c r="I752">
        <v>935.73</v>
      </c>
      <c r="J752">
        <v>935.73</v>
      </c>
    </row>
    <row r="753" spans="1:10" x14ac:dyDescent="0.25">
      <c r="A753">
        <v>993</v>
      </c>
      <c r="B753">
        <v>22</v>
      </c>
      <c r="C753" t="s">
        <v>18</v>
      </c>
      <c r="D753" s="3">
        <v>125479</v>
      </c>
      <c r="E753">
        <v>57</v>
      </c>
      <c r="F753">
        <v>8</v>
      </c>
      <c r="G753">
        <v>27</v>
      </c>
      <c r="H753" t="s">
        <v>13</v>
      </c>
      <c r="I753">
        <v>139.75</v>
      </c>
      <c r="J753">
        <v>139.75</v>
      </c>
    </row>
    <row r="754" spans="1:10" x14ac:dyDescent="0.25">
      <c r="A754">
        <v>1</v>
      </c>
      <c r="B754">
        <v>38</v>
      </c>
      <c r="C754" t="s">
        <v>18</v>
      </c>
      <c r="D754" s="3">
        <v>99342</v>
      </c>
      <c r="E754">
        <v>90</v>
      </c>
      <c r="F754">
        <v>3</v>
      </c>
      <c r="G754">
        <v>24</v>
      </c>
      <c r="H754" t="s">
        <v>16</v>
      </c>
      <c r="I754">
        <v>113.53</v>
      </c>
      <c r="J754">
        <v>113.53</v>
      </c>
    </row>
    <row r="755" spans="1:10" x14ac:dyDescent="0.25">
      <c r="A755">
        <v>50</v>
      </c>
      <c r="B755">
        <v>68</v>
      </c>
      <c r="C755" t="s">
        <v>18</v>
      </c>
      <c r="D755" s="3">
        <v>146519</v>
      </c>
      <c r="E755">
        <v>96</v>
      </c>
      <c r="F755">
        <v>2</v>
      </c>
      <c r="G755">
        <v>18</v>
      </c>
      <c r="H755" t="s">
        <v>16</v>
      </c>
      <c r="I755">
        <v>673.79</v>
      </c>
      <c r="J755">
        <v>673.79</v>
      </c>
    </row>
    <row r="756" spans="1:10" x14ac:dyDescent="0.25">
      <c r="A756">
        <v>73</v>
      </c>
      <c r="B756">
        <v>31</v>
      </c>
      <c r="C756" t="s">
        <v>18</v>
      </c>
      <c r="D756" s="3">
        <v>112452</v>
      </c>
      <c r="E756">
        <v>21</v>
      </c>
      <c r="F756">
        <v>1</v>
      </c>
      <c r="G756">
        <v>5</v>
      </c>
      <c r="H756" t="s">
        <v>16</v>
      </c>
      <c r="I756">
        <v>552.21</v>
      </c>
      <c r="J756">
        <v>552.21</v>
      </c>
    </row>
    <row r="757" spans="1:10" x14ac:dyDescent="0.25">
      <c r="A757">
        <v>82</v>
      </c>
      <c r="B757">
        <v>36</v>
      </c>
      <c r="C757" t="s">
        <v>18</v>
      </c>
      <c r="D757" s="3">
        <v>148542</v>
      </c>
      <c r="E757">
        <v>60</v>
      </c>
      <c r="F757">
        <v>1</v>
      </c>
      <c r="G757">
        <v>17</v>
      </c>
      <c r="H757" t="s">
        <v>16</v>
      </c>
      <c r="I757">
        <v>15.66</v>
      </c>
      <c r="J757">
        <v>15.66</v>
      </c>
    </row>
    <row r="758" spans="1:10" x14ac:dyDescent="0.25">
      <c r="A758">
        <v>101</v>
      </c>
      <c r="B758">
        <v>40</v>
      </c>
      <c r="C758" t="s">
        <v>18</v>
      </c>
      <c r="D758" s="3">
        <v>115569</v>
      </c>
      <c r="E758">
        <v>1</v>
      </c>
      <c r="F758">
        <v>2</v>
      </c>
      <c r="G758">
        <v>5</v>
      </c>
      <c r="H758" t="s">
        <v>16</v>
      </c>
      <c r="I758">
        <v>241.91</v>
      </c>
      <c r="J758">
        <v>241.91</v>
      </c>
    </row>
    <row r="759" spans="1:10" x14ac:dyDescent="0.25">
      <c r="A759">
        <v>121</v>
      </c>
      <c r="B759">
        <v>47</v>
      </c>
      <c r="C759" t="s">
        <v>18</v>
      </c>
      <c r="D759" s="3">
        <v>112072</v>
      </c>
      <c r="E759">
        <v>50</v>
      </c>
      <c r="F759">
        <v>5</v>
      </c>
      <c r="G759">
        <v>21</v>
      </c>
      <c r="H759" t="s">
        <v>16</v>
      </c>
      <c r="I759">
        <v>884.19</v>
      </c>
      <c r="J759">
        <v>884.19</v>
      </c>
    </row>
    <row r="760" spans="1:10" x14ac:dyDescent="0.25">
      <c r="A760">
        <v>139</v>
      </c>
      <c r="B760">
        <v>18</v>
      </c>
      <c r="C760" t="s">
        <v>18</v>
      </c>
      <c r="D760" s="3">
        <v>99638</v>
      </c>
      <c r="E760">
        <v>33</v>
      </c>
      <c r="F760">
        <v>8</v>
      </c>
      <c r="G760">
        <v>23</v>
      </c>
      <c r="H760" t="s">
        <v>16</v>
      </c>
      <c r="I760">
        <v>316.27</v>
      </c>
      <c r="J760">
        <v>316.27</v>
      </c>
    </row>
    <row r="761" spans="1:10" x14ac:dyDescent="0.25">
      <c r="A761">
        <v>166</v>
      </c>
      <c r="B761">
        <v>41</v>
      </c>
      <c r="C761" t="s">
        <v>18</v>
      </c>
      <c r="D761" s="3">
        <v>48155</v>
      </c>
      <c r="E761">
        <v>19</v>
      </c>
      <c r="F761">
        <v>10</v>
      </c>
      <c r="G761">
        <v>36</v>
      </c>
      <c r="H761" t="s">
        <v>16</v>
      </c>
      <c r="I761">
        <v>566.65</v>
      </c>
      <c r="J761">
        <v>566.65</v>
      </c>
    </row>
    <row r="762" spans="1:10" x14ac:dyDescent="0.25">
      <c r="A762">
        <v>179</v>
      </c>
      <c r="B762">
        <v>45</v>
      </c>
      <c r="C762" t="s">
        <v>18</v>
      </c>
      <c r="D762" s="3">
        <v>102050</v>
      </c>
      <c r="E762">
        <v>57</v>
      </c>
      <c r="F762">
        <v>8</v>
      </c>
      <c r="G762">
        <v>39</v>
      </c>
      <c r="H762" t="s">
        <v>16</v>
      </c>
      <c r="I762">
        <v>263.93</v>
      </c>
      <c r="J762">
        <v>263.93</v>
      </c>
    </row>
    <row r="763" spans="1:10" x14ac:dyDescent="0.25">
      <c r="A763">
        <v>193</v>
      </c>
      <c r="B763">
        <v>69</v>
      </c>
      <c r="C763" t="s">
        <v>18</v>
      </c>
      <c r="D763" s="3">
        <v>39509</v>
      </c>
      <c r="E763">
        <v>10</v>
      </c>
      <c r="F763">
        <v>6</v>
      </c>
      <c r="G763">
        <v>27</v>
      </c>
      <c r="H763" t="s">
        <v>16</v>
      </c>
      <c r="I763">
        <v>377.66</v>
      </c>
      <c r="J763">
        <v>377.66</v>
      </c>
    </row>
    <row r="764" spans="1:10" x14ac:dyDescent="0.25">
      <c r="A764">
        <v>199</v>
      </c>
      <c r="B764">
        <v>45</v>
      </c>
      <c r="C764" t="s">
        <v>18</v>
      </c>
      <c r="D764" s="3">
        <v>82014</v>
      </c>
      <c r="E764">
        <v>30</v>
      </c>
      <c r="F764">
        <v>10</v>
      </c>
      <c r="G764">
        <v>15</v>
      </c>
      <c r="H764" t="s">
        <v>16</v>
      </c>
      <c r="I764">
        <v>81.91</v>
      </c>
      <c r="J764">
        <v>81.91</v>
      </c>
    </row>
    <row r="765" spans="1:10" x14ac:dyDescent="0.25">
      <c r="A765">
        <v>224</v>
      </c>
      <c r="B765">
        <v>51</v>
      </c>
      <c r="C765" t="s">
        <v>18</v>
      </c>
      <c r="D765" s="3">
        <v>33665</v>
      </c>
      <c r="E765">
        <v>12</v>
      </c>
      <c r="F765">
        <v>2</v>
      </c>
      <c r="G765">
        <v>2</v>
      </c>
      <c r="H765" t="s">
        <v>16</v>
      </c>
      <c r="I765">
        <v>139.07</v>
      </c>
      <c r="J765">
        <v>139.07</v>
      </c>
    </row>
    <row r="766" spans="1:10" x14ac:dyDescent="0.25">
      <c r="A766">
        <v>233</v>
      </c>
      <c r="B766">
        <v>41</v>
      </c>
      <c r="C766" t="s">
        <v>18</v>
      </c>
      <c r="D766" s="3">
        <v>88312</v>
      </c>
      <c r="E766">
        <v>22</v>
      </c>
      <c r="F766">
        <v>6</v>
      </c>
      <c r="G766">
        <v>31</v>
      </c>
      <c r="H766" t="s">
        <v>16</v>
      </c>
      <c r="I766">
        <v>212.53</v>
      </c>
      <c r="J766">
        <v>212.53</v>
      </c>
    </row>
    <row r="767" spans="1:10" x14ac:dyDescent="0.25">
      <c r="A767">
        <v>235</v>
      </c>
      <c r="B767">
        <v>19</v>
      </c>
      <c r="C767" t="s">
        <v>18</v>
      </c>
      <c r="D767" s="3">
        <v>41542</v>
      </c>
      <c r="E767">
        <v>21</v>
      </c>
      <c r="F767">
        <v>1</v>
      </c>
      <c r="G767">
        <v>22</v>
      </c>
      <c r="H767" t="s">
        <v>16</v>
      </c>
      <c r="I767">
        <v>132.88</v>
      </c>
      <c r="J767">
        <v>132.88</v>
      </c>
    </row>
    <row r="768" spans="1:10" x14ac:dyDescent="0.25">
      <c r="A768">
        <v>239</v>
      </c>
      <c r="B768">
        <v>64</v>
      </c>
      <c r="C768" t="s">
        <v>18</v>
      </c>
      <c r="D768" s="3">
        <v>124599</v>
      </c>
      <c r="E768">
        <v>41</v>
      </c>
      <c r="F768">
        <v>9</v>
      </c>
      <c r="G768">
        <v>41</v>
      </c>
      <c r="H768" t="s">
        <v>16</v>
      </c>
      <c r="I768">
        <v>924.18</v>
      </c>
      <c r="J768">
        <v>924.18</v>
      </c>
    </row>
    <row r="769" spans="1:10" x14ac:dyDescent="0.25">
      <c r="A769">
        <v>240</v>
      </c>
      <c r="B769">
        <v>44</v>
      </c>
      <c r="C769" t="s">
        <v>18</v>
      </c>
      <c r="D769" s="3">
        <v>121975</v>
      </c>
      <c r="E769">
        <v>33</v>
      </c>
      <c r="F769">
        <v>6</v>
      </c>
      <c r="G769">
        <v>27</v>
      </c>
      <c r="H769" t="s">
        <v>16</v>
      </c>
      <c r="I769">
        <v>640.96</v>
      </c>
      <c r="J769">
        <v>640.96</v>
      </c>
    </row>
    <row r="770" spans="1:10" x14ac:dyDescent="0.25">
      <c r="A770">
        <v>276</v>
      </c>
      <c r="B770">
        <v>39</v>
      </c>
      <c r="C770" t="s">
        <v>18</v>
      </c>
      <c r="D770" s="3">
        <v>39931</v>
      </c>
      <c r="E770">
        <v>43</v>
      </c>
      <c r="F770">
        <v>1</v>
      </c>
      <c r="G770">
        <v>28</v>
      </c>
      <c r="H770" t="s">
        <v>16</v>
      </c>
      <c r="I770">
        <v>261.36</v>
      </c>
      <c r="J770">
        <v>261.36</v>
      </c>
    </row>
    <row r="771" spans="1:10" x14ac:dyDescent="0.25">
      <c r="A771">
        <v>301</v>
      </c>
      <c r="B771">
        <v>52</v>
      </c>
      <c r="C771" t="s">
        <v>18</v>
      </c>
      <c r="D771" s="3">
        <v>106147</v>
      </c>
      <c r="E771">
        <v>2</v>
      </c>
      <c r="F771">
        <v>6</v>
      </c>
      <c r="G771">
        <v>19</v>
      </c>
      <c r="H771" t="s">
        <v>16</v>
      </c>
      <c r="I771">
        <v>412.65</v>
      </c>
      <c r="J771">
        <v>412.65</v>
      </c>
    </row>
    <row r="772" spans="1:10" x14ac:dyDescent="0.25">
      <c r="A772">
        <v>309</v>
      </c>
      <c r="B772">
        <v>64</v>
      </c>
      <c r="C772" t="s">
        <v>18</v>
      </c>
      <c r="D772" s="3">
        <v>96182</v>
      </c>
      <c r="E772">
        <v>44</v>
      </c>
      <c r="F772">
        <v>4</v>
      </c>
      <c r="G772">
        <v>8</v>
      </c>
      <c r="H772" t="s">
        <v>16</v>
      </c>
      <c r="I772">
        <v>509.31</v>
      </c>
      <c r="J772">
        <v>509.31</v>
      </c>
    </row>
    <row r="773" spans="1:10" x14ac:dyDescent="0.25">
      <c r="A773">
        <v>328</v>
      </c>
      <c r="B773">
        <v>41</v>
      </c>
      <c r="C773" t="s">
        <v>18</v>
      </c>
      <c r="D773" s="3">
        <v>64634</v>
      </c>
      <c r="E773">
        <v>55</v>
      </c>
      <c r="F773">
        <v>9</v>
      </c>
      <c r="G773">
        <v>44</v>
      </c>
      <c r="H773" t="s">
        <v>16</v>
      </c>
      <c r="I773">
        <v>488.07</v>
      </c>
      <c r="J773">
        <v>488.07</v>
      </c>
    </row>
    <row r="774" spans="1:10" x14ac:dyDescent="0.25">
      <c r="A774">
        <v>375</v>
      </c>
      <c r="B774">
        <v>33</v>
      </c>
      <c r="C774" t="s">
        <v>18</v>
      </c>
      <c r="D774" s="3">
        <v>58367</v>
      </c>
      <c r="E774">
        <v>11</v>
      </c>
      <c r="F774">
        <v>4</v>
      </c>
      <c r="G774">
        <v>29</v>
      </c>
      <c r="H774" t="s">
        <v>16</v>
      </c>
      <c r="I774">
        <v>826.87</v>
      </c>
      <c r="J774">
        <v>826.87</v>
      </c>
    </row>
    <row r="775" spans="1:10" x14ac:dyDescent="0.25">
      <c r="A775">
        <v>399</v>
      </c>
      <c r="B775">
        <v>19</v>
      </c>
      <c r="C775" t="s">
        <v>18</v>
      </c>
      <c r="D775" s="3">
        <v>69790</v>
      </c>
      <c r="E775">
        <v>3</v>
      </c>
      <c r="F775">
        <v>9</v>
      </c>
      <c r="G775">
        <v>38</v>
      </c>
      <c r="H775" t="s">
        <v>16</v>
      </c>
      <c r="I775">
        <v>596.63</v>
      </c>
      <c r="J775">
        <v>596.63</v>
      </c>
    </row>
    <row r="776" spans="1:10" x14ac:dyDescent="0.25">
      <c r="A776">
        <v>414</v>
      </c>
      <c r="B776">
        <v>69</v>
      </c>
      <c r="C776" t="s">
        <v>18</v>
      </c>
      <c r="D776" s="3">
        <v>117737</v>
      </c>
      <c r="E776">
        <v>6</v>
      </c>
      <c r="F776">
        <v>4</v>
      </c>
      <c r="G776">
        <v>9</v>
      </c>
      <c r="H776" t="s">
        <v>16</v>
      </c>
      <c r="I776">
        <v>877.51</v>
      </c>
      <c r="J776">
        <v>877.51</v>
      </c>
    </row>
    <row r="777" spans="1:10" x14ac:dyDescent="0.25">
      <c r="A777">
        <v>445</v>
      </c>
      <c r="B777">
        <v>62</v>
      </c>
      <c r="C777" t="s">
        <v>18</v>
      </c>
      <c r="D777" s="3">
        <v>75974</v>
      </c>
      <c r="E777">
        <v>68</v>
      </c>
      <c r="F777">
        <v>4</v>
      </c>
      <c r="G777">
        <v>46</v>
      </c>
      <c r="H777" t="s">
        <v>16</v>
      </c>
      <c r="I777">
        <v>180.09</v>
      </c>
      <c r="J777">
        <v>180.09</v>
      </c>
    </row>
    <row r="778" spans="1:10" x14ac:dyDescent="0.25">
      <c r="A778">
        <v>474</v>
      </c>
      <c r="B778">
        <v>54</v>
      </c>
      <c r="C778" t="s">
        <v>18</v>
      </c>
      <c r="D778" s="3">
        <v>111261</v>
      </c>
      <c r="E778">
        <v>56</v>
      </c>
      <c r="F778">
        <v>1</v>
      </c>
      <c r="G778">
        <v>44</v>
      </c>
      <c r="H778" t="s">
        <v>16</v>
      </c>
      <c r="I778">
        <v>216.09</v>
      </c>
      <c r="J778">
        <v>216.09</v>
      </c>
    </row>
    <row r="779" spans="1:10" x14ac:dyDescent="0.25">
      <c r="A779">
        <v>483</v>
      </c>
      <c r="B779">
        <v>44</v>
      </c>
      <c r="C779" t="s">
        <v>18</v>
      </c>
      <c r="D779" s="3">
        <v>43069</v>
      </c>
      <c r="E779">
        <v>55</v>
      </c>
      <c r="F779">
        <v>6</v>
      </c>
      <c r="G779">
        <v>33</v>
      </c>
      <c r="H779" t="s">
        <v>16</v>
      </c>
      <c r="I779">
        <v>501.34</v>
      </c>
      <c r="J779">
        <v>501.34</v>
      </c>
    </row>
    <row r="780" spans="1:10" x14ac:dyDescent="0.25">
      <c r="A780">
        <v>491</v>
      </c>
      <c r="B780">
        <v>22</v>
      </c>
      <c r="C780" t="s">
        <v>18</v>
      </c>
      <c r="D780" s="3">
        <v>46900</v>
      </c>
      <c r="E780">
        <v>70</v>
      </c>
      <c r="F780">
        <v>1</v>
      </c>
      <c r="G780">
        <v>24</v>
      </c>
      <c r="H780" t="s">
        <v>16</v>
      </c>
      <c r="I780">
        <v>325.45999999999998</v>
      </c>
      <c r="J780">
        <v>325.45999999999998</v>
      </c>
    </row>
    <row r="781" spans="1:10" x14ac:dyDescent="0.25">
      <c r="A781">
        <v>518</v>
      </c>
      <c r="B781">
        <v>45</v>
      </c>
      <c r="C781" t="s">
        <v>18</v>
      </c>
      <c r="D781" s="3">
        <v>110280</v>
      </c>
      <c r="E781">
        <v>85</v>
      </c>
      <c r="F781">
        <v>4</v>
      </c>
      <c r="G781">
        <v>21</v>
      </c>
      <c r="H781" t="s">
        <v>16</v>
      </c>
      <c r="I781">
        <v>944.07</v>
      </c>
      <c r="J781">
        <v>944.07</v>
      </c>
    </row>
    <row r="782" spans="1:10" x14ac:dyDescent="0.25">
      <c r="A782">
        <v>543</v>
      </c>
      <c r="B782">
        <v>68</v>
      </c>
      <c r="C782" t="s">
        <v>18</v>
      </c>
      <c r="D782" s="3">
        <v>40478</v>
      </c>
      <c r="E782">
        <v>22</v>
      </c>
      <c r="F782">
        <v>4</v>
      </c>
      <c r="G782">
        <v>46</v>
      </c>
      <c r="H782" t="s">
        <v>16</v>
      </c>
      <c r="I782">
        <v>954.91</v>
      </c>
      <c r="J782">
        <v>954.91</v>
      </c>
    </row>
    <row r="783" spans="1:10" x14ac:dyDescent="0.25">
      <c r="A783">
        <v>556</v>
      </c>
      <c r="B783">
        <v>25</v>
      </c>
      <c r="C783" t="s">
        <v>18</v>
      </c>
      <c r="D783" s="3">
        <v>52403</v>
      </c>
      <c r="E783">
        <v>53</v>
      </c>
      <c r="F783">
        <v>1</v>
      </c>
      <c r="G783">
        <v>14</v>
      </c>
      <c r="H783" t="s">
        <v>16</v>
      </c>
      <c r="I783">
        <v>73.34</v>
      </c>
      <c r="J783">
        <v>73.34</v>
      </c>
    </row>
    <row r="784" spans="1:10" x14ac:dyDescent="0.25">
      <c r="A784">
        <v>569</v>
      </c>
      <c r="B784">
        <v>29</v>
      </c>
      <c r="C784" t="s">
        <v>18</v>
      </c>
      <c r="D784" s="3">
        <v>59815</v>
      </c>
      <c r="E784">
        <v>43</v>
      </c>
      <c r="F784">
        <v>6</v>
      </c>
      <c r="G784">
        <v>24</v>
      </c>
      <c r="H784" t="s">
        <v>16</v>
      </c>
      <c r="I784">
        <v>105.48</v>
      </c>
      <c r="J784">
        <v>105.48</v>
      </c>
    </row>
    <row r="785" spans="1:10" x14ac:dyDescent="0.25">
      <c r="A785">
        <v>573</v>
      </c>
      <c r="B785">
        <v>40</v>
      </c>
      <c r="C785" t="s">
        <v>18</v>
      </c>
      <c r="D785" s="3">
        <v>143338</v>
      </c>
      <c r="E785">
        <v>6</v>
      </c>
      <c r="F785">
        <v>8</v>
      </c>
      <c r="G785">
        <v>26</v>
      </c>
      <c r="H785" t="s">
        <v>16</v>
      </c>
      <c r="I785">
        <v>491.07</v>
      </c>
      <c r="J785">
        <v>491.07</v>
      </c>
    </row>
    <row r="786" spans="1:10" x14ac:dyDescent="0.25">
      <c r="A786">
        <v>577</v>
      </c>
      <c r="B786">
        <v>32</v>
      </c>
      <c r="C786" t="s">
        <v>18</v>
      </c>
      <c r="D786" s="3">
        <v>46610</v>
      </c>
      <c r="E786">
        <v>92</v>
      </c>
      <c r="F786">
        <v>5</v>
      </c>
      <c r="G786">
        <v>9</v>
      </c>
      <c r="H786" t="s">
        <v>16</v>
      </c>
      <c r="I786">
        <v>409.85</v>
      </c>
      <c r="J786">
        <v>409.85</v>
      </c>
    </row>
    <row r="787" spans="1:10" x14ac:dyDescent="0.25">
      <c r="A787">
        <v>580</v>
      </c>
      <c r="B787">
        <v>51</v>
      </c>
      <c r="C787" t="s">
        <v>18</v>
      </c>
      <c r="D787" s="3">
        <v>149744</v>
      </c>
      <c r="E787">
        <v>99</v>
      </c>
      <c r="F787">
        <v>1</v>
      </c>
      <c r="G787">
        <v>12</v>
      </c>
      <c r="H787" t="s">
        <v>16</v>
      </c>
      <c r="I787">
        <v>215.92</v>
      </c>
      <c r="J787">
        <v>215.92</v>
      </c>
    </row>
    <row r="788" spans="1:10" x14ac:dyDescent="0.25">
      <c r="A788">
        <v>601</v>
      </c>
      <c r="B788">
        <v>53</v>
      </c>
      <c r="C788" t="s">
        <v>18</v>
      </c>
      <c r="D788" s="3">
        <v>137854</v>
      </c>
      <c r="E788">
        <v>33</v>
      </c>
      <c r="F788">
        <v>10</v>
      </c>
      <c r="G788">
        <v>47</v>
      </c>
      <c r="H788" t="s">
        <v>16</v>
      </c>
      <c r="I788">
        <v>523.27</v>
      </c>
      <c r="J788">
        <v>523.27</v>
      </c>
    </row>
    <row r="789" spans="1:10" x14ac:dyDescent="0.25">
      <c r="A789">
        <v>631</v>
      </c>
      <c r="B789">
        <v>47</v>
      </c>
      <c r="C789" t="s">
        <v>18</v>
      </c>
      <c r="D789" s="3">
        <v>108766</v>
      </c>
      <c r="E789">
        <v>37</v>
      </c>
      <c r="F789">
        <v>7</v>
      </c>
      <c r="G789">
        <v>38</v>
      </c>
      <c r="H789" t="s">
        <v>16</v>
      </c>
      <c r="I789">
        <v>640.54999999999995</v>
      </c>
      <c r="J789">
        <v>640.54999999999995</v>
      </c>
    </row>
    <row r="790" spans="1:10" x14ac:dyDescent="0.25">
      <c r="A790">
        <v>648</v>
      </c>
      <c r="B790">
        <v>43</v>
      </c>
      <c r="C790" t="s">
        <v>18</v>
      </c>
      <c r="D790" s="3">
        <v>67979</v>
      </c>
      <c r="E790">
        <v>49</v>
      </c>
      <c r="F790">
        <v>2</v>
      </c>
      <c r="G790">
        <v>6</v>
      </c>
      <c r="H790" t="s">
        <v>16</v>
      </c>
      <c r="I790">
        <v>420.03</v>
      </c>
      <c r="J790">
        <v>420.03</v>
      </c>
    </row>
    <row r="791" spans="1:10" x14ac:dyDescent="0.25">
      <c r="A791">
        <v>663</v>
      </c>
      <c r="B791">
        <v>30</v>
      </c>
      <c r="C791" t="s">
        <v>18</v>
      </c>
      <c r="D791" s="3">
        <v>76658</v>
      </c>
      <c r="E791">
        <v>70</v>
      </c>
      <c r="F791">
        <v>3</v>
      </c>
      <c r="G791">
        <v>32</v>
      </c>
      <c r="H791" t="s">
        <v>16</v>
      </c>
      <c r="I791">
        <v>760.27</v>
      </c>
      <c r="J791">
        <v>760.27</v>
      </c>
    </row>
    <row r="792" spans="1:10" x14ac:dyDescent="0.25">
      <c r="A792">
        <v>676</v>
      </c>
      <c r="B792">
        <v>64</v>
      </c>
      <c r="C792" t="s">
        <v>18</v>
      </c>
      <c r="D792" s="3">
        <v>48169</v>
      </c>
      <c r="E792">
        <v>39</v>
      </c>
      <c r="F792">
        <v>5</v>
      </c>
      <c r="G792">
        <v>33</v>
      </c>
      <c r="H792" t="s">
        <v>16</v>
      </c>
      <c r="I792">
        <v>451.86</v>
      </c>
      <c r="J792">
        <v>451.86</v>
      </c>
    </row>
    <row r="793" spans="1:10" x14ac:dyDescent="0.25">
      <c r="A793">
        <v>677</v>
      </c>
      <c r="B793">
        <v>51</v>
      </c>
      <c r="C793" t="s">
        <v>18</v>
      </c>
      <c r="D793" s="3">
        <v>146159</v>
      </c>
      <c r="E793">
        <v>99</v>
      </c>
      <c r="F793">
        <v>7</v>
      </c>
      <c r="G793">
        <v>38</v>
      </c>
      <c r="H793" t="s">
        <v>16</v>
      </c>
      <c r="I793">
        <v>808.89</v>
      </c>
      <c r="J793">
        <v>808.89</v>
      </c>
    </row>
    <row r="794" spans="1:10" x14ac:dyDescent="0.25">
      <c r="A794">
        <v>693</v>
      </c>
      <c r="B794">
        <v>28</v>
      </c>
      <c r="C794" t="s">
        <v>18</v>
      </c>
      <c r="D794" s="3">
        <v>142450</v>
      </c>
      <c r="E794">
        <v>80</v>
      </c>
      <c r="F794">
        <v>3</v>
      </c>
      <c r="G794">
        <v>22</v>
      </c>
      <c r="H794" t="s">
        <v>16</v>
      </c>
      <c r="I794">
        <v>471.87</v>
      </c>
      <c r="J794">
        <v>471.87</v>
      </c>
    </row>
    <row r="795" spans="1:10" x14ac:dyDescent="0.25">
      <c r="A795">
        <v>731</v>
      </c>
      <c r="B795">
        <v>53</v>
      </c>
      <c r="C795" t="s">
        <v>18</v>
      </c>
      <c r="D795" s="3">
        <v>52855</v>
      </c>
      <c r="E795">
        <v>12</v>
      </c>
      <c r="F795">
        <v>5</v>
      </c>
      <c r="G795">
        <v>33</v>
      </c>
      <c r="H795" t="s">
        <v>16</v>
      </c>
      <c r="I795">
        <v>444.09</v>
      </c>
      <c r="J795">
        <v>444.09</v>
      </c>
    </row>
    <row r="796" spans="1:10" x14ac:dyDescent="0.25">
      <c r="A796">
        <v>745</v>
      </c>
      <c r="B796">
        <v>30</v>
      </c>
      <c r="C796" t="s">
        <v>18</v>
      </c>
      <c r="D796" s="3">
        <v>64288</v>
      </c>
      <c r="E796">
        <v>93</v>
      </c>
      <c r="F796">
        <v>9</v>
      </c>
      <c r="G796">
        <v>43</v>
      </c>
      <c r="H796" t="s">
        <v>16</v>
      </c>
      <c r="I796">
        <v>825.85</v>
      </c>
      <c r="J796">
        <v>825.85</v>
      </c>
    </row>
    <row r="797" spans="1:10" x14ac:dyDescent="0.25">
      <c r="A797">
        <v>748</v>
      </c>
      <c r="B797">
        <v>57</v>
      </c>
      <c r="C797" t="s">
        <v>18</v>
      </c>
      <c r="D797" s="3">
        <v>58696</v>
      </c>
      <c r="E797">
        <v>69</v>
      </c>
      <c r="F797">
        <v>4</v>
      </c>
      <c r="G797">
        <v>29</v>
      </c>
      <c r="H797" t="s">
        <v>16</v>
      </c>
      <c r="I797">
        <v>570.87</v>
      </c>
      <c r="J797">
        <v>570.87</v>
      </c>
    </row>
    <row r="798" spans="1:10" x14ac:dyDescent="0.25">
      <c r="A798">
        <v>773</v>
      </c>
      <c r="B798">
        <v>51</v>
      </c>
      <c r="C798" t="s">
        <v>18</v>
      </c>
      <c r="D798" s="3">
        <v>70099</v>
      </c>
      <c r="E798">
        <v>42</v>
      </c>
      <c r="F798">
        <v>7</v>
      </c>
      <c r="G798">
        <v>12</v>
      </c>
      <c r="H798" t="s">
        <v>16</v>
      </c>
      <c r="I798">
        <v>481.56</v>
      </c>
      <c r="J798">
        <v>481.56</v>
      </c>
    </row>
    <row r="799" spans="1:10" x14ac:dyDescent="0.25">
      <c r="A799">
        <v>776</v>
      </c>
      <c r="B799">
        <v>31</v>
      </c>
      <c r="C799" t="s">
        <v>18</v>
      </c>
      <c r="D799" s="3">
        <v>123947</v>
      </c>
      <c r="E799">
        <v>25</v>
      </c>
      <c r="F799">
        <v>2</v>
      </c>
      <c r="G799">
        <v>39</v>
      </c>
      <c r="H799" t="s">
        <v>16</v>
      </c>
      <c r="I799">
        <v>355.67</v>
      </c>
      <c r="J799">
        <v>355.67</v>
      </c>
    </row>
    <row r="800" spans="1:10" x14ac:dyDescent="0.25">
      <c r="A800">
        <v>804</v>
      </c>
      <c r="B800">
        <v>59</v>
      </c>
      <c r="C800" t="s">
        <v>18</v>
      </c>
      <c r="D800" s="3">
        <v>58656</v>
      </c>
      <c r="E800">
        <v>47</v>
      </c>
      <c r="F800">
        <v>6</v>
      </c>
      <c r="G800">
        <v>6</v>
      </c>
      <c r="H800" t="s">
        <v>16</v>
      </c>
      <c r="I800">
        <v>246.07</v>
      </c>
      <c r="J800">
        <v>246.07</v>
      </c>
    </row>
    <row r="801" spans="1:10" x14ac:dyDescent="0.25">
      <c r="A801">
        <v>817</v>
      </c>
      <c r="B801">
        <v>37</v>
      </c>
      <c r="C801" t="s">
        <v>18</v>
      </c>
      <c r="D801" s="3">
        <v>115734</v>
      </c>
      <c r="E801">
        <v>87</v>
      </c>
      <c r="F801">
        <v>2</v>
      </c>
      <c r="G801">
        <v>50</v>
      </c>
      <c r="H801" t="s">
        <v>16</v>
      </c>
      <c r="I801">
        <v>646.4</v>
      </c>
      <c r="J801">
        <v>646.4</v>
      </c>
    </row>
    <row r="802" spans="1:10" x14ac:dyDescent="0.25">
      <c r="A802">
        <v>822</v>
      </c>
      <c r="B802">
        <v>26</v>
      </c>
      <c r="C802" t="s">
        <v>18</v>
      </c>
      <c r="D802" s="3">
        <v>34901</v>
      </c>
      <c r="E802">
        <v>31</v>
      </c>
      <c r="F802">
        <v>7</v>
      </c>
      <c r="G802">
        <v>9</v>
      </c>
      <c r="H802" t="s">
        <v>16</v>
      </c>
      <c r="I802">
        <v>667.8</v>
      </c>
      <c r="J802">
        <v>667.8</v>
      </c>
    </row>
    <row r="803" spans="1:10" x14ac:dyDescent="0.25">
      <c r="A803">
        <v>835</v>
      </c>
      <c r="B803">
        <v>41</v>
      </c>
      <c r="C803" t="s">
        <v>18</v>
      </c>
      <c r="D803" s="3">
        <v>68147</v>
      </c>
      <c r="E803">
        <v>75</v>
      </c>
      <c r="F803">
        <v>2</v>
      </c>
      <c r="G803">
        <v>33</v>
      </c>
      <c r="H803" t="s">
        <v>16</v>
      </c>
      <c r="I803">
        <v>553.35</v>
      </c>
      <c r="J803">
        <v>553.35</v>
      </c>
    </row>
    <row r="804" spans="1:10" x14ac:dyDescent="0.25">
      <c r="A804">
        <v>837</v>
      </c>
      <c r="B804">
        <v>69</v>
      </c>
      <c r="C804" t="s">
        <v>18</v>
      </c>
      <c r="D804" s="3">
        <v>106629</v>
      </c>
      <c r="E804">
        <v>4</v>
      </c>
      <c r="F804">
        <v>7</v>
      </c>
      <c r="G804">
        <v>9</v>
      </c>
      <c r="H804" t="s">
        <v>16</v>
      </c>
      <c r="I804">
        <v>443.22</v>
      </c>
      <c r="J804">
        <v>443.22</v>
      </c>
    </row>
    <row r="805" spans="1:10" x14ac:dyDescent="0.25">
      <c r="A805">
        <v>840</v>
      </c>
      <c r="B805">
        <v>58</v>
      </c>
      <c r="C805" t="s">
        <v>18</v>
      </c>
      <c r="D805" s="3">
        <v>68764</v>
      </c>
      <c r="E805">
        <v>96</v>
      </c>
      <c r="F805">
        <v>6</v>
      </c>
      <c r="G805">
        <v>31</v>
      </c>
      <c r="H805" t="s">
        <v>16</v>
      </c>
      <c r="I805">
        <v>723.66</v>
      </c>
      <c r="J805">
        <v>723.66</v>
      </c>
    </row>
    <row r="806" spans="1:10" x14ac:dyDescent="0.25">
      <c r="A806">
        <v>852</v>
      </c>
      <c r="B806">
        <v>64</v>
      </c>
      <c r="C806" t="s">
        <v>18</v>
      </c>
      <c r="D806" s="3">
        <v>63123</v>
      </c>
      <c r="E806">
        <v>88</v>
      </c>
      <c r="F806">
        <v>1</v>
      </c>
      <c r="G806">
        <v>16</v>
      </c>
      <c r="H806" t="s">
        <v>16</v>
      </c>
      <c r="I806">
        <v>330.95</v>
      </c>
      <c r="J806">
        <v>330.95</v>
      </c>
    </row>
    <row r="807" spans="1:10" x14ac:dyDescent="0.25">
      <c r="A807">
        <v>854</v>
      </c>
      <c r="B807">
        <v>27</v>
      </c>
      <c r="C807" t="s">
        <v>18</v>
      </c>
      <c r="D807" s="3">
        <v>40595</v>
      </c>
      <c r="E807">
        <v>84</v>
      </c>
      <c r="F807">
        <v>6</v>
      </c>
      <c r="G807">
        <v>15</v>
      </c>
      <c r="H807" t="s">
        <v>16</v>
      </c>
      <c r="I807">
        <v>268.76</v>
      </c>
      <c r="J807">
        <v>268.76</v>
      </c>
    </row>
    <row r="808" spans="1:10" x14ac:dyDescent="0.25">
      <c r="A808">
        <v>881</v>
      </c>
      <c r="B808">
        <v>47</v>
      </c>
      <c r="C808" t="s">
        <v>18</v>
      </c>
      <c r="D808" s="3">
        <v>133264</v>
      </c>
      <c r="E808">
        <v>93</v>
      </c>
      <c r="F808">
        <v>2</v>
      </c>
      <c r="G808">
        <v>21</v>
      </c>
      <c r="H808" t="s">
        <v>16</v>
      </c>
      <c r="I808">
        <v>11.01</v>
      </c>
      <c r="J808">
        <v>11.01</v>
      </c>
    </row>
    <row r="809" spans="1:10" x14ac:dyDescent="0.25">
      <c r="A809">
        <v>904</v>
      </c>
      <c r="B809">
        <v>64</v>
      </c>
      <c r="C809" t="s">
        <v>18</v>
      </c>
      <c r="D809" s="3">
        <v>122557</v>
      </c>
      <c r="E809">
        <v>87</v>
      </c>
      <c r="F809">
        <v>2</v>
      </c>
      <c r="G809">
        <v>5</v>
      </c>
      <c r="H809" t="s">
        <v>16</v>
      </c>
      <c r="I809">
        <v>344.59</v>
      </c>
      <c r="J809">
        <v>344.59</v>
      </c>
    </row>
    <row r="810" spans="1:10" x14ac:dyDescent="0.25">
      <c r="A810">
        <v>909</v>
      </c>
      <c r="B810">
        <v>27</v>
      </c>
      <c r="C810" t="s">
        <v>18</v>
      </c>
      <c r="D810" s="3">
        <v>89618</v>
      </c>
      <c r="E810">
        <v>49</v>
      </c>
      <c r="F810">
        <v>8</v>
      </c>
      <c r="G810">
        <v>12</v>
      </c>
      <c r="H810" t="s">
        <v>16</v>
      </c>
      <c r="I810">
        <v>831.05</v>
      </c>
      <c r="J810">
        <v>831.05</v>
      </c>
    </row>
    <row r="811" spans="1:10" x14ac:dyDescent="0.25">
      <c r="A811">
        <v>918</v>
      </c>
      <c r="B811">
        <v>36</v>
      </c>
      <c r="C811" t="s">
        <v>18</v>
      </c>
      <c r="D811" s="3">
        <v>45458</v>
      </c>
      <c r="E811">
        <v>74</v>
      </c>
      <c r="F811">
        <v>6</v>
      </c>
      <c r="G811">
        <v>19</v>
      </c>
      <c r="H811" t="s">
        <v>16</v>
      </c>
      <c r="I811">
        <v>135.22999999999999</v>
      </c>
      <c r="J811">
        <v>135.22999999999999</v>
      </c>
    </row>
    <row r="812" spans="1:10" x14ac:dyDescent="0.25">
      <c r="A812">
        <v>926</v>
      </c>
      <c r="B812">
        <v>39</v>
      </c>
      <c r="C812" t="s">
        <v>18</v>
      </c>
      <c r="D812" s="3">
        <v>53091</v>
      </c>
      <c r="E812">
        <v>41</v>
      </c>
      <c r="F812">
        <v>9</v>
      </c>
      <c r="G812">
        <v>3</v>
      </c>
      <c r="H812" t="s">
        <v>16</v>
      </c>
      <c r="I812">
        <v>12.45</v>
      </c>
      <c r="J812">
        <v>12.45</v>
      </c>
    </row>
    <row r="813" spans="1:10" x14ac:dyDescent="0.25">
      <c r="A813">
        <v>952</v>
      </c>
      <c r="B813">
        <v>29</v>
      </c>
      <c r="C813" t="s">
        <v>18</v>
      </c>
      <c r="D813" s="3">
        <v>45164</v>
      </c>
      <c r="E813">
        <v>54</v>
      </c>
      <c r="F813">
        <v>8</v>
      </c>
      <c r="G813">
        <v>45</v>
      </c>
      <c r="H813" t="s">
        <v>16</v>
      </c>
      <c r="I813">
        <v>915.62</v>
      </c>
      <c r="J813">
        <v>915.62</v>
      </c>
    </row>
    <row r="814" spans="1:10" x14ac:dyDescent="0.25">
      <c r="A814">
        <v>957</v>
      </c>
      <c r="B814">
        <v>60</v>
      </c>
      <c r="C814" t="s">
        <v>18</v>
      </c>
      <c r="D814" s="3">
        <v>56429</v>
      </c>
      <c r="E814">
        <v>69</v>
      </c>
      <c r="F814">
        <v>9</v>
      </c>
      <c r="G814">
        <v>32</v>
      </c>
      <c r="H814" t="s">
        <v>16</v>
      </c>
      <c r="I814">
        <v>894.95</v>
      </c>
      <c r="J814">
        <v>894.95</v>
      </c>
    </row>
    <row r="815" spans="1:10" x14ac:dyDescent="0.25">
      <c r="A815">
        <v>959</v>
      </c>
      <c r="B815">
        <v>38</v>
      </c>
      <c r="C815" t="s">
        <v>18</v>
      </c>
      <c r="D815" s="3">
        <v>99054</v>
      </c>
      <c r="E815">
        <v>59</v>
      </c>
      <c r="F815">
        <v>6</v>
      </c>
      <c r="G815">
        <v>4</v>
      </c>
      <c r="H815" t="s">
        <v>16</v>
      </c>
      <c r="I815">
        <v>174.22</v>
      </c>
      <c r="J815">
        <v>174.22</v>
      </c>
    </row>
    <row r="816" spans="1:10" x14ac:dyDescent="0.25">
      <c r="A816">
        <v>963</v>
      </c>
      <c r="B816">
        <v>66</v>
      </c>
      <c r="C816" t="s">
        <v>18</v>
      </c>
      <c r="D816" s="3">
        <v>72885</v>
      </c>
      <c r="E816">
        <v>1</v>
      </c>
      <c r="F816">
        <v>9</v>
      </c>
      <c r="G816">
        <v>33</v>
      </c>
      <c r="H816" t="s">
        <v>16</v>
      </c>
      <c r="I816">
        <v>654.48</v>
      </c>
      <c r="J816">
        <v>654.48</v>
      </c>
    </row>
    <row r="817" spans="1:10" x14ac:dyDescent="0.25">
      <c r="A817">
        <v>968</v>
      </c>
      <c r="B817">
        <v>23</v>
      </c>
      <c r="C817" t="s">
        <v>18</v>
      </c>
      <c r="D817" s="3">
        <v>74773</v>
      </c>
      <c r="E817">
        <v>16</v>
      </c>
      <c r="F817">
        <v>2</v>
      </c>
      <c r="G817">
        <v>42</v>
      </c>
      <c r="H817" t="s">
        <v>16</v>
      </c>
      <c r="I817">
        <v>626.04999999999995</v>
      </c>
      <c r="J817">
        <v>626.04999999999995</v>
      </c>
    </row>
    <row r="818" spans="1:10" x14ac:dyDescent="0.25">
      <c r="A818">
        <v>970</v>
      </c>
      <c r="B818">
        <v>68</v>
      </c>
      <c r="C818" t="s">
        <v>18</v>
      </c>
      <c r="D818" s="3">
        <v>40471</v>
      </c>
      <c r="E818">
        <v>28</v>
      </c>
      <c r="F818">
        <v>3</v>
      </c>
      <c r="G818">
        <v>33</v>
      </c>
      <c r="H818" t="s">
        <v>16</v>
      </c>
      <c r="I818">
        <v>40.89</v>
      </c>
      <c r="J818">
        <v>40.89</v>
      </c>
    </row>
    <row r="819" spans="1:10" x14ac:dyDescent="0.25">
      <c r="A819">
        <v>1000</v>
      </c>
      <c r="B819">
        <v>36</v>
      </c>
      <c r="C819" t="s">
        <v>18</v>
      </c>
      <c r="D819" s="3">
        <v>90420</v>
      </c>
      <c r="E819">
        <v>7</v>
      </c>
      <c r="F819">
        <v>2</v>
      </c>
      <c r="G819">
        <v>31</v>
      </c>
      <c r="H819" t="s">
        <v>16</v>
      </c>
      <c r="I819">
        <v>669.26</v>
      </c>
      <c r="J819">
        <v>669.26</v>
      </c>
    </row>
    <row r="820" spans="1:10" x14ac:dyDescent="0.25">
      <c r="A820">
        <v>5</v>
      </c>
      <c r="B820">
        <v>65</v>
      </c>
      <c r="C820" t="s">
        <v>18</v>
      </c>
      <c r="D820" s="3">
        <v>140621</v>
      </c>
      <c r="E820">
        <v>21</v>
      </c>
      <c r="F820">
        <v>3</v>
      </c>
      <c r="G820">
        <v>25</v>
      </c>
      <c r="H820" t="s">
        <v>14</v>
      </c>
      <c r="I820">
        <v>347.08</v>
      </c>
      <c r="J820">
        <v>347.08</v>
      </c>
    </row>
    <row r="821" spans="1:10" x14ac:dyDescent="0.25">
      <c r="A821">
        <v>10</v>
      </c>
      <c r="B821">
        <v>55</v>
      </c>
      <c r="C821" t="s">
        <v>18</v>
      </c>
      <c r="D821" s="3">
        <v>45839</v>
      </c>
      <c r="E821">
        <v>55</v>
      </c>
      <c r="F821">
        <v>7</v>
      </c>
      <c r="G821">
        <v>2</v>
      </c>
      <c r="H821" t="s">
        <v>14</v>
      </c>
      <c r="I821">
        <v>821.18</v>
      </c>
      <c r="J821">
        <v>821.18</v>
      </c>
    </row>
    <row r="822" spans="1:10" x14ac:dyDescent="0.25">
      <c r="A822">
        <v>32</v>
      </c>
      <c r="B822">
        <v>60</v>
      </c>
      <c r="C822" t="s">
        <v>18</v>
      </c>
      <c r="D822" s="3">
        <v>45733</v>
      </c>
      <c r="E822">
        <v>69</v>
      </c>
      <c r="F822">
        <v>2</v>
      </c>
      <c r="G822">
        <v>18</v>
      </c>
      <c r="H822" t="s">
        <v>14</v>
      </c>
      <c r="I822">
        <v>197.29</v>
      </c>
      <c r="J822">
        <v>197.29</v>
      </c>
    </row>
    <row r="823" spans="1:10" x14ac:dyDescent="0.25">
      <c r="A823">
        <v>59</v>
      </c>
      <c r="B823">
        <v>43</v>
      </c>
      <c r="C823" t="s">
        <v>18</v>
      </c>
      <c r="D823" s="3">
        <v>81595</v>
      </c>
      <c r="E823">
        <v>12</v>
      </c>
      <c r="F823">
        <v>7</v>
      </c>
      <c r="G823">
        <v>1</v>
      </c>
      <c r="H823" t="s">
        <v>14</v>
      </c>
      <c r="I823">
        <v>806.26</v>
      </c>
      <c r="J823">
        <v>806.26</v>
      </c>
    </row>
    <row r="824" spans="1:10" x14ac:dyDescent="0.25">
      <c r="A824">
        <v>64</v>
      </c>
      <c r="B824">
        <v>50</v>
      </c>
      <c r="C824" t="s">
        <v>18</v>
      </c>
      <c r="D824" s="3">
        <v>85111</v>
      </c>
      <c r="E824">
        <v>31</v>
      </c>
      <c r="F824">
        <v>1</v>
      </c>
      <c r="G824">
        <v>19</v>
      </c>
      <c r="H824" t="s">
        <v>14</v>
      </c>
      <c r="I824">
        <v>319.05</v>
      </c>
      <c r="J824">
        <v>319.05</v>
      </c>
    </row>
    <row r="825" spans="1:10" x14ac:dyDescent="0.25">
      <c r="A825">
        <v>67</v>
      </c>
      <c r="B825">
        <v>36</v>
      </c>
      <c r="C825" t="s">
        <v>18</v>
      </c>
      <c r="D825" s="3">
        <v>127346</v>
      </c>
      <c r="E825">
        <v>75</v>
      </c>
      <c r="F825">
        <v>5</v>
      </c>
      <c r="G825">
        <v>7</v>
      </c>
      <c r="H825" t="s">
        <v>14</v>
      </c>
      <c r="I825">
        <v>335.98</v>
      </c>
      <c r="J825">
        <v>335.98</v>
      </c>
    </row>
    <row r="826" spans="1:10" x14ac:dyDescent="0.25">
      <c r="A826">
        <v>71</v>
      </c>
      <c r="B826">
        <v>23</v>
      </c>
      <c r="C826" t="s">
        <v>18</v>
      </c>
      <c r="D826" s="3">
        <v>66376</v>
      </c>
      <c r="E826">
        <v>60</v>
      </c>
      <c r="F826">
        <v>1</v>
      </c>
      <c r="G826">
        <v>18</v>
      </c>
      <c r="H826" t="s">
        <v>14</v>
      </c>
      <c r="I826">
        <v>77.73</v>
      </c>
      <c r="J826">
        <v>77.73</v>
      </c>
    </row>
    <row r="827" spans="1:10" x14ac:dyDescent="0.25">
      <c r="A827">
        <v>106</v>
      </c>
      <c r="B827">
        <v>55</v>
      </c>
      <c r="C827" t="s">
        <v>18</v>
      </c>
      <c r="D827" s="3">
        <v>147187</v>
      </c>
      <c r="E827">
        <v>37</v>
      </c>
      <c r="F827">
        <v>7</v>
      </c>
      <c r="G827">
        <v>27</v>
      </c>
      <c r="H827" t="s">
        <v>14</v>
      </c>
      <c r="I827">
        <v>941.67</v>
      </c>
      <c r="J827">
        <v>941.67</v>
      </c>
    </row>
    <row r="828" spans="1:10" x14ac:dyDescent="0.25">
      <c r="A828">
        <v>109</v>
      </c>
      <c r="B828">
        <v>57</v>
      </c>
      <c r="C828" t="s">
        <v>18</v>
      </c>
      <c r="D828" s="3">
        <v>81695</v>
      </c>
      <c r="E828">
        <v>90</v>
      </c>
      <c r="F828">
        <v>8</v>
      </c>
      <c r="G828">
        <v>44</v>
      </c>
      <c r="H828" t="s">
        <v>14</v>
      </c>
      <c r="I828">
        <v>179.8</v>
      </c>
      <c r="J828">
        <v>179.8</v>
      </c>
    </row>
    <row r="829" spans="1:10" x14ac:dyDescent="0.25">
      <c r="A829">
        <v>126</v>
      </c>
      <c r="B829">
        <v>26</v>
      </c>
      <c r="C829" t="s">
        <v>18</v>
      </c>
      <c r="D829" s="3">
        <v>69795</v>
      </c>
      <c r="E829">
        <v>60</v>
      </c>
      <c r="F829">
        <v>9</v>
      </c>
      <c r="G829">
        <v>29</v>
      </c>
      <c r="H829" t="s">
        <v>14</v>
      </c>
      <c r="I829">
        <v>389.37</v>
      </c>
      <c r="J829">
        <v>389.37</v>
      </c>
    </row>
    <row r="830" spans="1:10" x14ac:dyDescent="0.25">
      <c r="A830">
        <v>178</v>
      </c>
      <c r="B830">
        <v>67</v>
      </c>
      <c r="C830" t="s">
        <v>18</v>
      </c>
      <c r="D830" s="3">
        <v>130300</v>
      </c>
      <c r="E830">
        <v>75</v>
      </c>
      <c r="F830">
        <v>5</v>
      </c>
      <c r="G830">
        <v>27</v>
      </c>
      <c r="H830" t="s">
        <v>14</v>
      </c>
      <c r="I830">
        <v>94.32</v>
      </c>
      <c r="J830">
        <v>94.32</v>
      </c>
    </row>
    <row r="831" spans="1:10" x14ac:dyDescent="0.25">
      <c r="A831">
        <v>218</v>
      </c>
      <c r="B831">
        <v>55</v>
      </c>
      <c r="C831" t="s">
        <v>18</v>
      </c>
      <c r="D831" s="3">
        <v>147024</v>
      </c>
      <c r="E831">
        <v>24</v>
      </c>
      <c r="F831">
        <v>9</v>
      </c>
      <c r="G831">
        <v>16</v>
      </c>
      <c r="H831" t="s">
        <v>14</v>
      </c>
      <c r="I831">
        <v>169.79</v>
      </c>
      <c r="J831">
        <v>169.79</v>
      </c>
    </row>
    <row r="832" spans="1:10" x14ac:dyDescent="0.25">
      <c r="A832">
        <v>225</v>
      </c>
      <c r="B832">
        <v>54</v>
      </c>
      <c r="C832" t="s">
        <v>18</v>
      </c>
      <c r="D832" s="3">
        <v>92156</v>
      </c>
      <c r="E832">
        <v>18</v>
      </c>
      <c r="F832">
        <v>7</v>
      </c>
      <c r="G832">
        <v>14</v>
      </c>
      <c r="H832" t="s">
        <v>14</v>
      </c>
      <c r="I832">
        <v>238.87</v>
      </c>
      <c r="J832">
        <v>238.87</v>
      </c>
    </row>
    <row r="833" spans="1:10" x14ac:dyDescent="0.25">
      <c r="A833">
        <v>231</v>
      </c>
      <c r="B833">
        <v>24</v>
      </c>
      <c r="C833" t="s">
        <v>18</v>
      </c>
      <c r="D833" s="3">
        <v>147572</v>
      </c>
      <c r="E833">
        <v>44</v>
      </c>
      <c r="F833">
        <v>7</v>
      </c>
      <c r="G833">
        <v>45</v>
      </c>
      <c r="H833" t="s">
        <v>14</v>
      </c>
      <c r="I833">
        <v>204.27</v>
      </c>
      <c r="J833">
        <v>204.27</v>
      </c>
    </row>
    <row r="834" spans="1:10" x14ac:dyDescent="0.25">
      <c r="A834">
        <v>242</v>
      </c>
      <c r="B834">
        <v>31</v>
      </c>
      <c r="C834" t="s">
        <v>18</v>
      </c>
      <c r="D834" s="3">
        <v>125501</v>
      </c>
      <c r="E834">
        <v>74</v>
      </c>
      <c r="F834">
        <v>3</v>
      </c>
      <c r="G834">
        <v>18</v>
      </c>
      <c r="H834" t="s">
        <v>14</v>
      </c>
      <c r="I834">
        <v>947.76</v>
      </c>
      <c r="J834">
        <v>947.76</v>
      </c>
    </row>
    <row r="835" spans="1:10" x14ac:dyDescent="0.25">
      <c r="A835">
        <v>264</v>
      </c>
      <c r="B835">
        <v>57</v>
      </c>
      <c r="C835" t="s">
        <v>18</v>
      </c>
      <c r="D835" s="3">
        <v>31451</v>
      </c>
      <c r="E835">
        <v>75</v>
      </c>
      <c r="F835">
        <v>3</v>
      </c>
      <c r="G835">
        <v>8</v>
      </c>
      <c r="H835" t="s">
        <v>14</v>
      </c>
      <c r="I835">
        <v>611.79</v>
      </c>
      <c r="J835">
        <v>611.79</v>
      </c>
    </row>
    <row r="836" spans="1:10" x14ac:dyDescent="0.25">
      <c r="A836">
        <v>270</v>
      </c>
      <c r="B836">
        <v>28</v>
      </c>
      <c r="C836" t="s">
        <v>18</v>
      </c>
      <c r="D836" s="3">
        <v>49020</v>
      </c>
      <c r="E836">
        <v>75</v>
      </c>
      <c r="F836">
        <v>9</v>
      </c>
      <c r="G836">
        <v>49</v>
      </c>
      <c r="H836" t="s">
        <v>14</v>
      </c>
      <c r="I836">
        <v>109.03</v>
      </c>
      <c r="J836">
        <v>109.03</v>
      </c>
    </row>
    <row r="837" spans="1:10" x14ac:dyDescent="0.25">
      <c r="A837">
        <v>303</v>
      </c>
      <c r="B837">
        <v>59</v>
      </c>
      <c r="C837" t="s">
        <v>18</v>
      </c>
      <c r="D837" s="3">
        <v>57745</v>
      </c>
      <c r="E837">
        <v>33</v>
      </c>
      <c r="F837">
        <v>7</v>
      </c>
      <c r="G837">
        <v>42</v>
      </c>
      <c r="H837" t="s">
        <v>14</v>
      </c>
      <c r="I837">
        <v>492.87</v>
      </c>
      <c r="J837">
        <v>492.87</v>
      </c>
    </row>
    <row r="838" spans="1:10" x14ac:dyDescent="0.25">
      <c r="A838">
        <v>304</v>
      </c>
      <c r="B838">
        <v>50</v>
      </c>
      <c r="C838" t="s">
        <v>18</v>
      </c>
      <c r="D838" s="3">
        <v>78296</v>
      </c>
      <c r="E838">
        <v>93</v>
      </c>
      <c r="F838">
        <v>9</v>
      </c>
      <c r="G838">
        <v>47</v>
      </c>
      <c r="H838" t="s">
        <v>14</v>
      </c>
      <c r="I838">
        <v>559.16</v>
      </c>
      <c r="J838">
        <v>559.16</v>
      </c>
    </row>
    <row r="839" spans="1:10" x14ac:dyDescent="0.25">
      <c r="A839">
        <v>308</v>
      </c>
      <c r="B839">
        <v>54</v>
      </c>
      <c r="C839" t="s">
        <v>18</v>
      </c>
      <c r="D839" s="3">
        <v>76995</v>
      </c>
      <c r="E839">
        <v>14</v>
      </c>
      <c r="F839">
        <v>3</v>
      </c>
      <c r="G839">
        <v>46</v>
      </c>
      <c r="H839" t="s">
        <v>14</v>
      </c>
      <c r="I839">
        <v>685.09</v>
      </c>
      <c r="J839">
        <v>685.09</v>
      </c>
    </row>
    <row r="840" spans="1:10" x14ac:dyDescent="0.25">
      <c r="A840">
        <v>315</v>
      </c>
      <c r="B840">
        <v>68</v>
      </c>
      <c r="C840" t="s">
        <v>18</v>
      </c>
      <c r="D840" s="3">
        <v>62971</v>
      </c>
      <c r="E840">
        <v>27</v>
      </c>
      <c r="F840">
        <v>8</v>
      </c>
      <c r="G840">
        <v>17</v>
      </c>
      <c r="H840" t="s">
        <v>14</v>
      </c>
      <c r="I840">
        <v>85.45</v>
      </c>
      <c r="J840">
        <v>85.45</v>
      </c>
    </row>
    <row r="841" spans="1:10" x14ac:dyDescent="0.25">
      <c r="A841">
        <v>316</v>
      </c>
      <c r="B841">
        <v>20</v>
      </c>
      <c r="C841" t="s">
        <v>18</v>
      </c>
      <c r="D841" s="3">
        <v>57260</v>
      </c>
      <c r="E841">
        <v>47</v>
      </c>
      <c r="F841">
        <v>2</v>
      </c>
      <c r="G841">
        <v>49</v>
      </c>
      <c r="H841" t="s">
        <v>14</v>
      </c>
      <c r="I841">
        <v>506.7</v>
      </c>
      <c r="J841">
        <v>506.7</v>
      </c>
    </row>
    <row r="842" spans="1:10" x14ac:dyDescent="0.25">
      <c r="A842">
        <v>346</v>
      </c>
      <c r="B842">
        <v>62</v>
      </c>
      <c r="C842" t="s">
        <v>18</v>
      </c>
      <c r="D842" s="3">
        <v>114587</v>
      </c>
      <c r="E842">
        <v>14</v>
      </c>
      <c r="F842">
        <v>7</v>
      </c>
      <c r="G842">
        <v>11</v>
      </c>
      <c r="H842" t="s">
        <v>14</v>
      </c>
      <c r="I842">
        <v>26.72</v>
      </c>
      <c r="J842">
        <v>26.72</v>
      </c>
    </row>
    <row r="843" spans="1:10" x14ac:dyDescent="0.25">
      <c r="A843">
        <v>350</v>
      </c>
      <c r="B843">
        <v>56</v>
      </c>
      <c r="C843" t="s">
        <v>18</v>
      </c>
      <c r="D843" s="3">
        <v>148694</v>
      </c>
      <c r="E843">
        <v>44</v>
      </c>
      <c r="F843">
        <v>7</v>
      </c>
      <c r="G843">
        <v>13</v>
      </c>
      <c r="H843" t="s">
        <v>14</v>
      </c>
      <c r="I843">
        <v>326.5</v>
      </c>
      <c r="J843">
        <v>326.5</v>
      </c>
    </row>
    <row r="844" spans="1:10" x14ac:dyDescent="0.25">
      <c r="A844">
        <v>352</v>
      </c>
      <c r="B844">
        <v>47</v>
      </c>
      <c r="C844" t="s">
        <v>18</v>
      </c>
      <c r="D844" s="3">
        <v>54571</v>
      </c>
      <c r="E844">
        <v>57</v>
      </c>
      <c r="F844">
        <v>4</v>
      </c>
      <c r="G844">
        <v>2</v>
      </c>
      <c r="H844" t="s">
        <v>14</v>
      </c>
      <c r="I844">
        <v>138.30000000000001</v>
      </c>
      <c r="J844">
        <v>138.30000000000001</v>
      </c>
    </row>
    <row r="845" spans="1:10" x14ac:dyDescent="0.25">
      <c r="A845">
        <v>361</v>
      </c>
      <c r="B845">
        <v>28</v>
      </c>
      <c r="C845" t="s">
        <v>18</v>
      </c>
      <c r="D845" s="3">
        <v>130938</v>
      </c>
      <c r="E845">
        <v>98</v>
      </c>
      <c r="F845">
        <v>5</v>
      </c>
      <c r="G845">
        <v>37</v>
      </c>
      <c r="H845" t="s">
        <v>14</v>
      </c>
      <c r="I845">
        <v>612.09</v>
      </c>
      <c r="J845">
        <v>612.09</v>
      </c>
    </row>
    <row r="846" spans="1:10" x14ac:dyDescent="0.25">
      <c r="A846">
        <v>370</v>
      </c>
      <c r="B846">
        <v>23</v>
      </c>
      <c r="C846" t="s">
        <v>18</v>
      </c>
      <c r="D846" s="3">
        <v>30751</v>
      </c>
      <c r="E846">
        <v>99</v>
      </c>
      <c r="F846">
        <v>9</v>
      </c>
      <c r="G846">
        <v>26</v>
      </c>
      <c r="H846" t="s">
        <v>14</v>
      </c>
      <c r="I846">
        <v>696.9</v>
      </c>
      <c r="J846">
        <v>696.9</v>
      </c>
    </row>
    <row r="847" spans="1:10" x14ac:dyDescent="0.25">
      <c r="A847">
        <v>376</v>
      </c>
      <c r="B847">
        <v>25</v>
      </c>
      <c r="C847" t="s">
        <v>18</v>
      </c>
      <c r="D847" s="3">
        <v>56110</v>
      </c>
      <c r="E847">
        <v>36</v>
      </c>
      <c r="F847">
        <v>5</v>
      </c>
      <c r="G847">
        <v>42</v>
      </c>
      <c r="H847" t="s">
        <v>14</v>
      </c>
      <c r="I847">
        <v>389.97</v>
      </c>
      <c r="J847">
        <v>389.97</v>
      </c>
    </row>
    <row r="848" spans="1:10" x14ac:dyDescent="0.25">
      <c r="A848">
        <v>387</v>
      </c>
      <c r="B848">
        <v>51</v>
      </c>
      <c r="C848" t="s">
        <v>18</v>
      </c>
      <c r="D848" s="3">
        <v>105658</v>
      </c>
      <c r="E848">
        <v>49</v>
      </c>
      <c r="F848">
        <v>9</v>
      </c>
      <c r="G848">
        <v>9</v>
      </c>
      <c r="H848" t="s">
        <v>14</v>
      </c>
      <c r="I848">
        <v>785.55</v>
      </c>
      <c r="J848">
        <v>785.55</v>
      </c>
    </row>
    <row r="849" spans="1:10" x14ac:dyDescent="0.25">
      <c r="A849">
        <v>388</v>
      </c>
      <c r="B849">
        <v>25</v>
      </c>
      <c r="C849" t="s">
        <v>18</v>
      </c>
      <c r="D849" s="3">
        <v>100053</v>
      </c>
      <c r="E849">
        <v>6</v>
      </c>
      <c r="F849">
        <v>5</v>
      </c>
      <c r="G849">
        <v>33</v>
      </c>
      <c r="H849" t="s">
        <v>14</v>
      </c>
      <c r="I849">
        <v>832.57</v>
      </c>
      <c r="J849">
        <v>832.57</v>
      </c>
    </row>
    <row r="850" spans="1:10" x14ac:dyDescent="0.25">
      <c r="A850">
        <v>423</v>
      </c>
      <c r="B850">
        <v>62</v>
      </c>
      <c r="C850" t="s">
        <v>18</v>
      </c>
      <c r="D850" s="3">
        <v>96260</v>
      </c>
      <c r="E850">
        <v>30</v>
      </c>
      <c r="F850">
        <v>6</v>
      </c>
      <c r="G850">
        <v>45</v>
      </c>
      <c r="H850" t="s">
        <v>14</v>
      </c>
      <c r="I850">
        <v>159.13</v>
      </c>
      <c r="J850">
        <v>159.13</v>
      </c>
    </row>
    <row r="851" spans="1:10" x14ac:dyDescent="0.25">
      <c r="A851">
        <v>433</v>
      </c>
      <c r="B851">
        <v>44</v>
      </c>
      <c r="C851" t="s">
        <v>18</v>
      </c>
      <c r="D851" s="3">
        <v>100832</v>
      </c>
      <c r="E851">
        <v>90</v>
      </c>
      <c r="F851">
        <v>8</v>
      </c>
      <c r="G851">
        <v>39</v>
      </c>
      <c r="H851" t="s">
        <v>14</v>
      </c>
      <c r="I851">
        <v>769</v>
      </c>
      <c r="J851">
        <v>769</v>
      </c>
    </row>
    <row r="852" spans="1:10" x14ac:dyDescent="0.25">
      <c r="A852">
        <v>438</v>
      </c>
      <c r="B852">
        <v>47</v>
      </c>
      <c r="C852" t="s">
        <v>18</v>
      </c>
      <c r="D852" s="3">
        <v>95033</v>
      </c>
      <c r="E852">
        <v>25</v>
      </c>
      <c r="F852">
        <v>3</v>
      </c>
      <c r="G852">
        <v>35</v>
      </c>
      <c r="H852" t="s">
        <v>14</v>
      </c>
      <c r="I852">
        <v>273.38</v>
      </c>
      <c r="J852">
        <v>273.38</v>
      </c>
    </row>
    <row r="853" spans="1:10" x14ac:dyDescent="0.25">
      <c r="A853">
        <v>462</v>
      </c>
      <c r="B853">
        <v>57</v>
      </c>
      <c r="C853" t="s">
        <v>18</v>
      </c>
      <c r="D853" s="3">
        <v>46563</v>
      </c>
      <c r="E853">
        <v>86</v>
      </c>
      <c r="F853">
        <v>4</v>
      </c>
      <c r="G853">
        <v>24</v>
      </c>
      <c r="H853" t="s">
        <v>14</v>
      </c>
      <c r="I853">
        <v>800.46</v>
      </c>
      <c r="J853">
        <v>800.46</v>
      </c>
    </row>
    <row r="854" spans="1:10" x14ac:dyDescent="0.25">
      <c r="A854">
        <v>479</v>
      </c>
      <c r="B854">
        <v>58</v>
      </c>
      <c r="C854" t="s">
        <v>18</v>
      </c>
      <c r="D854" s="3">
        <v>137836</v>
      </c>
      <c r="E854">
        <v>19</v>
      </c>
      <c r="F854">
        <v>9</v>
      </c>
      <c r="G854">
        <v>21</v>
      </c>
      <c r="H854" t="s">
        <v>14</v>
      </c>
      <c r="I854">
        <v>172.39</v>
      </c>
      <c r="J854">
        <v>172.39</v>
      </c>
    </row>
    <row r="855" spans="1:10" x14ac:dyDescent="0.25">
      <c r="A855">
        <v>498</v>
      </c>
      <c r="B855">
        <v>54</v>
      </c>
      <c r="C855" t="s">
        <v>18</v>
      </c>
      <c r="D855" s="3">
        <v>43308</v>
      </c>
      <c r="E855">
        <v>56</v>
      </c>
      <c r="F855">
        <v>5</v>
      </c>
      <c r="G855">
        <v>50</v>
      </c>
      <c r="H855" t="s">
        <v>14</v>
      </c>
      <c r="I855">
        <v>667.92</v>
      </c>
      <c r="J855">
        <v>667.92</v>
      </c>
    </row>
    <row r="856" spans="1:10" x14ac:dyDescent="0.25">
      <c r="A856">
        <v>502</v>
      </c>
      <c r="B856">
        <v>61</v>
      </c>
      <c r="C856" t="s">
        <v>18</v>
      </c>
      <c r="D856" s="3">
        <v>41730</v>
      </c>
      <c r="E856">
        <v>2</v>
      </c>
      <c r="F856">
        <v>9</v>
      </c>
      <c r="G856">
        <v>20</v>
      </c>
      <c r="H856" t="s">
        <v>14</v>
      </c>
      <c r="I856">
        <v>177.64</v>
      </c>
      <c r="J856">
        <v>177.64</v>
      </c>
    </row>
    <row r="857" spans="1:10" x14ac:dyDescent="0.25">
      <c r="A857">
        <v>523</v>
      </c>
      <c r="B857">
        <v>32</v>
      </c>
      <c r="C857" t="s">
        <v>18</v>
      </c>
      <c r="D857" s="3">
        <v>58144</v>
      </c>
      <c r="E857">
        <v>4</v>
      </c>
      <c r="F857">
        <v>5</v>
      </c>
      <c r="G857">
        <v>16</v>
      </c>
      <c r="H857" t="s">
        <v>14</v>
      </c>
      <c r="I857">
        <v>923.37</v>
      </c>
      <c r="J857">
        <v>923.37</v>
      </c>
    </row>
    <row r="858" spans="1:10" x14ac:dyDescent="0.25">
      <c r="A858">
        <v>541</v>
      </c>
      <c r="B858">
        <v>33</v>
      </c>
      <c r="C858" t="s">
        <v>18</v>
      </c>
      <c r="D858" s="3">
        <v>103063</v>
      </c>
      <c r="E858">
        <v>16</v>
      </c>
      <c r="F858">
        <v>3</v>
      </c>
      <c r="G858">
        <v>4</v>
      </c>
      <c r="H858" t="s">
        <v>14</v>
      </c>
      <c r="I858">
        <v>998.51</v>
      </c>
      <c r="J858">
        <v>998.51</v>
      </c>
    </row>
    <row r="859" spans="1:10" x14ac:dyDescent="0.25">
      <c r="A859">
        <v>571</v>
      </c>
      <c r="B859">
        <v>36</v>
      </c>
      <c r="C859" t="s">
        <v>18</v>
      </c>
      <c r="D859" s="3">
        <v>31458</v>
      </c>
      <c r="E859">
        <v>40</v>
      </c>
      <c r="F859">
        <v>4</v>
      </c>
      <c r="G859">
        <v>6</v>
      </c>
      <c r="H859" t="s">
        <v>14</v>
      </c>
      <c r="I859">
        <v>371.77</v>
      </c>
      <c r="J859">
        <v>371.77</v>
      </c>
    </row>
    <row r="860" spans="1:10" x14ac:dyDescent="0.25">
      <c r="A860">
        <v>576</v>
      </c>
      <c r="B860">
        <v>51</v>
      </c>
      <c r="C860" t="s">
        <v>18</v>
      </c>
      <c r="D860" s="3">
        <v>149256</v>
      </c>
      <c r="E860">
        <v>96</v>
      </c>
      <c r="F860">
        <v>1</v>
      </c>
      <c r="G860">
        <v>31</v>
      </c>
      <c r="H860" t="s">
        <v>14</v>
      </c>
      <c r="I860">
        <v>266.83</v>
      </c>
      <c r="J860">
        <v>266.83</v>
      </c>
    </row>
    <row r="861" spans="1:10" x14ac:dyDescent="0.25">
      <c r="A861">
        <v>579</v>
      </c>
      <c r="B861">
        <v>21</v>
      </c>
      <c r="C861" t="s">
        <v>18</v>
      </c>
      <c r="D861" s="3">
        <v>71227</v>
      </c>
      <c r="E861">
        <v>17</v>
      </c>
      <c r="F861">
        <v>10</v>
      </c>
      <c r="G861">
        <v>12</v>
      </c>
      <c r="H861" t="s">
        <v>14</v>
      </c>
      <c r="I861">
        <v>101.48</v>
      </c>
      <c r="J861">
        <v>101.48</v>
      </c>
    </row>
    <row r="862" spans="1:10" x14ac:dyDescent="0.25">
      <c r="A862">
        <v>605</v>
      </c>
      <c r="B862">
        <v>18</v>
      </c>
      <c r="C862" t="s">
        <v>18</v>
      </c>
      <c r="D862" s="3">
        <v>144275</v>
      </c>
      <c r="E862">
        <v>69</v>
      </c>
      <c r="F862">
        <v>9</v>
      </c>
      <c r="G862">
        <v>27</v>
      </c>
      <c r="H862" t="s">
        <v>14</v>
      </c>
      <c r="I862">
        <v>141.72</v>
      </c>
      <c r="J862">
        <v>141.72</v>
      </c>
    </row>
    <row r="863" spans="1:10" x14ac:dyDescent="0.25">
      <c r="A863">
        <v>612</v>
      </c>
      <c r="B863">
        <v>33</v>
      </c>
      <c r="C863" t="s">
        <v>18</v>
      </c>
      <c r="D863" s="3">
        <v>38271</v>
      </c>
      <c r="E863">
        <v>39</v>
      </c>
      <c r="F863">
        <v>10</v>
      </c>
      <c r="G863">
        <v>43</v>
      </c>
      <c r="H863" t="s">
        <v>14</v>
      </c>
      <c r="I863">
        <v>99.52</v>
      </c>
      <c r="J863">
        <v>99.52</v>
      </c>
    </row>
    <row r="864" spans="1:10" x14ac:dyDescent="0.25">
      <c r="A864">
        <v>627</v>
      </c>
      <c r="B864">
        <v>27</v>
      </c>
      <c r="C864" t="s">
        <v>18</v>
      </c>
      <c r="D864" s="3">
        <v>96762</v>
      </c>
      <c r="E864">
        <v>22</v>
      </c>
      <c r="F864">
        <v>3</v>
      </c>
      <c r="G864">
        <v>10</v>
      </c>
      <c r="H864" t="s">
        <v>14</v>
      </c>
      <c r="I864">
        <v>551.42999999999995</v>
      </c>
      <c r="J864">
        <v>551.42999999999995</v>
      </c>
    </row>
    <row r="865" spans="1:10" x14ac:dyDescent="0.25">
      <c r="A865">
        <v>633</v>
      </c>
      <c r="B865">
        <v>43</v>
      </c>
      <c r="C865" t="s">
        <v>18</v>
      </c>
      <c r="D865" s="3">
        <v>97989</v>
      </c>
      <c r="E865">
        <v>14</v>
      </c>
      <c r="F865">
        <v>6</v>
      </c>
      <c r="G865">
        <v>49</v>
      </c>
      <c r="H865" t="s">
        <v>14</v>
      </c>
      <c r="I865">
        <v>886.61</v>
      </c>
      <c r="J865">
        <v>886.61</v>
      </c>
    </row>
    <row r="866" spans="1:10" x14ac:dyDescent="0.25">
      <c r="A866">
        <v>635</v>
      </c>
      <c r="B866">
        <v>23</v>
      </c>
      <c r="C866" t="s">
        <v>18</v>
      </c>
      <c r="D866" s="3">
        <v>122669</v>
      </c>
      <c r="E866">
        <v>15</v>
      </c>
      <c r="F866">
        <v>3</v>
      </c>
      <c r="G866">
        <v>4</v>
      </c>
      <c r="H866" t="s">
        <v>14</v>
      </c>
      <c r="I866">
        <v>248.68</v>
      </c>
      <c r="J866">
        <v>248.68</v>
      </c>
    </row>
    <row r="867" spans="1:10" x14ac:dyDescent="0.25">
      <c r="A867">
        <v>642</v>
      </c>
      <c r="B867">
        <v>34</v>
      </c>
      <c r="C867" t="s">
        <v>18</v>
      </c>
      <c r="D867" s="3">
        <v>114408</v>
      </c>
      <c r="E867">
        <v>38</v>
      </c>
      <c r="F867">
        <v>7</v>
      </c>
      <c r="G867">
        <v>28</v>
      </c>
      <c r="H867" t="s">
        <v>14</v>
      </c>
      <c r="I867">
        <v>647.35</v>
      </c>
      <c r="J867">
        <v>647.35</v>
      </c>
    </row>
    <row r="868" spans="1:10" x14ac:dyDescent="0.25">
      <c r="A868">
        <v>651</v>
      </c>
      <c r="B868">
        <v>27</v>
      </c>
      <c r="C868" t="s">
        <v>18</v>
      </c>
      <c r="D868" s="3">
        <v>113174</v>
      </c>
      <c r="E868">
        <v>36</v>
      </c>
      <c r="F868">
        <v>3</v>
      </c>
      <c r="G868">
        <v>46</v>
      </c>
      <c r="H868" t="s">
        <v>14</v>
      </c>
      <c r="I868">
        <v>499.07</v>
      </c>
      <c r="J868">
        <v>499.07</v>
      </c>
    </row>
    <row r="869" spans="1:10" x14ac:dyDescent="0.25">
      <c r="A869">
        <v>702</v>
      </c>
      <c r="B869">
        <v>26</v>
      </c>
      <c r="C869" t="s">
        <v>18</v>
      </c>
      <c r="D869" s="3">
        <v>42499</v>
      </c>
      <c r="E869">
        <v>92</v>
      </c>
      <c r="F869">
        <v>9</v>
      </c>
      <c r="G869">
        <v>50</v>
      </c>
      <c r="H869" t="s">
        <v>14</v>
      </c>
      <c r="I869">
        <v>37.57</v>
      </c>
      <c r="J869">
        <v>37.57</v>
      </c>
    </row>
    <row r="870" spans="1:10" x14ac:dyDescent="0.25">
      <c r="A870">
        <v>710</v>
      </c>
      <c r="B870">
        <v>43</v>
      </c>
      <c r="C870" t="s">
        <v>18</v>
      </c>
      <c r="D870" s="3">
        <v>43545</v>
      </c>
      <c r="E870">
        <v>67</v>
      </c>
      <c r="F870">
        <v>5</v>
      </c>
      <c r="G870">
        <v>41</v>
      </c>
      <c r="H870" t="s">
        <v>14</v>
      </c>
      <c r="I870">
        <v>179.71</v>
      </c>
      <c r="J870">
        <v>179.71</v>
      </c>
    </row>
    <row r="871" spans="1:10" x14ac:dyDescent="0.25">
      <c r="A871">
        <v>713</v>
      </c>
      <c r="B871">
        <v>19</v>
      </c>
      <c r="C871" t="s">
        <v>18</v>
      </c>
      <c r="D871" s="3">
        <v>76416</v>
      </c>
      <c r="E871">
        <v>26</v>
      </c>
      <c r="F871">
        <v>6</v>
      </c>
      <c r="G871">
        <v>20</v>
      </c>
      <c r="H871" t="s">
        <v>14</v>
      </c>
      <c r="I871">
        <v>385.1</v>
      </c>
      <c r="J871">
        <v>385.1</v>
      </c>
    </row>
    <row r="872" spans="1:10" x14ac:dyDescent="0.25">
      <c r="A872">
        <v>738</v>
      </c>
      <c r="B872">
        <v>18</v>
      </c>
      <c r="C872" t="s">
        <v>18</v>
      </c>
      <c r="D872" s="3">
        <v>136320</v>
      </c>
      <c r="E872">
        <v>52</v>
      </c>
      <c r="F872">
        <v>5</v>
      </c>
      <c r="G872">
        <v>42</v>
      </c>
      <c r="H872" t="s">
        <v>14</v>
      </c>
      <c r="I872">
        <v>891.19</v>
      </c>
      <c r="J872">
        <v>891.19</v>
      </c>
    </row>
    <row r="873" spans="1:10" x14ac:dyDescent="0.25">
      <c r="A873">
        <v>740</v>
      </c>
      <c r="B873">
        <v>62</v>
      </c>
      <c r="C873" t="s">
        <v>18</v>
      </c>
      <c r="D873" s="3">
        <v>119083</v>
      </c>
      <c r="E873">
        <v>18</v>
      </c>
      <c r="F873">
        <v>4</v>
      </c>
      <c r="G873">
        <v>28</v>
      </c>
      <c r="H873" t="s">
        <v>14</v>
      </c>
      <c r="I873">
        <v>317.77999999999997</v>
      </c>
      <c r="J873">
        <v>317.77999999999997</v>
      </c>
    </row>
    <row r="874" spans="1:10" x14ac:dyDescent="0.25">
      <c r="A874">
        <v>741</v>
      </c>
      <c r="B874">
        <v>50</v>
      </c>
      <c r="C874" t="s">
        <v>18</v>
      </c>
      <c r="D874" s="3">
        <v>50944</v>
      </c>
      <c r="E874">
        <v>24</v>
      </c>
      <c r="F874">
        <v>3</v>
      </c>
      <c r="G874">
        <v>36</v>
      </c>
      <c r="H874" t="s">
        <v>14</v>
      </c>
      <c r="I874">
        <v>121.22</v>
      </c>
      <c r="J874">
        <v>121.22</v>
      </c>
    </row>
    <row r="875" spans="1:10" x14ac:dyDescent="0.25">
      <c r="A875">
        <v>756</v>
      </c>
      <c r="B875">
        <v>30</v>
      </c>
      <c r="C875" t="s">
        <v>18</v>
      </c>
      <c r="D875" s="3">
        <v>111050</v>
      </c>
      <c r="E875">
        <v>61</v>
      </c>
      <c r="F875">
        <v>10</v>
      </c>
      <c r="G875">
        <v>32</v>
      </c>
      <c r="H875" t="s">
        <v>14</v>
      </c>
      <c r="I875">
        <v>213.88</v>
      </c>
      <c r="J875">
        <v>213.88</v>
      </c>
    </row>
    <row r="876" spans="1:10" x14ac:dyDescent="0.25">
      <c r="A876">
        <v>785</v>
      </c>
      <c r="B876">
        <v>45</v>
      </c>
      <c r="C876" t="s">
        <v>18</v>
      </c>
      <c r="D876" s="3">
        <v>88366</v>
      </c>
      <c r="E876">
        <v>22</v>
      </c>
      <c r="F876">
        <v>10</v>
      </c>
      <c r="G876">
        <v>24</v>
      </c>
      <c r="H876" t="s">
        <v>14</v>
      </c>
      <c r="I876">
        <v>253.64</v>
      </c>
      <c r="J876">
        <v>253.64</v>
      </c>
    </row>
    <row r="877" spans="1:10" x14ac:dyDescent="0.25">
      <c r="A877">
        <v>795</v>
      </c>
      <c r="B877">
        <v>33</v>
      </c>
      <c r="C877" t="s">
        <v>18</v>
      </c>
      <c r="D877" s="3">
        <v>45432</v>
      </c>
      <c r="E877">
        <v>11</v>
      </c>
      <c r="F877">
        <v>4</v>
      </c>
      <c r="G877">
        <v>42</v>
      </c>
      <c r="H877" t="s">
        <v>14</v>
      </c>
      <c r="I877">
        <v>990.34</v>
      </c>
      <c r="J877">
        <v>990.34</v>
      </c>
    </row>
    <row r="878" spans="1:10" x14ac:dyDescent="0.25">
      <c r="A878">
        <v>825</v>
      </c>
      <c r="B878">
        <v>30</v>
      </c>
      <c r="C878" t="s">
        <v>18</v>
      </c>
      <c r="D878" s="3">
        <v>121358</v>
      </c>
      <c r="E878">
        <v>16</v>
      </c>
      <c r="F878">
        <v>1</v>
      </c>
      <c r="G878">
        <v>2</v>
      </c>
      <c r="H878" t="s">
        <v>14</v>
      </c>
      <c r="I878">
        <v>122.7</v>
      </c>
      <c r="J878">
        <v>122.7</v>
      </c>
    </row>
    <row r="879" spans="1:10" x14ac:dyDescent="0.25">
      <c r="A879">
        <v>845</v>
      </c>
      <c r="B879">
        <v>45</v>
      </c>
      <c r="C879" t="s">
        <v>18</v>
      </c>
      <c r="D879" s="3">
        <v>57615</v>
      </c>
      <c r="E879">
        <v>30</v>
      </c>
      <c r="F879">
        <v>5</v>
      </c>
      <c r="G879">
        <v>15</v>
      </c>
      <c r="H879" t="s">
        <v>14</v>
      </c>
      <c r="I879">
        <v>998.09</v>
      </c>
      <c r="J879">
        <v>998.09</v>
      </c>
    </row>
    <row r="880" spans="1:10" x14ac:dyDescent="0.25">
      <c r="A880">
        <v>911</v>
      </c>
      <c r="B880">
        <v>66</v>
      </c>
      <c r="C880" t="s">
        <v>18</v>
      </c>
      <c r="D880" s="3">
        <v>55154</v>
      </c>
      <c r="E880">
        <v>93</v>
      </c>
      <c r="F880">
        <v>3</v>
      </c>
      <c r="G880">
        <v>19</v>
      </c>
      <c r="H880" t="s">
        <v>14</v>
      </c>
      <c r="I880">
        <v>684.88</v>
      </c>
      <c r="J880">
        <v>684.88</v>
      </c>
    </row>
    <row r="881" spans="1:10" x14ac:dyDescent="0.25">
      <c r="A881">
        <v>943</v>
      </c>
      <c r="B881">
        <v>54</v>
      </c>
      <c r="C881" t="s">
        <v>18</v>
      </c>
      <c r="D881" s="3">
        <v>140081</v>
      </c>
      <c r="E881">
        <v>100</v>
      </c>
      <c r="F881">
        <v>1</v>
      </c>
      <c r="G881">
        <v>25</v>
      </c>
      <c r="H881" t="s">
        <v>14</v>
      </c>
      <c r="I881">
        <v>30.51</v>
      </c>
      <c r="J881">
        <v>30.51</v>
      </c>
    </row>
    <row r="882" spans="1:10" x14ac:dyDescent="0.25">
      <c r="A882">
        <v>983</v>
      </c>
      <c r="B882">
        <v>68</v>
      </c>
      <c r="C882" t="s">
        <v>18</v>
      </c>
      <c r="D882" s="3">
        <v>117203</v>
      </c>
      <c r="E882">
        <v>76</v>
      </c>
      <c r="F882">
        <v>7</v>
      </c>
      <c r="G882">
        <v>38</v>
      </c>
      <c r="H882" t="s">
        <v>14</v>
      </c>
      <c r="I882">
        <v>363.94</v>
      </c>
      <c r="J882">
        <v>363.94</v>
      </c>
    </row>
    <row r="883" spans="1:10" x14ac:dyDescent="0.25">
      <c r="A883">
        <v>994</v>
      </c>
      <c r="B883">
        <v>29</v>
      </c>
      <c r="C883" t="s">
        <v>18</v>
      </c>
      <c r="D883" s="3">
        <v>64799</v>
      </c>
      <c r="E883">
        <v>42</v>
      </c>
      <c r="F883">
        <v>5</v>
      </c>
      <c r="G883">
        <v>19</v>
      </c>
      <c r="H883" t="s">
        <v>14</v>
      </c>
      <c r="I883">
        <v>967.26</v>
      </c>
      <c r="J883">
        <v>967.26</v>
      </c>
    </row>
    <row r="884" spans="1:10" x14ac:dyDescent="0.25">
      <c r="A884">
        <v>999</v>
      </c>
      <c r="B884">
        <v>22</v>
      </c>
      <c r="C884" t="s">
        <v>18</v>
      </c>
      <c r="D884" s="3">
        <v>113695</v>
      </c>
      <c r="E884">
        <v>63</v>
      </c>
      <c r="F884">
        <v>7</v>
      </c>
      <c r="G884">
        <v>44</v>
      </c>
      <c r="H884" t="s">
        <v>14</v>
      </c>
      <c r="I884">
        <v>505.16</v>
      </c>
      <c r="J884">
        <v>505.16</v>
      </c>
    </row>
    <row r="885" spans="1:10" x14ac:dyDescent="0.25">
      <c r="A885">
        <v>2</v>
      </c>
      <c r="B885">
        <v>21</v>
      </c>
      <c r="C885" t="s">
        <v>18</v>
      </c>
      <c r="D885" s="3">
        <v>78852</v>
      </c>
      <c r="E885">
        <v>60</v>
      </c>
      <c r="F885">
        <v>2</v>
      </c>
      <c r="G885">
        <v>42</v>
      </c>
      <c r="H885" t="s">
        <v>15</v>
      </c>
      <c r="I885">
        <v>41.93</v>
      </c>
      <c r="J885">
        <v>41.93</v>
      </c>
    </row>
    <row r="886" spans="1:10" x14ac:dyDescent="0.25">
      <c r="A886">
        <v>3</v>
      </c>
      <c r="B886">
        <v>60</v>
      </c>
      <c r="C886" t="s">
        <v>18</v>
      </c>
      <c r="D886" s="3">
        <v>126573</v>
      </c>
      <c r="E886">
        <v>30</v>
      </c>
      <c r="F886">
        <v>2</v>
      </c>
      <c r="G886">
        <v>28</v>
      </c>
      <c r="H886" t="s">
        <v>17</v>
      </c>
      <c r="I886">
        <v>424.36</v>
      </c>
      <c r="J886">
        <v>424.36</v>
      </c>
    </row>
    <row r="887" spans="1:10" x14ac:dyDescent="0.25">
      <c r="A887">
        <v>25</v>
      </c>
      <c r="B887">
        <v>69</v>
      </c>
      <c r="C887" t="s">
        <v>18</v>
      </c>
      <c r="D887" s="3">
        <v>36140</v>
      </c>
      <c r="E887">
        <v>78</v>
      </c>
      <c r="F887">
        <v>5</v>
      </c>
      <c r="G887">
        <v>39</v>
      </c>
      <c r="H887" t="s">
        <v>15</v>
      </c>
      <c r="I887">
        <v>508.86</v>
      </c>
      <c r="J887">
        <v>508.86</v>
      </c>
    </row>
    <row r="888" spans="1:10" x14ac:dyDescent="0.25">
      <c r="A888">
        <v>28</v>
      </c>
      <c r="B888">
        <v>30</v>
      </c>
      <c r="C888" t="s">
        <v>18</v>
      </c>
      <c r="D888" s="3">
        <v>50680</v>
      </c>
      <c r="E888">
        <v>19</v>
      </c>
      <c r="F888">
        <v>7</v>
      </c>
      <c r="G888">
        <v>27</v>
      </c>
      <c r="H888" t="s">
        <v>15</v>
      </c>
      <c r="I888">
        <v>515.88</v>
      </c>
      <c r="J888">
        <v>515.88</v>
      </c>
    </row>
    <row r="889" spans="1:10" x14ac:dyDescent="0.25">
      <c r="A889">
        <v>36</v>
      </c>
      <c r="B889">
        <v>30</v>
      </c>
      <c r="C889" t="s">
        <v>18</v>
      </c>
      <c r="D889" s="3">
        <v>73464</v>
      </c>
      <c r="E889">
        <v>37</v>
      </c>
      <c r="F889">
        <v>1</v>
      </c>
      <c r="G889">
        <v>6</v>
      </c>
      <c r="H889" t="s">
        <v>17</v>
      </c>
      <c r="I889">
        <v>532.51</v>
      </c>
      <c r="J889">
        <v>532.51</v>
      </c>
    </row>
    <row r="890" spans="1:10" x14ac:dyDescent="0.25">
      <c r="A890">
        <v>39</v>
      </c>
      <c r="B890">
        <v>31</v>
      </c>
      <c r="C890" t="s">
        <v>18</v>
      </c>
      <c r="D890" s="3">
        <v>75392</v>
      </c>
      <c r="E890">
        <v>43</v>
      </c>
      <c r="F890">
        <v>4</v>
      </c>
      <c r="G890">
        <v>29</v>
      </c>
      <c r="H890" t="s">
        <v>15</v>
      </c>
      <c r="I890">
        <v>88.44</v>
      </c>
      <c r="J890">
        <v>88.44</v>
      </c>
    </row>
    <row r="891" spans="1:10" x14ac:dyDescent="0.25">
      <c r="A891">
        <v>51</v>
      </c>
      <c r="B891">
        <v>61</v>
      </c>
      <c r="C891" t="s">
        <v>18</v>
      </c>
      <c r="D891" s="3">
        <v>61290</v>
      </c>
      <c r="E891">
        <v>83</v>
      </c>
      <c r="F891">
        <v>9</v>
      </c>
      <c r="G891">
        <v>35</v>
      </c>
      <c r="H891" t="s">
        <v>17</v>
      </c>
      <c r="I891">
        <v>110.32</v>
      </c>
      <c r="J891">
        <v>110.32</v>
      </c>
    </row>
    <row r="892" spans="1:10" x14ac:dyDescent="0.25">
      <c r="A892">
        <v>52</v>
      </c>
      <c r="B892">
        <v>24</v>
      </c>
      <c r="C892" t="s">
        <v>18</v>
      </c>
      <c r="D892" s="3">
        <v>96082</v>
      </c>
      <c r="E892">
        <v>83</v>
      </c>
      <c r="F892">
        <v>4</v>
      </c>
      <c r="G892">
        <v>36</v>
      </c>
      <c r="H892" t="s">
        <v>15</v>
      </c>
      <c r="I892">
        <v>589.35</v>
      </c>
      <c r="J892">
        <v>589.35</v>
      </c>
    </row>
    <row r="893" spans="1:10" x14ac:dyDescent="0.25">
      <c r="A893">
        <v>55</v>
      </c>
      <c r="B893">
        <v>56</v>
      </c>
      <c r="C893" t="s">
        <v>18</v>
      </c>
      <c r="D893" s="3">
        <v>85476</v>
      </c>
      <c r="E893">
        <v>55</v>
      </c>
      <c r="F893">
        <v>2</v>
      </c>
      <c r="G893">
        <v>41</v>
      </c>
      <c r="H893" t="s">
        <v>15</v>
      </c>
      <c r="I893">
        <v>774.5</v>
      </c>
      <c r="J893">
        <v>774.5</v>
      </c>
    </row>
    <row r="894" spans="1:10" x14ac:dyDescent="0.25">
      <c r="A894">
        <v>58</v>
      </c>
      <c r="B894">
        <v>49</v>
      </c>
      <c r="C894" t="s">
        <v>18</v>
      </c>
      <c r="D894" s="3">
        <v>112198</v>
      </c>
      <c r="E894">
        <v>48</v>
      </c>
      <c r="F894">
        <v>5</v>
      </c>
      <c r="G894">
        <v>24</v>
      </c>
      <c r="H894" t="s">
        <v>15</v>
      </c>
      <c r="I894">
        <v>843.87</v>
      </c>
      <c r="J894">
        <v>843.87</v>
      </c>
    </row>
    <row r="895" spans="1:10" x14ac:dyDescent="0.25">
      <c r="A895">
        <v>60</v>
      </c>
      <c r="B895">
        <v>21</v>
      </c>
      <c r="C895" t="s">
        <v>18</v>
      </c>
      <c r="D895" s="3">
        <v>139387</v>
      </c>
      <c r="E895">
        <v>1</v>
      </c>
      <c r="F895">
        <v>5</v>
      </c>
      <c r="G895">
        <v>7</v>
      </c>
      <c r="H895" t="s">
        <v>17</v>
      </c>
      <c r="I895">
        <v>399.58</v>
      </c>
      <c r="J895">
        <v>399.58</v>
      </c>
    </row>
    <row r="896" spans="1:10" x14ac:dyDescent="0.25">
      <c r="A896">
        <v>63</v>
      </c>
      <c r="B896">
        <v>49</v>
      </c>
      <c r="C896" t="s">
        <v>18</v>
      </c>
      <c r="D896" s="3">
        <v>79992</v>
      </c>
      <c r="E896">
        <v>49</v>
      </c>
      <c r="F896">
        <v>8</v>
      </c>
      <c r="G896">
        <v>6</v>
      </c>
      <c r="H896" t="s">
        <v>15</v>
      </c>
      <c r="I896">
        <v>636.65</v>
      </c>
      <c r="J896">
        <v>636.65</v>
      </c>
    </row>
    <row r="897" spans="1:10" x14ac:dyDescent="0.25">
      <c r="A897">
        <v>68</v>
      </c>
      <c r="B897">
        <v>43</v>
      </c>
      <c r="C897" t="s">
        <v>18</v>
      </c>
      <c r="D897" s="3">
        <v>87807</v>
      </c>
      <c r="E897">
        <v>52</v>
      </c>
      <c r="F897">
        <v>9</v>
      </c>
      <c r="G897">
        <v>41</v>
      </c>
      <c r="H897" t="s">
        <v>17</v>
      </c>
      <c r="I897">
        <v>95.08</v>
      </c>
      <c r="J897">
        <v>95.08</v>
      </c>
    </row>
    <row r="898" spans="1:10" x14ac:dyDescent="0.25">
      <c r="A898">
        <v>83</v>
      </c>
      <c r="B898">
        <v>36</v>
      </c>
      <c r="C898" t="s">
        <v>18</v>
      </c>
      <c r="D898" s="3">
        <v>99427</v>
      </c>
      <c r="E898">
        <v>94</v>
      </c>
      <c r="F898">
        <v>8</v>
      </c>
      <c r="G898">
        <v>15</v>
      </c>
      <c r="H898" t="s">
        <v>15</v>
      </c>
      <c r="I898">
        <v>265.04000000000002</v>
      </c>
      <c r="J898">
        <v>265.04000000000002</v>
      </c>
    </row>
    <row r="899" spans="1:10" x14ac:dyDescent="0.25">
      <c r="A899">
        <v>100</v>
      </c>
      <c r="B899">
        <v>26</v>
      </c>
      <c r="C899" t="s">
        <v>18</v>
      </c>
      <c r="D899" s="3">
        <v>59496</v>
      </c>
      <c r="E899">
        <v>58</v>
      </c>
      <c r="F899">
        <v>2</v>
      </c>
      <c r="G899">
        <v>50</v>
      </c>
      <c r="H899" t="s">
        <v>17</v>
      </c>
      <c r="I899">
        <v>23.33</v>
      </c>
      <c r="J899">
        <v>23.33</v>
      </c>
    </row>
    <row r="900" spans="1:10" x14ac:dyDescent="0.25">
      <c r="A900">
        <v>104</v>
      </c>
      <c r="B900">
        <v>60</v>
      </c>
      <c r="C900" t="s">
        <v>18</v>
      </c>
      <c r="D900" s="3">
        <v>142407</v>
      </c>
      <c r="E900">
        <v>4</v>
      </c>
      <c r="F900">
        <v>2</v>
      </c>
      <c r="G900">
        <v>1</v>
      </c>
      <c r="H900" t="s">
        <v>15</v>
      </c>
      <c r="I900">
        <v>29.58</v>
      </c>
      <c r="J900">
        <v>29.58</v>
      </c>
    </row>
    <row r="901" spans="1:10" x14ac:dyDescent="0.25">
      <c r="A901">
        <v>120</v>
      </c>
      <c r="B901">
        <v>68</v>
      </c>
      <c r="C901" t="s">
        <v>18</v>
      </c>
      <c r="D901" s="3">
        <v>78309</v>
      </c>
      <c r="E901">
        <v>12</v>
      </c>
      <c r="F901">
        <v>2</v>
      </c>
      <c r="G901">
        <v>49</v>
      </c>
      <c r="H901" t="s">
        <v>17</v>
      </c>
      <c r="I901">
        <v>848.14</v>
      </c>
      <c r="J901">
        <v>848.14</v>
      </c>
    </row>
    <row r="902" spans="1:10" x14ac:dyDescent="0.25">
      <c r="A902">
        <v>130</v>
      </c>
      <c r="B902">
        <v>61</v>
      </c>
      <c r="C902" t="s">
        <v>18</v>
      </c>
      <c r="D902" s="3">
        <v>131607</v>
      </c>
      <c r="E902">
        <v>25</v>
      </c>
      <c r="F902">
        <v>7</v>
      </c>
      <c r="G902">
        <v>26</v>
      </c>
      <c r="H902" t="s">
        <v>17</v>
      </c>
      <c r="I902">
        <v>714.15</v>
      </c>
      <c r="J902">
        <v>714.15</v>
      </c>
    </row>
    <row r="903" spans="1:10" x14ac:dyDescent="0.25">
      <c r="A903">
        <v>135</v>
      </c>
      <c r="B903">
        <v>29</v>
      </c>
      <c r="C903" t="s">
        <v>18</v>
      </c>
      <c r="D903" s="3">
        <v>100290</v>
      </c>
      <c r="E903">
        <v>85</v>
      </c>
      <c r="F903">
        <v>8</v>
      </c>
      <c r="G903">
        <v>29</v>
      </c>
      <c r="H903" t="s">
        <v>17</v>
      </c>
      <c r="I903">
        <v>480.87</v>
      </c>
      <c r="J903">
        <v>480.87</v>
      </c>
    </row>
    <row r="904" spans="1:10" x14ac:dyDescent="0.25">
      <c r="A904">
        <v>138</v>
      </c>
      <c r="B904">
        <v>67</v>
      </c>
      <c r="C904" t="s">
        <v>18</v>
      </c>
      <c r="D904" s="3">
        <v>120561</v>
      </c>
      <c r="E904">
        <v>66</v>
      </c>
      <c r="F904">
        <v>2</v>
      </c>
      <c r="G904">
        <v>21</v>
      </c>
      <c r="H904" t="s">
        <v>17</v>
      </c>
      <c r="I904">
        <v>798.2</v>
      </c>
      <c r="J904">
        <v>798.2</v>
      </c>
    </row>
    <row r="905" spans="1:10" x14ac:dyDescent="0.25">
      <c r="A905">
        <v>140</v>
      </c>
      <c r="B905">
        <v>18</v>
      </c>
      <c r="C905" t="s">
        <v>18</v>
      </c>
      <c r="D905" s="3">
        <v>78097</v>
      </c>
      <c r="E905">
        <v>84</v>
      </c>
      <c r="F905">
        <v>3</v>
      </c>
      <c r="G905">
        <v>26</v>
      </c>
      <c r="H905" t="s">
        <v>17</v>
      </c>
      <c r="I905">
        <v>453.34</v>
      </c>
      <c r="J905">
        <v>453.34</v>
      </c>
    </row>
    <row r="906" spans="1:10" x14ac:dyDescent="0.25">
      <c r="A906">
        <v>157</v>
      </c>
      <c r="B906">
        <v>69</v>
      </c>
      <c r="C906" t="s">
        <v>18</v>
      </c>
      <c r="D906" s="3">
        <v>51990</v>
      </c>
      <c r="E906">
        <v>59</v>
      </c>
      <c r="F906">
        <v>2</v>
      </c>
      <c r="G906">
        <v>37</v>
      </c>
      <c r="H906" t="s">
        <v>17</v>
      </c>
      <c r="I906">
        <v>762.41</v>
      </c>
      <c r="J906">
        <v>762.41</v>
      </c>
    </row>
    <row r="907" spans="1:10" x14ac:dyDescent="0.25">
      <c r="A907">
        <v>161</v>
      </c>
      <c r="B907">
        <v>69</v>
      </c>
      <c r="C907" t="s">
        <v>18</v>
      </c>
      <c r="D907" s="3">
        <v>117782</v>
      </c>
      <c r="E907">
        <v>18</v>
      </c>
      <c r="F907">
        <v>1</v>
      </c>
      <c r="G907">
        <v>15</v>
      </c>
      <c r="H907" t="s">
        <v>15</v>
      </c>
      <c r="I907">
        <v>762.55</v>
      </c>
      <c r="J907">
        <v>762.55</v>
      </c>
    </row>
    <row r="908" spans="1:10" x14ac:dyDescent="0.25">
      <c r="A908">
        <v>169</v>
      </c>
      <c r="B908">
        <v>51</v>
      </c>
      <c r="C908" t="s">
        <v>18</v>
      </c>
      <c r="D908" s="3">
        <v>58930</v>
      </c>
      <c r="E908">
        <v>95</v>
      </c>
      <c r="F908">
        <v>5</v>
      </c>
      <c r="G908">
        <v>33</v>
      </c>
      <c r="H908" t="s">
        <v>15</v>
      </c>
      <c r="I908">
        <v>115.09</v>
      </c>
      <c r="J908">
        <v>115.09</v>
      </c>
    </row>
    <row r="909" spans="1:10" x14ac:dyDescent="0.25">
      <c r="A909">
        <v>175</v>
      </c>
      <c r="B909">
        <v>33</v>
      </c>
      <c r="C909" t="s">
        <v>18</v>
      </c>
      <c r="D909" s="3">
        <v>81766</v>
      </c>
      <c r="E909">
        <v>86</v>
      </c>
      <c r="F909">
        <v>1</v>
      </c>
      <c r="G909">
        <v>16</v>
      </c>
      <c r="H909" t="s">
        <v>15</v>
      </c>
      <c r="I909">
        <v>160.11000000000001</v>
      </c>
      <c r="J909">
        <v>160.11000000000001</v>
      </c>
    </row>
    <row r="910" spans="1:10" x14ac:dyDescent="0.25">
      <c r="A910">
        <v>200</v>
      </c>
      <c r="B910">
        <v>63</v>
      </c>
      <c r="C910" t="s">
        <v>18</v>
      </c>
      <c r="D910" s="3">
        <v>113240</v>
      </c>
      <c r="E910">
        <v>47</v>
      </c>
      <c r="F910">
        <v>9</v>
      </c>
      <c r="G910">
        <v>22</v>
      </c>
      <c r="H910" t="s">
        <v>17</v>
      </c>
      <c r="I910">
        <v>279.95999999999998</v>
      </c>
      <c r="J910">
        <v>279.95999999999998</v>
      </c>
    </row>
    <row r="911" spans="1:10" x14ac:dyDescent="0.25">
      <c r="A911">
        <v>208</v>
      </c>
      <c r="B911">
        <v>59</v>
      </c>
      <c r="C911" t="s">
        <v>18</v>
      </c>
      <c r="D911" s="3">
        <v>70050</v>
      </c>
      <c r="E911">
        <v>62</v>
      </c>
      <c r="F911">
        <v>3</v>
      </c>
      <c r="G911">
        <v>10</v>
      </c>
      <c r="H911" t="s">
        <v>17</v>
      </c>
      <c r="I911">
        <v>49.53</v>
      </c>
      <c r="J911">
        <v>49.53</v>
      </c>
    </row>
    <row r="912" spans="1:10" x14ac:dyDescent="0.25">
      <c r="A912">
        <v>211</v>
      </c>
      <c r="B912">
        <v>40</v>
      </c>
      <c r="C912" t="s">
        <v>18</v>
      </c>
      <c r="D912" s="3">
        <v>83445</v>
      </c>
      <c r="E912">
        <v>89</v>
      </c>
      <c r="F912">
        <v>7</v>
      </c>
      <c r="G912">
        <v>11</v>
      </c>
      <c r="H912" t="s">
        <v>17</v>
      </c>
      <c r="I912">
        <v>356.35</v>
      </c>
      <c r="J912">
        <v>356.35</v>
      </c>
    </row>
    <row r="913" spans="1:10" x14ac:dyDescent="0.25">
      <c r="A913">
        <v>213</v>
      </c>
      <c r="B913">
        <v>47</v>
      </c>
      <c r="C913" t="s">
        <v>18</v>
      </c>
      <c r="D913" s="3">
        <v>121498</v>
      </c>
      <c r="E913">
        <v>29</v>
      </c>
      <c r="F913">
        <v>9</v>
      </c>
      <c r="G913">
        <v>28</v>
      </c>
      <c r="H913" t="s">
        <v>15</v>
      </c>
      <c r="I913">
        <v>706.37</v>
      </c>
      <c r="J913">
        <v>706.37</v>
      </c>
    </row>
    <row r="914" spans="1:10" x14ac:dyDescent="0.25">
      <c r="A914">
        <v>217</v>
      </c>
      <c r="B914">
        <v>46</v>
      </c>
      <c r="C914" t="s">
        <v>18</v>
      </c>
      <c r="D914" s="3">
        <v>82034</v>
      </c>
      <c r="E914">
        <v>19</v>
      </c>
      <c r="F914">
        <v>2</v>
      </c>
      <c r="G914">
        <v>45</v>
      </c>
      <c r="H914" t="s">
        <v>15</v>
      </c>
      <c r="I914">
        <v>635.92999999999995</v>
      </c>
      <c r="J914">
        <v>635.92999999999995</v>
      </c>
    </row>
    <row r="915" spans="1:10" x14ac:dyDescent="0.25">
      <c r="A915">
        <v>223</v>
      </c>
      <c r="B915">
        <v>53</v>
      </c>
      <c r="C915" t="s">
        <v>18</v>
      </c>
      <c r="D915" s="3">
        <v>146546</v>
      </c>
      <c r="E915">
        <v>12</v>
      </c>
      <c r="F915">
        <v>6</v>
      </c>
      <c r="G915">
        <v>45</v>
      </c>
      <c r="H915" t="s">
        <v>15</v>
      </c>
      <c r="I915">
        <v>915.02</v>
      </c>
      <c r="J915">
        <v>915.02</v>
      </c>
    </row>
    <row r="916" spans="1:10" x14ac:dyDescent="0.25">
      <c r="A916">
        <v>234</v>
      </c>
      <c r="B916">
        <v>29</v>
      </c>
      <c r="C916" t="s">
        <v>18</v>
      </c>
      <c r="D916" s="3">
        <v>96066</v>
      </c>
      <c r="E916">
        <v>45</v>
      </c>
      <c r="F916">
        <v>7</v>
      </c>
      <c r="G916">
        <v>24</v>
      </c>
      <c r="H916" t="s">
        <v>15</v>
      </c>
      <c r="I916">
        <v>479.36</v>
      </c>
      <c r="J916">
        <v>479.36</v>
      </c>
    </row>
    <row r="917" spans="1:10" x14ac:dyDescent="0.25">
      <c r="A917">
        <v>241</v>
      </c>
      <c r="B917">
        <v>41</v>
      </c>
      <c r="C917" t="s">
        <v>18</v>
      </c>
      <c r="D917" s="3">
        <v>41748</v>
      </c>
      <c r="E917">
        <v>50</v>
      </c>
      <c r="F917">
        <v>8</v>
      </c>
      <c r="G917">
        <v>5</v>
      </c>
      <c r="H917" t="s">
        <v>15</v>
      </c>
      <c r="I917">
        <v>35.159999999999997</v>
      </c>
      <c r="J917">
        <v>35.159999999999997</v>
      </c>
    </row>
    <row r="918" spans="1:10" x14ac:dyDescent="0.25">
      <c r="A918">
        <v>249</v>
      </c>
      <c r="B918">
        <v>54</v>
      </c>
      <c r="C918" t="s">
        <v>18</v>
      </c>
      <c r="D918" s="3">
        <v>134743</v>
      </c>
      <c r="E918">
        <v>98</v>
      </c>
      <c r="F918">
        <v>9</v>
      </c>
      <c r="G918">
        <v>42</v>
      </c>
      <c r="H918" t="s">
        <v>15</v>
      </c>
      <c r="I918">
        <v>894.21</v>
      </c>
      <c r="J918">
        <v>894.21</v>
      </c>
    </row>
    <row r="919" spans="1:10" x14ac:dyDescent="0.25">
      <c r="A919">
        <v>260</v>
      </c>
      <c r="B919">
        <v>39</v>
      </c>
      <c r="C919" t="s">
        <v>18</v>
      </c>
      <c r="D919" s="3">
        <v>56381</v>
      </c>
      <c r="E919">
        <v>82</v>
      </c>
      <c r="F919">
        <v>6</v>
      </c>
      <c r="G919">
        <v>19</v>
      </c>
      <c r="H919" t="s">
        <v>15</v>
      </c>
      <c r="I919">
        <v>759.6</v>
      </c>
      <c r="J919">
        <v>759.6</v>
      </c>
    </row>
    <row r="920" spans="1:10" x14ac:dyDescent="0.25">
      <c r="A920">
        <v>269</v>
      </c>
      <c r="B920">
        <v>33</v>
      </c>
      <c r="C920" t="s">
        <v>18</v>
      </c>
      <c r="D920" s="3">
        <v>118116</v>
      </c>
      <c r="E920">
        <v>100</v>
      </c>
      <c r="F920">
        <v>9</v>
      </c>
      <c r="G920">
        <v>48</v>
      </c>
      <c r="H920" t="s">
        <v>15</v>
      </c>
      <c r="I920">
        <v>21.9</v>
      </c>
      <c r="J920">
        <v>21.9</v>
      </c>
    </row>
    <row r="921" spans="1:10" x14ac:dyDescent="0.25">
      <c r="A921">
        <v>272</v>
      </c>
      <c r="B921">
        <v>52</v>
      </c>
      <c r="C921" t="s">
        <v>18</v>
      </c>
      <c r="D921" s="3">
        <v>104033</v>
      </c>
      <c r="E921">
        <v>6</v>
      </c>
      <c r="F921">
        <v>5</v>
      </c>
      <c r="G921">
        <v>15</v>
      </c>
      <c r="H921" t="s">
        <v>17</v>
      </c>
      <c r="I921">
        <v>192.31</v>
      </c>
      <c r="J921">
        <v>192.31</v>
      </c>
    </row>
    <row r="922" spans="1:10" x14ac:dyDescent="0.25">
      <c r="A922">
        <v>280</v>
      </c>
      <c r="B922">
        <v>53</v>
      </c>
      <c r="C922" t="s">
        <v>18</v>
      </c>
      <c r="D922" s="3">
        <v>61826</v>
      </c>
      <c r="E922">
        <v>96</v>
      </c>
      <c r="F922">
        <v>1</v>
      </c>
      <c r="G922">
        <v>14</v>
      </c>
      <c r="H922" t="s">
        <v>17</v>
      </c>
      <c r="I922">
        <v>577</v>
      </c>
      <c r="J922">
        <v>577</v>
      </c>
    </row>
    <row r="923" spans="1:10" x14ac:dyDescent="0.25">
      <c r="A923">
        <v>285</v>
      </c>
      <c r="B923">
        <v>63</v>
      </c>
      <c r="C923" t="s">
        <v>18</v>
      </c>
      <c r="D923" s="3">
        <v>121652</v>
      </c>
      <c r="E923">
        <v>20</v>
      </c>
      <c r="F923">
        <v>1</v>
      </c>
      <c r="G923">
        <v>26</v>
      </c>
      <c r="H923" t="s">
        <v>15</v>
      </c>
      <c r="I923">
        <v>169.58</v>
      </c>
      <c r="J923">
        <v>169.58</v>
      </c>
    </row>
    <row r="924" spans="1:10" x14ac:dyDescent="0.25">
      <c r="A924">
        <v>291</v>
      </c>
      <c r="B924">
        <v>45</v>
      </c>
      <c r="C924" t="s">
        <v>18</v>
      </c>
      <c r="D924" s="3">
        <v>57845</v>
      </c>
      <c r="E924">
        <v>32</v>
      </c>
      <c r="F924">
        <v>6</v>
      </c>
      <c r="G924">
        <v>41</v>
      </c>
      <c r="H924" t="s">
        <v>17</v>
      </c>
      <c r="I924">
        <v>934.34</v>
      </c>
      <c r="J924">
        <v>934.34</v>
      </c>
    </row>
    <row r="925" spans="1:10" x14ac:dyDescent="0.25">
      <c r="A925">
        <v>321</v>
      </c>
      <c r="B925">
        <v>43</v>
      </c>
      <c r="C925" t="s">
        <v>18</v>
      </c>
      <c r="D925" s="3">
        <v>78858</v>
      </c>
      <c r="E925">
        <v>4</v>
      </c>
      <c r="F925">
        <v>3</v>
      </c>
      <c r="G925">
        <v>38</v>
      </c>
      <c r="H925" t="s">
        <v>15</v>
      </c>
      <c r="I925">
        <v>261.19</v>
      </c>
      <c r="J925">
        <v>261.19</v>
      </c>
    </row>
    <row r="926" spans="1:10" x14ac:dyDescent="0.25">
      <c r="A926">
        <v>339</v>
      </c>
      <c r="B926">
        <v>28</v>
      </c>
      <c r="C926" t="s">
        <v>18</v>
      </c>
      <c r="D926" s="3">
        <v>111697</v>
      </c>
      <c r="E926">
        <v>92</v>
      </c>
      <c r="F926">
        <v>9</v>
      </c>
      <c r="G926">
        <v>50</v>
      </c>
      <c r="H926" t="s">
        <v>15</v>
      </c>
      <c r="I926">
        <v>205.58</v>
      </c>
      <c r="J926">
        <v>205.58</v>
      </c>
    </row>
    <row r="927" spans="1:10" x14ac:dyDescent="0.25">
      <c r="A927">
        <v>342</v>
      </c>
      <c r="B927">
        <v>69</v>
      </c>
      <c r="C927" t="s">
        <v>18</v>
      </c>
      <c r="D927" s="3">
        <v>71688</v>
      </c>
      <c r="E927">
        <v>69</v>
      </c>
      <c r="F927">
        <v>4</v>
      </c>
      <c r="G927">
        <v>25</v>
      </c>
      <c r="H927" t="s">
        <v>17</v>
      </c>
      <c r="I927">
        <v>532.23</v>
      </c>
      <c r="J927">
        <v>532.23</v>
      </c>
    </row>
    <row r="928" spans="1:10" x14ac:dyDescent="0.25">
      <c r="A928">
        <v>347</v>
      </c>
      <c r="B928">
        <v>38</v>
      </c>
      <c r="C928" t="s">
        <v>18</v>
      </c>
      <c r="D928" s="3">
        <v>42378</v>
      </c>
      <c r="E928">
        <v>36</v>
      </c>
      <c r="F928">
        <v>5</v>
      </c>
      <c r="G928">
        <v>20</v>
      </c>
      <c r="H928" t="s">
        <v>15</v>
      </c>
      <c r="I928">
        <v>279.77</v>
      </c>
      <c r="J928">
        <v>279.77</v>
      </c>
    </row>
    <row r="929" spans="1:10" x14ac:dyDescent="0.25">
      <c r="A929">
        <v>367</v>
      </c>
      <c r="B929">
        <v>65</v>
      </c>
      <c r="C929" t="s">
        <v>18</v>
      </c>
      <c r="D929" s="3">
        <v>65576</v>
      </c>
      <c r="E929">
        <v>91</v>
      </c>
      <c r="F929">
        <v>5</v>
      </c>
      <c r="G929">
        <v>12</v>
      </c>
      <c r="H929" t="s">
        <v>17</v>
      </c>
      <c r="I929">
        <v>782.55</v>
      </c>
      <c r="J929">
        <v>782.55</v>
      </c>
    </row>
    <row r="930" spans="1:10" x14ac:dyDescent="0.25">
      <c r="A930">
        <v>372</v>
      </c>
      <c r="B930">
        <v>39</v>
      </c>
      <c r="C930" t="s">
        <v>18</v>
      </c>
      <c r="D930" s="3">
        <v>53805</v>
      </c>
      <c r="E930">
        <v>71</v>
      </c>
      <c r="F930">
        <v>5</v>
      </c>
      <c r="G930">
        <v>16</v>
      </c>
      <c r="H930" t="s">
        <v>15</v>
      </c>
      <c r="I930">
        <v>372.03</v>
      </c>
      <c r="J930">
        <v>372.03</v>
      </c>
    </row>
    <row r="931" spans="1:10" x14ac:dyDescent="0.25">
      <c r="A931">
        <v>379</v>
      </c>
      <c r="B931">
        <v>41</v>
      </c>
      <c r="C931" t="s">
        <v>18</v>
      </c>
      <c r="D931" s="3">
        <v>30074</v>
      </c>
      <c r="E931">
        <v>95</v>
      </c>
      <c r="F931">
        <v>8</v>
      </c>
      <c r="G931">
        <v>19</v>
      </c>
      <c r="H931" t="s">
        <v>17</v>
      </c>
      <c r="I931">
        <v>78.819999999999993</v>
      </c>
      <c r="J931">
        <v>78.819999999999993</v>
      </c>
    </row>
    <row r="932" spans="1:10" x14ac:dyDescent="0.25">
      <c r="A932">
        <v>381</v>
      </c>
      <c r="B932">
        <v>67</v>
      </c>
      <c r="C932" t="s">
        <v>18</v>
      </c>
      <c r="D932" s="3">
        <v>104036</v>
      </c>
      <c r="E932">
        <v>56</v>
      </c>
      <c r="F932">
        <v>10</v>
      </c>
      <c r="G932">
        <v>37</v>
      </c>
      <c r="H932" t="s">
        <v>15</v>
      </c>
      <c r="I932">
        <v>998.98</v>
      </c>
      <c r="J932">
        <v>998.98</v>
      </c>
    </row>
    <row r="933" spans="1:10" x14ac:dyDescent="0.25">
      <c r="A933">
        <v>391</v>
      </c>
      <c r="B933">
        <v>67</v>
      </c>
      <c r="C933" t="s">
        <v>18</v>
      </c>
      <c r="D933" s="3">
        <v>101759</v>
      </c>
      <c r="E933">
        <v>57</v>
      </c>
      <c r="F933">
        <v>3</v>
      </c>
      <c r="G933">
        <v>19</v>
      </c>
      <c r="H933" t="s">
        <v>15</v>
      </c>
      <c r="I933">
        <v>670.51</v>
      </c>
      <c r="J933">
        <v>670.51</v>
      </c>
    </row>
    <row r="934" spans="1:10" x14ac:dyDescent="0.25">
      <c r="A934">
        <v>393</v>
      </c>
      <c r="B934">
        <v>55</v>
      </c>
      <c r="C934" t="s">
        <v>18</v>
      </c>
      <c r="D934" s="3">
        <v>127542</v>
      </c>
      <c r="E934">
        <v>79</v>
      </c>
      <c r="F934">
        <v>8</v>
      </c>
      <c r="G934">
        <v>12</v>
      </c>
      <c r="H934" t="s">
        <v>17</v>
      </c>
      <c r="I934">
        <v>632.6</v>
      </c>
      <c r="J934">
        <v>632.6</v>
      </c>
    </row>
    <row r="935" spans="1:10" x14ac:dyDescent="0.25">
      <c r="A935">
        <v>394</v>
      </c>
      <c r="B935">
        <v>69</v>
      </c>
      <c r="C935" t="s">
        <v>18</v>
      </c>
      <c r="D935" s="3">
        <v>74331</v>
      </c>
      <c r="E935">
        <v>83</v>
      </c>
      <c r="F935">
        <v>9</v>
      </c>
      <c r="G935">
        <v>11</v>
      </c>
      <c r="H935" t="s">
        <v>17</v>
      </c>
      <c r="I935">
        <v>341.63</v>
      </c>
      <c r="J935">
        <v>341.63</v>
      </c>
    </row>
    <row r="936" spans="1:10" x14ac:dyDescent="0.25">
      <c r="A936">
        <v>400</v>
      </c>
      <c r="B936">
        <v>41</v>
      </c>
      <c r="C936" t="s">
        <v>18</v>
      </c>
      <c r="D936" s="3">
        <v>147962</v>
      </c>
      <c r="E936">
        <v>90</v>
      </c>
      <c r="F936">
        <v>2</v>
      </c>
      <c r="G936">
        <v>9</v>
      </c>
      <c r="H936" t="s">
        <v>17</v>
      </c>
      <c r="I936">
        <v>688.61</v>
      </c>
      <c r="J936">
        <v>688.61</v>
      </c>
    </row>
    <row r="937" spans="1:10" x14ac:dyDescent="0.25">
      <c r="A937">
        <v>411</v>
      </c>
      <c r="B937">
        <v>43</v>
      </c>
      <c r="C937" t="s">
        <v>18</v>
      </c>
      <c r="D937" s="3">
        <v>89856</v>
      </c>
      <c r="E937">
        <v>96</v>
      </c>
      <c r="F937">
        <v>3</v>
      </c>
      <c r="G937">
        <v>2</v>
      </c>
      <c r="H937" t="s">
        <v>17</v>
      </c>
      <c r="I937">
        <v>114.47</v>
      </c>
      <c r="J937">
        <v>114.47</v>
      </c>
    </row>
    <row r="938" spans="1:10" x14ac:dyDescent="0.25">
      <c r="A938">
        <v>418</v>
      </c>
      <c r="B938">
        <v>51</v>
      </c>
      <c r="C938" t="s">
        <v>18</v>
      </c>
      <c r="D938" s="3">
        <v>97565</v>
      </c>
      <c r="E938">
        <v>48</v>
      </c>
      <c r="F938">
        <v>10</v>
      </c>
      <c r="G938">
        <v>31</v>
      </c>
      <c r="H938" t="s">
        <v>17</v>
      </c>
      <c r="I938">
        <v>656.9</v>
      </c>
      <c r="J938">
        <v>656.9</v>
      </c>
    </row>
    <row r="939" spans="1:10" x14ac:dyDescent="0.25">
      <c r="A939">
        <v>421</v>
      </c>
      <c r="B939">
        <v>46</v>
      </c>
      <c r="C939" t="s">
        <v>18</v>
      </c>
      <c r="D939" s="3">
        <v>90871</v>
      </c>
      <c r="E939">
        <v>56</v>
      </c>
      <c r="F939">
        <v>4</v>
      </c>
      <c r="G939">
        <v>39</v>
      </c>
      <c r="H939" t="s">
        <v>17</v>
      </c>
      <c r="I939">
        <v>592.97</v>
      </c>
      <c r="J939">
        <v>592.97</v>
      </c>
    </row>
    <row r="940" spans="1:10" x14ac:dyDescent="0.25">
      <c r="A940">
        <v>427</v>
      </c>
      <c r="B940">
        <v>47</v>
      </c>
      <c r="C940" t="s">
        <v>18</v>
      </c>
      <c r="D940" s="3">
        <v>49336</v>
      </c>
      <c r="E940">
        <v>11</v>
      </c>
      <c r="F940">
        <v>10</v>
      </c>
      <c r="G940">
        <v>11</v>
      </c>
      <c r="H940" t="s">
        <v>15</v>
      </c>
      <c r="I940">
        <v>877.17</v>
      </c>
      <c r="J940">
        <v>877.17</v>
      </c>
    </row>
    <row r="941" spans="1:10" x14ac:dyDescent="0.25">
      <c r="A941">
        <v>432</v>
      </c>
      <c r="B941">
        <v>29</v>
      </c>
      <c r="C941" t="s">
        <v>18</v>
      </c>
      <c r="D941" s="3">
        <v>133291</v>
      </c>
      <c r="E941">
        <v>52</v>
      </c>
      <c r="F941">
        <v>4</v>
      </c>
      <c r="G941">
        <v>42</v>
      </c>
      <c r="H941" t="s">
        <v>17</v>
      </c>
      <c r="I941">
        <v>916.28</v>
      </c>
      <c r="J941">
        <v>916.28</v>
      </c>
    </row>
    <row r="942" spans="1:10" x14ac:dyDescent="0.25">
      <c r="A942">
        <v>439</v>
      </c>
      <c r="B942">
        <v>63</v>
      </c>
      <c r="C942" t="s">
        <v>18</v>
      </c>
      <c r="D942" s="3">
        <v>118402</v>
      </c>
      <c r="E942">
        <v>74</v>
      </c>
      <c r="F942">
        <v>3</v>
      </c>
      <c r="G942">
        <v>12</v>
      </c>
      <c r="H942" t="s">
        <v>15</v>
      </c>
      <c r="I942">
        <v>828.04</v>
      </c>
      <c r="J942">
        <v>828.04</v>
      </c>
    </row>
    <row r="943" spans="1:10" x14ac:dyDescent="0.25">
      <c r="A943">
        <v>440</v>
      </c>
      <c r="B943">
        <v>23</v>
      </c>
      <c r="C943" t="s">
        <v>18</v>
      </c>
      <c r="D943" s="3">
        <v>130546</v>
      </c>
      <c r="E943">
        <v>71</v>
      </c>
      <c r="F943">
        <v>9</v>
      </c>
      <c r="G943">
        <v>36</v>
      </c>
      <c r="H943" t="s">
        <v>15</v>
      </c>
      <c r="I943">
        <v>799.33</v>
      </c>
      <c r="J943">
        <v>799.33</v>
      </c>
    </row>
    <row r="944" spans="1:10" x14ac:dyDescent="0.25">
      <c r="A944">
        <v>442</v>
      </c>
      <c r="B944">
        <v>26</v>
      </c>
      <c r="C944" t="s">
        <v>18</v>
      </c>
      <c r="D944" s="3">
        <v>84460</v>
      </c>
      <c r="E944">
        <v>45</v>
      </c>
      <c r="F944">
        <v>1</v>
      </c>
      <c r="G944">
        <v>33</v>
      </c>
      <c r="H944" t="s">
        <v>17</v>
      </c>
      <c r="I944">
        <v>219.67</v>
      </c>
      <c r="J944">
        <v>219.67</v>
      </c>
    </row>
    <row r="945" spans="1:10" x14ac:dyDescent="0.25">
      <c r="A945">
        <v>448</v>
      </c>
      <c r="B945">
        <v>31</v>
      </c>
      <c r="C945" t="s">
        <v>18</v>
      </c>
      <c r="D945" s="3">
        <v>46106</v>
      </c>
      <c r="E945">
        <v>72</v>
      </c>
      <c r="F945">
        <v>7</v>
      </c>
      <c r="G945">
        <v>2</v>
      </c>
      <c r="H945" t="s">
        <v>15</v>
      </c>
      <c r="I945">
        <v>59.82</v>
      </c>
      <c r="J945">
        <v>59.82</v>
      </c>
    </row>
    <row r="946" spans="1:10" x14ac:dyDescent="0.25">
      <c r="A946">
        <v>452</v>
      </c>
      <c r="B946">
        <v>45</v>
      </c>
      <c r="C946" t="s">
        <v>18</v>
      </c>
      <c r="D946" s="3">
        <v>93800</v>
      </c>
      <c r="E946">
        <v>33</v>
      </c>
      <c r="F946">
        <v>10</v>
      </c>
      <c r="G946">
        <v>32</v>
      </c>
      <c r="H946" t="s">
        <v>15</v>
      </c>
      <c r="I946">
        <v>391.45</v>
      </c>
      <c r="J946">
        <v>391.45</v>
      </c>
    </row>
    <row r="947" spans="1:10" x14ac:dyDescent="0.25">
      <c r="A947">
        <v>460</v>
      </c>
      <c r="B947">
        <v>55</v>
      </c>
      <c r="C947" t="s">
        <v>18</v>
      </c>
      <c r="D947" s="3">
        <v>105647</v>
      </c>
      <c r="E947">
        <v>94</v>
      </c>
      <c r="F947">
        <v>1</v>
      </c>
      <c r="G947">
        <v>14</v>
      </c>
      <c r="H947" t="s">
        <v>15</v>
      </c>
      <c r="I947">
        <v>737.91</v>
      </c>
      <c r="J947">
        <v>737.91</v>
      </c>
    </row>
    <row r="948" spans="1:10" x14ac:dyDescent="0.25">
      <c r="A948">
        <v>464</v>
      </c>
      <c r="B948">
        <v>65</v>
      </c>
      <c r="C948" t="s">
        <v>18</v>
      </c>
      <c r="D948" s="3">
        <v>138529</v>
      </c>
      <c r="E948">
        <v>87</v>
      </c>
      <c r="F948">
        <v>10</v>
      </c>
      <c r="G948">
        <v>14</v>
      </c>
      <c r="H948" t="s">
        <v>15</v>
      </c>
      <c r="I948">
        <v>461.61</v>
      </c>
      <c r="J948">
        <v>461.61</v>
      </c>
    </row>
    <row r="949" spans="1:10" x14ac:dyDescent="0.25">
      <c r="A949">
        <v>465</v>
      </c>
      <c r="B949">
        <v>54</v>
      </c>
      <c r="C949" t="s">
        <v>18</v>
      </c>
      <c r="D949" s="3">
        <v>40858</v>
      </c>
      <c r="E949">
        <v>48</v>
      </c>
      <c r="F949">
        <v>6</v>
      </c>
      <c r="G949">
        <v>20</v>
      </c>
      <c r="H949" t="s">
        <v>17</v>
      </c>
      <c r="I949">
        <v>34.880000000000003</v>
      </c>
      <c r="J949">
        <v>34.880000000000003</v>
      </c>
    </row>
    <row r="950" spans="1:10" x14ac:dyDescent="0.25">
      <c r="A950">
        <v>480</v>
      </c>
      <c r="B950">
        <v>19</v>
      </c>
      <c r="C950" t="s">
        <v>18</v>
      </c>
      <c r="D950" s="3">
        <v>35529</v>
      </c>
      <c r="E950">
        <v>62</v>
      </c>
      <c r="F950">
        <v>4</v>
      </c>
      <c r="G950">
        <v>24</v>
      </c>
      <c r="H950" t="s">
        <v>17</v>
      </c>
      <c r="I950">
        <v>177.69</v>
      </c>
      <c r="J950">
        <v>177.69</v>
      </c>
    </row>
    <row r="951" spans="1:10" x14ac:dyDescent="0.25">
      <c r="A951">
        <v>490</v>
      </c>
      <c r="B951">
        <v>19</v>
      </c>
      <c r="C951" t="s">
        <v>18</v>
      </c>
      <c r="D951" s="3">
        <v>113254</v>
      </c>
      <c r="E951">
        <v>38</v>
      </c>
      <c r="F951">
        <v>5</v>
      </c>
      <c r="G951">
        <v>35</v>
      </c>
      <c r="H951" t="s">
        <v>17</v>
      </c>
      <c r="I951">
        <v>633.5</v>
      </c>
      <c r="J951">
        <v>633.5</v>
      </c>
    </row>
    <row r="952" spans="1:10" x14ac:dyDescent="0.25">
      <c r="A952">
        <v>493</v>
      </c>
      <c r="B952">
        <v>51</v>
      </c>
      <c r="C952" t="s">
        <v>18</v>
      </c>
      <c r="D952" s="3">
        <v>120616</v>
      </c>
      <c r="E952">
        <v>71</v>
      </c>
      <c r="F952">
        <v>1</v>
      </c>
      <c r="G952">
        <v>16</v>
      </c>
      <c r="H952" t="s">
        <v>17</v>
      </c>
      <c r="I952">
        <v>542.03</v>
      </c>
      <c r="J952">
        <v>542.03</v>
      </c>
    </row>
    <row r="953" spans="1:10" x14ac:dyDescent="0.25">
      <c r="A953">
        <v>496</v>
      </c>
      <c r="B953">
        <v>33</v>
      </c>
      <c r="C953" t="s">
        <v>18</v>
      </c>
      <c r="D953" s="3">
        <v>65486</v>
      </c>
      <c r="E953">
        <v>76</v>
      </c>
      <c r="F953">
        <v>2</v>
      </c>
      <c r="G953">
        <v>11</v>
      </c>
      <c r="H953" t="s">
        <v>15</v>
      </c>
      <c r="I953">
        <v>302.05</v>
      </c>
      <c r="J953">
        <v>302.05</v>
      </c>
    </row>
    <row r="954" spans="1:10" x14ac:dyDescent="0.25">
      <c r="A954">
        <v>519</v>
      </c>
      <c r="B954">
        <v>45</v>
      </c>
      <c r="C954" t="s">
        <v>18</v>
      </c>
      <c r="D954" s="3">
        <v>67753</v>
      </c>
      <c r="E954">
        <v>64</v>
      </c>
      <c r="F954">
        <v>4</v>
      </c>
      <c r="G954">
        <v>48</v>
      </c>
      <c r="H954" t="s">
        <v>15</v>
      </c>
      <c r="I954">
        <v>926.69</v>
      </c>
      <c r="J954">
        <v>926.69</v>
      </c>
    </row>
    <row r="955" spans="1:10" x14ac:dyDescent="0.25">
      <c r="A955">
        <v>525</v>
      </c>
      <c r="B955">
        <v>33</v>
      </c>
      <c r="C955" t="s">
        <v>18</v>
      </c>
      <c r="D955" s="3">
        <v>90232</v>
      </c>
      <c r="E955">
        <v>19</v>
      </c>
      <c r="F955">
        <v>2</v>
      </c>
      <c r="G955">
        <v>8</v>
      </c>
      <c r="H955" t="s">
        <v>17</v>
      </c>
      <c r="I955">
        <v>255.08</v>
      </c>
      <c r="J955">
        <v>255.08</v>
      </c>
    </row>
    <row r="956" spans="1:10" x14ac:dyDescent="0.25">
      <c r="A956">
        <v>527</v>
      </c>
      <c r="B956">
        <v>62</v>
      </c>
      <c r="C956" t="s">
        <v>18</v>
      </c>
      <c r="D956" s="3">
        <v>117704</v>
      </c>
      <c r="E956">
        <v>37</v>
      </c>
      <c r="F956">
        <v>3</v>
      </c>
      <c r="G956">
        <v>48</v>
      </c>
      <c r="H956" t="s">
        <v>15</v>
      </c>
      <c r="I956">
        <v>112.11</v>
      </c>
      <c r="J956">
        <v>112.11</v>
      </c>
    </row>
    <row r="957" spans="1:10" x14ac:dyDescent="0.25">
      <c r="A957">
        <v>528</v>
      </c>
      <c r="B957">
        <v>23</v>
      </c>
      <c r="C957" t="s">
        <v>18</v>
      </c>
      <c r="D957" s="3">
        <v>144577</v>
      </c>
      <c r="E957">
        <v>75</v>
      </c>
      <c r="F957">
        <v>1</v>
      </c>
      <c r="G957">
        <v>9</v>
      </c>
      <c r="H957" t="s">
        <v>17</v>
      </c>
      <c r="I957">
        <v>826.02</v>
      </c>
      <c r="J957">
        <v>826.02</v>
      </c>
    </row>
    <row r="958" spans="1:10" x14ac:dyDescent="0.25">
      <c r="A958">
        <v>536</v>
      </c>
      <c r="B958">
        <v>62</v>
      </c>
      <c r="C958" t="s">
        <v>18</v>
      </c>
      <c r="D958" s="3">
        <v>74474</v>
      </c>
      <c r="E958">
        <v>49</v>
      </c>
      <c r="F958">
        <v>2</v>
      </c>
      <c r="G958">
        <v>18</v>
      </c>
      <c r="H958" t="s">
        <v>15</v>
      </c>
      <c r="I958">
        <v>933.65</v>
      </c>
      <c r="J958">
        <v>933.65</v>
      </c>
    </row>
    <row r="959" spans="1:10" x14ac:dyDescent="0.25">
      <c r="A959">
        <v>544</v>
      </c>
      <c r="B959">
        <v>66</v>
      </c>
      <c r="C959" t="s">
        <v>18</v>
      </c>
      <c r="D959" s="3">
        <v>126893</v>
      </c>
      <c r="E959">
        <v>3</v>
      </c>
      <c r="F959">
        <v>1</v>
      </c>
      <c r="G959">
        <v>32</v>
      </c>
      <c r="H959" t="s">
        <v>17</v>
      </c>
      <c r="I959">
        <v>199.17</v>
      </c>
      <c r="J959">
        <v>199.17</v>
      </c>
    </row>
    <row r="960" spans="1:10" x14ac:dyDescent="0.25">
      <c r="A960">
        <v>545</v>
      </c>
      <c r="B960">
        <v>23</v>
      </c>
      <c r="C960" t="s">
        <v>18</v>
      </c>
      <c r="D960" s="3">
        <v>123168</v>
      </c>
      <c r="E960">
        <v>80</v>
      </c>
      <c r="F960">
        <v>4</v>
      </c>
      <c r="G960">
        <v>19</v>
      </c>
      <c r="H960" t="s">
        <v>17</v>
      </c>
      <c r="I960">
        <v>860.95</v>
      </c>
      <c r="J960">
        <v>860.95</v>
      </c>
    </row>
    <row r="961" spans="1:10" x14ac:dyDescent="0.25">
      <c r="A961">
        <v>585</v>
      </c>
      <c r="B961">
        <v>51</v>
      </c>
      <c r="C961" t="s">
        <v>18</v>
      </c>
      <c r="D961" s="3">
        <v>37310</v>
      </c>
      <c r="E961">
        <v>6</v>
      </c>
      <c r="F961">
        <v>5</v>
      </c>
      <c r="G961">
        <v>14</v>
      </c>
      <c r="H961" t="s">
        <v>15</v>
      </c>
      <c r="I961">
        <v>706.18</v>
      </c>
      <c r="J961">
        <v>706.18</v>
      </c>
    </row>
    <row r="962" spans="1:10" x14ac:dyDescent="0.25">
      <c r="A962">
        <v>593</v>
      </c>
      <c r="B962">
        <v>62</v>
      </c>
      <c r="C962" t="s">
        <v>18</v>
      </c>
      <c r="D962" s="3">
        <v>148501</v>
      </c>
      <c r="E962">
        <v>41</v>
      </c>
      <c r="F962">
        <v>9</v>
      </c>
      <c r="G962">
        <v>32</v>
      </c>
      <c r="H962" t="s">
        <v>15</v>
      </c>
      <c r="I962">
        <v>980.47</v>
      </c>
      <c r="J962">
        <v>980.47</v>
      </c>
    </row>
    <row r="963" spans="1:10" x14ac:dyDescent="0.25">
      <c r="A963">
        <v>603</v>
      </c>
      <c r="B963">
        <v>33</v>
      </c>
      <c r="C963" t="s">
        <v>18</v>
      </c>
      <c r="D963" s="3">
        <v>53219</v>
      </c>
      <c r="E963">
        <v>33</v>
      </c>
      <c r="F963">
        <v>4</v>
      </c>
      <c r="G963">
        <v>47</v>
      </c>
      <c r="H963" t="s">
        <v>17</v>
      </c>
      <c r="I963">
        <v>251.23</v>
      </c>
      <c r="J963">
        <v>251.23</v>
      </c>
    </row>
    <row r="964" spans="1:10" x14ac:dyDescent="0.25">
      <c r="A964">
        <v>614</v>
      </c>
      <c r="B964">
        <v>64</v>
      </c>
      <c r="C964" t="s">
        <v>18</v>
      </c>
      <c r="D964" s="3">
        <v>116106</v>
      </c>
      <c r="E964">
        <v>5</v>
      </c>
      <c r="F964">
        <v>1</v>
      </c>
      <c r="G964">
        <v>5</v>
      </c>
      <c r="H964" t="s">
        <v>17</v>
      </c>
      <c r="I964">
        <v>25.86</v>
      </c>
      <c r="J964">
        <v>25.86</v>
      </c>
    </row>
    <row r="965" spans="1:10" x14ac:dyDescent="0.25">
      <c r="A965">
        <v>623</v>
      </c>
      <c r="B965">
        <v>30</v>
      </c>
      <c r="C965" t="s">
        <v>18</v>
      </c>
      <c r="D965" s="3">
        <v>97829</v>
      </c>
      <c r="E965">
        <v>99</v>
      </c>
      <c r="F965">
        <v>4</v>
      </c>
      <c r="G965">
        <v>27</v>
      </c>
      <c r="H965" t="s">
        <v>17</v>
      </c>
      <c r="I965">
        <v>320.95</v>
      </c>
      <c r="J965">
        <v>320.95</v>
      </c>
    </row>
    <row r="966" spans="1:10" x14ac:dyDescent="0.25">
      <c r="A966">
        <v>632</v>
      </c>
      <c r="B966">
        <v>29</v>
      </c>
      <c r="C966" t="s">
        <v>18</v>
      </c>
      <c r="D966" s="3">
        <v>72125</v>
      </c>
      <c r="E966">
        <v>41</v>
      </c>
      <c r="F966">
        <v>5</v>
      </c>
      <c r="G966">
        <v>31</v>
      </c>
      <c r="H966" t="s">
        <v>15</v>
      </c>
      <c r="I966">
        <v>507.62</v>
      </c>
      <c r="J966">
        <v>507.62</v>
      </c>
    </row>
    <row r="967" spans="1:10" x14ac:dyDescent="0.25">
      <c r="A967">
        <v>636</v>
      </c>
      <c r="B967">
        <v>24</v>
      </c>
      <c r="C967" t="s">
        <v>18</v>
      </c>
      <c r="D967" s="3">
        <v>93266</v>
      </c>
      <c r="E967">
        <v>20</v>
      </c>
      <c r="F967">
        <v>1</v>
      </c>
      <c r="G967">
        <v>4</v>
      </c>
      <c r="H967" t="s">
        <v>17</v>
      </c>
      <c r="I967">
        <v>636.29</v>
      </c>
      <c r="J967">
        <v>636.29</v>
      </c>
    </row>
    <row r="968" spans="1:10" x14ac:dyDescent="0.25">
      <c r="A968">
        <v>643</v>
      </c>
      <c r="B968">
        <v>64</v>
      </c>
      <c r="C968" t="s">
        <v>18</v>
      </c>
      <c r="D968" s="3">
        <v>92888</v>
      </c>
      <c r="E968">
        <v>2</v>
      </c>
      <c r="F968">
        <v>7</v>
      </c>
      <c r="G968">
        <v>50</v>
      </c>
      <c r="H968" t="s">
        <v>15</v>
      </c>
      <c r="I968">
        <v>84.98</v>
      </c>
      <c r="J968">
        <v>84.98</v>
      </c>
    </row>
    <row r="969" spans="1:10" x14ac:dyDescent="0.25">
      <c r="A969">
        <v>660</v>
      </c>
      <c r="B969">
        <v>54</v>
      </c>
      <c r="C969" t="s">
        <v>18</v>
      </c>
      <c r="D969" s="3">
        <v>89035</v>
      </c>
      <c r="E969">
        <v>14</v>
      </c>
      <c r="F969">
        <v>4</v>
      </c>
      <c r="G969">
        <v>11</v>
      </c>
      <c r="H969" t="s">
        <v>15</v>
      </c>
      <c r="I969">
        <v>138.81</v>
      </c>
      <c r="J969">
        <v>138.81</v>
      </c>
    </row>
    <row r="970" spans="1:10" x14ac:dyDescent="0.25">
      <c r="A970">
        <v>661</v>
      </c>
      <c r="B970">
        <v>69</v>
      </c>
      <c r="C970" t="s">
        <v>18</v>
      </c>
      <c r="D970" s="3">
        <v>34122</v>
      </c>
      <c r="E970">
        <v>50</v>
      </c>
      <c r="F970">
        <v>4</v>
      </c>
      <c r="G970">
        <v>27</v>
      </c>
      <c r="H970" t="s">
        <v>15</v>
      </c>
      <c r="I970">
        <v>758.44</v>
      </c>
      <c r="J970">
        <v>758.44</v>
      </c>
    </row>
    <row r="971" spans="1:10" x14ac:dyDescent="0.25">
      <c r="A971">
        <v>667</v>
      </c>
      <c r="B971">
        <v>29</v>
      </c>
      <c r="C971" t="s">
        <v>18</v>
      </c>
      <c r="D971" s="3">
        <v>135394</v>
      </c>
      <c r="E971">
        <v>53</v>
      </c>
      <c r="F971">
        <v>9</v>
      </c>
      <c r="G971">
        <v>36</v>
      </c>
      <c r="H971" t="s">
        <v>17</v>
      </c>
      <c r="I971">
        <v>30.13</v>
      </c>
      <c r="J971">
        <v>30.13</v>
      </c>
    </row>
    <row r="972" spans="1:10" x14ac:dyDescent="0.25">
      <c r="A972">
        <v>668</v>
      </c>
      <c r="B972">
        <v>27</v>
      </c>
      <c r="C972" t="s">
        <v>18</v>
      </c>
      <c r="D972" s="3">
        <v>48576</v>
      </c>
      <c r="E972">
        <v>29</v>
      </c>
      <c r="F972">
        <v>7</v>
      </c>
      <c r="G972">
        <v>29</v>
      </c>
      <c r="H972" t="s">
        <v>15</v>
      </c>
      <c r="I972">
        <v>976.83</v>
      </c>
      <c r="J972">
        <v>976.83</v>
      </c>
    </row>
    <row r="973" spans="1:10" x14ac:dyDescent="0.25">
      <c r="A973">
        <v>673</v>
      </c>
      <c r="B973">
        <v>47</v>
      </c>
      <c r="C973" t="s">
        <v>18</v>
      </c>
      <c r="D973" s="3">
        <v>40790</v>
      </c>
      <c r="E973">
        <v>36</v>
      </c>
      <c r="F973">
        <v>1</v>
      </c>
      <c r="G973">
        <v>4</v>
      </c>
      <c r="H973" t="s">
        <v>17</v>
      </c>
      <c r="I973">
        <v>913.84</v>
      </c>
      <c r="J973">
        <v>913.84</v>
      </c>
    </row>
    <row r="974" spans="1:10" x14ac:dyDescent="0.25">
      <c r="A974">
        <v>679</v>
      </c>
      <c r="B974">
        <v>46</v>
      </c>
      <c r="C974" t="s">
        <v>18</v>
      </c>
      <c r="D974" s="3">
        <v>112770</v>
      </c>
      <c r="E974">
        <v>6</v>
      </c>
      <c r="F974">
        <v>10</v>
      </c>
      <c r="G974">
        <v>27</v>
      </c>
      <c r="H974" t="s">
        <v>15</v>
      </c>
      <c r="I974">
        <v>559.73</v>
      </c>
      <c r="J974">
        <v>559.73</v>
      </c>
    </row>
    <row r="975" spans="1:10" x14ac:dyDescent="0.25">
      <c r="A975">
        <v>690</v>
      </c>
      <c r="B975">
        <v>39</v>
      </c>
      <c r="C975" t="s">
        <v>18</v>
      </c>
      <c r="D975" s="3">
        <v>141586</v>
      </c>
      <c r="E975">
        <v>50</v>
      </c>
      <c r="F975">
        <v>4</v>
      </c>
      <c r="G975">
        <v>46</v>
      </c>
      <c r="H975" t="s">
        <v>17</v>
      </c>
      <c r="I975">
        <v>659.67</v>
      </c>
      <c r="J975">
        <v>659.67</v>
      </c>
    </row>
    <row r="976" spans="1:10" x14ac:dyDescent="0.25">
      <c r="A976">
        <v>697</v>
      </c>
      <c r="B976">
        <v>36</v>
      </c>
      <c r="C976" t="s">
        <v>18</v>
      </c>
      <c r="D976" s="3">
        <v>114281</v>
      </c>
      <c r="E976">
        <v>99</v>
      </c>
      <c r="F976">
        <v>7</v>
      </c>
      <c r="G976">
        <v>6</v>
      </c>
      <c r="H976" t="s">
        <v>15</v>
      </c>
      <c r="I976">
        <v>217.78</v>
      </c>
      <c r="J976">
        <v>217.78</v>
      </c>
    </row>
    <row r="977" spans="1:10" x14ac:dyDescent="0.25">
      <c r="A977">
        <v>704</v>
      </c>
      <c r="B977">
        <v>52</v>
      </c>
      <c r="C977" t="s">
        <v>18</v>
      </c>
      <c r="D977" s="3">
        <v>58805</v>
      </c>
      <c r="E977">
        <v>14</v>
      </c>
      <c r="F977">
        <v>2</v>
      </c>
      <c r="G977">
        <v>47</v>
      </c>
      <c r="H977" t="s">
        <v>15</v>
      </c>
      <c r="I977">
        <v>104.35</v>
      </c>
      <c r="J977">
        <v>104.35</v>
      </c>
    </row>
    <row r="978" spans="1:10" x14ac:dyDescent="0.25">
      <c r="A978">
        <v>706</v>
      </c>
      <c r="B978">
        <v>29</v>
      </c>
      <c r="C978" t="s">
        <v>18</v>
      </c>
      <c r="D978" s="3">
        <v>102972</v>
      </c>
      <c r="E978">
        <v>68</v>
      </c>
      <c r="F978">
        <v>3</v>
      </c>
      <c r="G978">
        <v>39</v>
      </c>
      <c r="H978" t="s">
        <v>17</v>
      </c>
      <c r="I978">
        <v>258.08999999999997</v>
      </c>
      <c r="J978">
        <v>258.08999999999997</v>
      </c>
    </row>
    <row r="979" spans="1:10" x14ac:dyDescent="0.25">
      <c r="A979">
        <v>707</v>
      </c>
      <c r="B979">
        <v>47</v>
      </c>
      <c r="C979" t="s">
        <v>18</v>
      </c>
      <c r="D979" s="3">
        <v>128439</v>
      </c>
      <c r="E979">
        <v>42</v>
      </c>
      <c r="F979">
        <v>5</v>
      </c>
      <c r="G979">
        <v>22</v>
      </c>
      <c r="H979" t="s">
        <v>15</v>
      </c>
      <c r="I979">
        <v>219.02</v>
      </c>
      <c r="J979">
        <v>219.02</v>
      </c>
    </row>
    <row r="980" spans="1:10" x14ac:dyDescent="0.25">
      <c r="A980">
        <v>709</v>
      </c>
      <c r="B980">
        <v>44</v>
      </c>
      <c r="C980" t="s">
        <v>18</v>
      </c>
      <c r="D980" s="3">
        <v>118123</v>
      </c>
      <c r="E980">
        <v>40</v>
      </c>
      <c r="F980">
        <v>8</v>
      </c>
      <c r="G980">
        <v>31</v>
      </c>
      <c r="H980" t="s">
        <v>17</v>
      </c>
      <c r="I980">
        <v>140.52000000000001</v>
      </c>
      <c r="J980">
        <v>140.52000000000001</v>
      </c>
    </row>
    <row r="981" spans="1:10" x14ac:dyDescent="0.25">
      <c r="A981">
        <v>716</v>
      </c>
      <c r="B981">
        <v>48</v>
      </c>
      <c r="C981" t="s">
        <v>18</v>
      </c>
      <c r="D981" s="3">
        <v>74273</v>
      </c>
      <c r="E981">
        <v>23</v>
      </c>
      <c r="F981">
        <v>10</v>
      </c>
      <c r="G981">
        <v>46</v>
      </c>
      <c r="H981" t="s">
        <v>15</v>
      </c>
      <c r="I981">
        <v>626.27</v>
      </c>
      <c r="J981">
        <v>626.27</v>
      </c>
    </row>
    <row r="982" spans="1:10" x14ac:dyDescent="0.25">
      <c r="A982">
        <v>719</v>
      </c>
      <c r="B982">
        <v>21</v>
      </c>
      <c r="C982" t="s">
        <v>18</v>
      </c>
      <c r="D982" s="3">
        <v>119226</v>
      </c>
      <c r="E982">
        <v>21</v>
      </c>
      <c r="F982">
        <v>8</v>
      </c>
      <c r="G982">
        <v>50</v>
      </c>
      <c r="H982" t="s">
        <v>15</v>
      </c>
      <c r="I982">
        <v>772.63</v>
      </c>
      <c r="J982">
        <v>772.63</v>
      </c>
    </row>
    <row r="983" spans="1:10" x14ac:dyDescent="0.25">
      <c r="A983">
        <v>725</v>
      </c>
      <c r="B983">
        <v>48</v>
      </c>
      <c r="C983" t="s">
        <v>18</v>
      </c>
      <c r="D983" s="3">
        <v>108563</v>
      </c>
      <c r="E983">
        <v>3</v>
      </c>
      <c r="F983">
        <v>8</v>
      </c>
      <c r="G983">
        <v>39</v>
      </c>
      <c r="H983" t="s">
        <v>17</v>
      </c>
      <c r="I983">
        <v>15.72</v>
      </c>
      <c r="J983">
        <v>15.72</v>
      </c>
    </row>
    <row r="984" spans="1:10" x14ac:dyDescent="0.25">
      <c r="A984">
        <v>736</v>
      </c>
      <c r="B984">
        <v>52</v>
      </c>
      <c r="C984" t="s">
        <v>18</v>
      </c>
      <c r="D984" s="3">
        <v>130875</v>
      </c>
      <c r="E984">
        <v>76</v>
      </c>
      <c r="F984">
        <v>10</v>
      </c>
      <c r="G984">
        <v>14</v>
      </c>
      <c r="H984" t="s">
        <v>17</v>
      </c>
      <c r="I984">
        <v>979.39</v>
      </c>
      <c r="J984">
        <v>979.39</v>
      </c>
    </row>
    <row r="985" spans="1:10" x14ac:dyDescent="0.25">
      <c r="A985">
        <v>764</v>
      </c>
      <c r="B985">
        <v>61</v>
      </c>
      <c r="C985" t="s">
        <v>18</v>
      </c>
      <c r="D985" s="3">
        <v>116123</v>
      </c>
      <c r="E985">
        <v>96</v>
      </c>
      <c r="F985">
        <v>2</v>
      </c>
      <c r="G985">
        <v>27</v>
      </c>
      <c r="H985" t="s">
        <v>15</v>
      </c>
      <c r="I985">
        <v>844.95</v>
      </c>
      <c r="J985">
        <v>844.95</v>
      </c>
    </row>
    <row r="986" spans="1:10" x14ac:dyDescent="0.25">
      <c r="A986">
        <v>772</v>
      </c>
      <c r="B986">
        <v>26</v>
      </c>
      <c r="C986" t="s">
        <v>18</v>
      </c>
      <c r="D986" s="3">
        <v>79842</v>
      </c>
      <c r="E986">
        <v>78</v>
      </c>
      <c r="F986">
        <v>9</v>
      </c>
      <c r="G986">
        <v>5</v>
      </c>
      <c r="H986" t="s">
        <v>17</v>
      </c>
      <c r="I986">
        <v>557.41</v>
      </c>
      <c r="J986">
        <v>557.41</v>
      </c>
    </row>
    <row r="987" spans="1:10" x14ac:dyDescent="0.25">
      <c r="A987">
        <v>778</v>
      </c>
      <c r="B987">
        <v>46</v>
      </c>
      <c r="C987" t="s">
        <v>18</v>
      </c>
      <c r="D987" s="3">
        <v>78023</v>
      </c>
      <c r="E987">
        <v>83</v>
      </c>
      <c r="F987">
        <v>7</v>
      </c>
      <c r="G987">
        <v>28</v>
      </c>
      <c r="H987" t="s">
        <v>15</v>
      </c>
      <c r="I987">
        <v>270.14999999999998</v>
      </c>
      <c r="J987">
        <v>270.14999999999998</v>
      </c>
    </row>
    <row r="988" spans="1:10" x14ac:dyDescent="0.25">
      <c r="A988">
        <v>789</v>
      </c>
      <c r="B988">
        <v>25</v>
      </c>
      <c r="C988" t="s">
        <v>18</v>
      </c>
      <c r="D988" s="3">
        <v>52575</v>
      </c>
      <c r="E988">
        <v>77</v>
      </c>
      <c r="F988">
        <v>5</v>
      </c>
      <c r="G988">
        <v>13</v>
      </c>
      <c r="H988" t="s">
        <v>17</v>
      </c>
      <c r="I988">
        <v>112.22</v>
      </c>
      <c r="J988">
        <v>112.22</v>
      </c>
    </row>
    <row r="989" spans="1:10" x14ac:dyDescent="0.25">
      <c r="A989">
        <v>805</v>
      </c>
      <c r="B989">
        <v>51</v>
      </c>
      <c r="C989" t="s">
        <v>18</v>
      </c>
      <c r="D989" s="3">
        <v>97660</v>
      </c>
      <c r="E989">
        <v>3</v>
      </c>
      <c r="F989">
        <v>7</v>
      </c>
      <c r="G989">
        <v>30</v>
      </c>
      <c r="H989" t="s">
        <v>15</v>
      </c>
      <c r="I989">
        <v>145.66</v>
      </c>
      <c r="J989">
        <v>145.66</v>
      </c>
    </row>
    <row r="990" spans="1:10" x14ac:dyDescent="0.25">
      <c r="A990">
        <v>833</v>
      </c>
      <c r="B990">
        <v>43</v>
      </c>
      <c r="C990" t="s">
        <v>18</v>
      </c>
      <c r="D990" s="3">
        <v>85487</v>
      </c>
      <c r="E990">
        <v>71</v>
      </c>
      <c r="F990">
        <v>7</v>
      </c>
      <c r="G990">
        <v>49</v>
      </c>
      <c r="H990" t="s">
        <v>15</v>
      </c>
      <c r="I990">
        <v>625.26</v>
      </c>
      <c r="J990">
        <v>625.26</v>
      </c>
    </row>
    <row r="991" spans="1:10" x14ac:dyDescent="0.25">
      <c r="A991">
        <v>842</v>
      </c>
      <c r="B991">
        <v>33</v>
      </c>
      <c r="C991" t="s">
        <v>18</v>
      </c>
      <c r="D991" s="3">
        <v>96916</v>
      </c>
      <c r="E991">
        <v>23</v>
      </c>
      <c r="F991">
        <v>6</v>
      </c>
      <c r="G991">
        <v>12</v>
      </c>
      <c r="H991" t="s">
        <v>15</v>
      </c>
      <c r="I991">
        <v>373.49</v>
      </c>
      <c r="J991">
        <v>373.49</v>
      </c>
    </row>
    <row r="992" spans="1:10" x14ac:dyDescent="0.25">
      <c r="A992">
        <v>849</v>
      </c>
      <c r="B992">
        <v>56</v>
      </c>
      <c r="C992" t="s">
        <v>18</v>
      </c>
      <c r="D992" s="3">
        <v>86142</v>
      </c>
      <c r="E992">
        <v>87</v>
      </c>
      <c r="F992">
        <v>7</v>
      </c>
      <c r="G992">
        <v>8</v>
      </c>
      <c r="H992" t="s">
        <v>15</v>
      </c>
      <c r="I992">
        <v>291.95999999999998</v>
      </c>
      <c r="J992">
        <v>291.95999999999998</v>
      </c>
    </row>
    <row r="993" spans="1:10" x14ac:dyDescent="0.25">
      <c r="A993">
        <v>850</v>
      </c>
      <c r="B993">
        <v>48</v>
      </c>
      <c r="C993" t="s">
        <v>18</v>
      </c>
      <c r="D993" s="3">
        <v>126398</v>
      </c>
      <c r="E993">
        <v>19</v>
      </c>
      <c r="F993">
        <v>1</v>
      </c>
      <c r="G993">
        <v>18</v>
      </c>
      <c r="H993" t="s">
        <v>17</v>
      </c>
      <c r="I993">
        <v>311.08</v>
      </c>
      <c r="J993">
        <v>311.08</v>
      </c>
    </row>
    <row r="994" spans="1:10" x14ac:dyDescent="0.25">
      <c r="A994">
        <v>873</v>
      </c>
      <c r="B994">
        <v>42</v>
      </c>
      <c r="C994" t="s">
        <v>18</v>
      </c>
      <c r="D994" s="3">
        <v>127546</v>
      </c>
      <c r="E994">
        <v>54</v>
      </c>
      <c r="F994">
        <v>1</v>
      </c>
      <c r="G994">
        <v>31</v>
      </c>
      <c r="H994" t="s">
        <v>17</v>
      </c>
      <c r="I994">
        <v>484.72</v>
      </c>
      <c r="J994">
        <v>484.72</v>
      </c>
    </row>
    <row r="995" spans="1:10" x14ac:dyDescent="0.25">
      <c r="A995">
        <v>884</v>
      </c>
      <c r="B995">
        <v>50</v>
      </c>
      <c r="C995" t="s">
        <v>18</v>
      </c>
      <c r="D995" s="3">
        <v>59695</v>
      </c>
      <c r="E995">
        <v>70</v>
      </c>
      <c r="F995">
        <v>5</v>
      </c>
      <c r="G995">
        <v>6</v>
      </c>
      <c r="H995" t="s">
        <v>17</v>
      </c>
      <c r="I995">
        <v>241.99</v>
      </c>
      <c r="J995">
        <v>241.99</v>
      </c>
    </row>
    <row r="996" spans="1:10" x14ac:dyDescent="0.25">
      <c r="A996">
        <v>958</v>
      </c>
      <c r="B996">
        <v>26</v>
      </c>
      <c r="C996" t="s">
        <v>18</v>
      </c>
      <c r="D996" s="3">
        <v>41126</v>
      </c>
      <c r="E996">
        <v>37</v>
      </c>
      <c r="F996">
        <v>9</v>
      </c>
      <c r="G996">
        <v>44</v>
      </c>
      <c r="H996" t="s">
        <v>17</v>
      </c>
      <c r="I996">
        <v>100.64</v>
      </c>
      <c r="J996">
        <v>100.64</v>
      </c>
    </row>
    <row r="997" spans="1:10" x14ac:dyDescent="0.25">
      <c r="A997">
        <v>960</v>
      </c>
      <c r="B997">
        <v>61</v>
      </c>
      <c r="C997" t="s">
        <v>18</v>
      </c>
      <c r="D997" s="3">
        <v>50349</v>
      </c>
      <c r="E997">
        <v>76</v>
      </c>
      <c r="F997">
        <v>9</v>
      </c>
      <c r="G997">
        <v>42</v>
      </c>
      <c r="H997" t="s">
        <v>17</v>
      </c>
      <c r="I997">
        <v>957.5</v>
      </c>
      <c r="J997">
        <v>957.5</v>
      </c>
    </row>
    <row r="998" spans="1:10" x14ac:dyDescent="0.25">
      <c r="A998">
        <v>967</v>
      </c>
      <c r="B998">
        <v>46</v>
      </c>
      <c r="C998" t="s">
        <v>18</v>
      </c>
      <c r="D998" s="3">
        <v>67361</v>
      </c>
      <c r="E998">
        <v>80</v>
      </c>
      <c r="F998">
        <v>6</v>
      </c>
      <c r="G998">
        <v>25</v>
      </c>
      <c r="H998" t="s">
        <v>15</v>
      </c>
      <c r="I998">
        <v>350.08</v>
      </c>
      <c r="J998">
        <v>350.08</v>
      </c>
    </row>
    <row r="999" spans="1:10" x14ac:dyDescent="0.25">
      <c r="A999">
        <v>978</v>
      </c>
      <c r="B999">
        <v>45</v>
      </c>
      <c r="C999" t="s">
        <v>18</v>
      </c>
      <c r="D999" s="3">
        <v>91381</v>
      </c>
      <c r="E999">
        <v>48</v>
      </c>
      <c r="F999">
        <v>8</v>
      </c>
      <c r="G999">
        <v>16</v>
      </c>
      <c r="H999" t="s">
        <v>15</v>
      </c>
      <c r="I999">
        <v>253.13</v>
      </c>
      <c r="J999">
        <v>253.13</v>
      </c>
    </row>
    <row r="1000" spans="1:10" x14ac:dyDescent="0.25">
      <c r="A1000">
        <v>979</v>
      </c>
      <c r="B1000">
        <v>66</v>
      </c>
      <c r="C1000" t="s">
        <v>18</v>
      </c>
      <c r="D1000" s="3">
        <v>74055</v>
      </c>
      <c r="E1000">
        <v>100</v>
      </c>
      <c r="F1000">
        <v>6</v>
      </c>
      <c r="G1000">
        <v>17</v>
      </c>
      <c r="H1000" t="s">
        <v>15</v>
      </c>
      <c r="I1000">
        <v>318.7</v>
      </c>
      <c r="J1000">
        <v>318.7</v>
      </c>
    </row>
    <row r="1001" spans="1:10" x14ac:dyDescent="0.25">
      <c r="A1001">
        <v>980</v>
      </c>
      <c r="B1001">
        <v>45</v>
      </c>
      <c r="C1001" t="s">
        <v>18</v>
      </c>
      <c r="D1001" s="3">
        <v>135047</v>
      </c>
      <c r="E1001">
        <v>11</v>
      </c>
      <c r="F1001">
        <v>9</v>
      </c>
      <c r="G1001">
        <v>42</v>
      </c>
      <c r="H1001" t="s">
        <v>17</v>
      </c>
      <c r="I1001">
        <v>422.93</v>
      </c>
      <c r="J1001">
        <v>422.93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5089-F9E1-4753-893D-B89A1C3CAE81}">
  <dimension ref="A1:I1001"/>
  <sheetViews>
    <sheetView topLeftCell="E1" zoomScaleNormal="100" workbookViewId="0">
      <selection activeCell="D1006" sqref="D1006"/>
    </sheetView>
  </sheetViews>
  <sheetFormatPr defaultRowHeight="15" x14ac:dyDescent="0.25"/>
  <cols>
    <col min="1" max="1" width="5.28515625" bestFit="1" customWidth="1"/>
    <col min="2" max="2" width="6.85546875" bestFit="1" customWidth="1"/>
    <col min="3" max="3" width="9.7109375" bestFit="1" customWidth="1"/>
    <col min="4" max="4" width="9.85546875" bestFit="1" customWidth="1"/>
    <col min="5" max="5" width="17.28515625" bestFit="1" customWidth="1"/>
    <col min="6" max="6" width="20.5703125" bestFit="1" customWidth="1"/>
    <col min="7" max="7" width="21.5703125" bestFit="1" customWidth="1"/>
    <col min="8" max="8" width="20.7109375" bestFit="1" customWidth="1"/>
    <col min="9" max="9" width="23.7109375" bestFit="1" customWidth="1"/>
  </cols>
  <sheetData>
    <row r="1" spans="1:9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5">
      <c r="A2">
        <v>15</v>
      </c>
      <c r="B2">
        <v>33</v>
      </c>
      <c r="C2" t="s">
        <v>12</v>
      </c>
      <c r="D2">
        <v>112260</v>
      </c>
      <c r="E2">
        <v>17</v>
      </c>
      <c r="F2">
        <v>5</v>
      </c>
      <c r="G2">
        <v>8</v>
      </c>
      <c r="H2" t="s">
        <v>13</v>
      </c>
      <c r="I2">
        <v>915.89</v>
      </c>
    </row>
    <row r="3" spans="1:9" x14ac:dyDescent="0.25">
      <c r="A3">
        <v>19</v>
      </c>
      <c r="B3">
        <v>37</v>
      </c>
      <c r="C3" t="s">
        <v>12</v>
      </c>
      <c r="D3">
        <v>95491</v>
      </c>
      <c r="E3">
        <v>90</v>
      </c>
      <c r="F3">
        <v>6</v>
      </c>
      <c r="G3">
        <v>21</v>
      </c>
      <c r="H3" t="s">
        <v>13</v>
      </c>
      <c r="I3">
        <v>454.83</v>
      </c>
    </row>
    <row r="4" spans="1:9" x14ac:dyDescent="0.25">
      <c r="A4">
        <v>22</v>
      </c>
      <c r="B4">
        <v>22</v>
      </c>
      <c r="C4" t="s">
        <v>12</v>
      </c>
      <c r="D4">
        <v>49077</v>
      </c>
      <c r="E4">
        <v>74</v>
      </c>
      <c r="F4">
        <v>10</v>
      </c>
      <c r="G4">
        <v>47</v>
      </c>
      <c r="H4" t="s">
        <v>13</v>
      </c>
      <c r="I4">
        <v>799.31</v>
      </c>
    </row>
    <row r="5" spans="1:9" x14ac:dyDescent="0.25">
      <c r="A5">
        <v>40</v>
      </c>
      <c r="B5">
        <v>22</v>
      </c>
      <c r="C5" t="s">
        <v>12</v>
      </c>
      <c r="D5">
        <v>107057</v>
      </c>
      <c r="E5">
        <v>14</v>
      </c>
      <c r="F5">
        <v>5</v>
      </c>
      <c r="G5">
        <v>41</v>
      </c>
      <c r="H5" t="s">
        <v>13</v>
      </c>
      <c r="I5">
        <v>98.86</v>
      </c>
    </row>
    <row r="6" spans="1:9" x14ac:dyDescent="0.25">
      <c r="A6">
        <v>41</v>
      </c>
      <c r="B6">
        <v>23</v>
      </c>
      <c r="C6" t="s">
        <v>12</v>
      </c>
      <c r="D6">
        <v>70723</v>
      </c>
      <c r="E6">
        <v>31</v>
      </c>
      <c r="F6">
        <v>1</v>
      </c>
      <c r="G6">
        <v>48</v>
      </c>
      <c r="H6" t="s">
        <v>13</v>
      </c>
      <c r="I6">
        <v>713.33</v>
      </c>
    </row>
    <row r="7" spans="1:9" x14ac:dyDescent="0.25">
      <c r="A7">
        <v>43</v>
      </c>
      <c r="B7">
        <v>35</v>
      </c>
      <c r="C7" t="s">
        <v>12</v>
      </c>
      <c r="D7">
        <v>72179</v>
      </c>
      <c r="E7">
        <v>6</v>
      </c>
      <c r="F7">
        <v>6</v>
      </c>
      <c r="G7">
        <v>45</v>
      </c>
      <c r="H7" t="s">
        <v>13</v>
      </c>
      <c r="I7">
        <v>165.18</v>
      </c>
    </row>
    <row r="8" spans="1:9" x14ac:dyDescent="0.25">
      <c r="A8">
        <v>45</v>
      </c>
      <c r="B8">
        <v>50</v>
      </c>
      <c r="C8" t="s">
        <v>12</v>
      </c>
      <c r="D8">
        <v>42404</v>
      </c>
      <c r="E8">
        <v>45</v>
      </c>
      <c r="F8">
        <v>4</v>
      </c>
      <c r="G8">
        <v>31</v>
      </c>
      <c r="H8" t="s">
        <v>13</v>
      </c>
      <c r="I8">
        <v>753.6</v>
      </c>
    </row>
    <row r="9" spans="1:9" x14ac:dyDescent="0.25">
      <c r="A9">
        <v>66</v>
      </c>
      <c r="B9">
        <v>32</v>
      </c>
      <c r="C9" t="s">
        <v>12</v>
      </c>
      <c r="D9">
        <v>100270</v>
      </c>
      <c r="E9">
        <v>69</v>
      </c>
      <c r="F9">
        <v>3</v>
      </c>
      <c r="G9">
        <v>29</v>
      </c>
      <c r="H9" t="s">
        <v>13</v>
      </c>
      <c r="I9">
        <v>686.05</v>
      </c>
    </row>
    <row r="10" spans="1:9" x14ac:dyDescent="0.25">
      <c r="A10">
        <v>87</v>
      </c>
      <c r="B10">
        <v>59</v>
      </c>
      <c r="C10" t="s">
        <v>12</v>
      </c>
      <c r="D10">
        <v>47990</v>
      </c>
      <c r="E10">
        <v>3</v>
      </c>
      <c r="F10">
        <v>10</v>
      </c>
      <c r="G10">
        <v>48</v>
      </c>
      <c r="H10" t="s">
        <v>13</v>
      </c>
      <c r="I10">
        <v>755.92</v>
      </c>
    </row>
    <row r="11" spans="1:9" x14ac:dyDescent="0.25">
      <c r="A11">
        <v>108</v>
      </c>
      <c r="B11">
        <v>65</v>
      </c>
      <c r="C11" t="s">
        <v>12</v>
      </c>
      <c r="D11">
        <v>81753</v>
      </c>
      <c r="E11">
        <v>72</v>
      </c>
      <c r="F11">
        <v>9</v>
      </c>
      <c r="G11">
        <v>21</v>
      </c>
      <c r="H11" t="s">
        <v>13</v>
      </c>
      <c r="I11">
        <v>633.63</v>
      </c>
    </row>
    <row r="12" spans="1:9" x14ac:dyDescent="0.25">
      <c r="A12">
        <v>116</v>
      </c>
      <c r="B12">
        <v>59</v>
      </c>
      <c r="C12" t="s">
        <v>12</v>
      </c>
      <c r="D12">
        <v>125014</v>
      </c>
      <c r="E12">
        <v>89</v>
      </c>
      <c r="F12">
        <v>7</v>
      </c>
      <c r="G12">
        <v>42</v>
      </c>
      <c r="H12" t="s">
        <v>13</v>
      </c>
      <c r="I12">
        <v>451.82</v>
      </c>
    </row>
    <row r="13" spans="1:9" x14ac:dyDescent="0.25">
      <c r="A13">
        <v>118</v>
      </c>
      <c r="B13">
        <v>62</v>
      </c>
      <c r="C13" t="s">
        <v>12</v>
      </c>
      <c r="D13">
        <v>48693</v>
      </c>
      <c r="E13">
        <v>36</v>
      </c>
      <c r="F13">
        <v>9</v>
      </c>
      <c r="G13">
        <v>44</v>
      </c>
      <c r="H13" t="s">
        <v>13</v>
      </c>
      <c r="I13">
        <v>755.67</v>
      </c>
    </row>
    <row r="14" spans="1:9" x14ac:dyDescent="0.25">
      <c r="A14">
        <v>124</v>
      </c>
      <c r="B14">
        <v>30</v>
      </c>
      <c r="C14" t="s">
        <v>12</v>
      </c>
      <c r="D14">
        <v>51454</v>
      </c>
      <c r="E14">
        <v>94</v>
      </c>
      <c r="F14">
        <v>8</v>
      </c>
      <c r="G14">
        <v>17</v>
      </c>
      <c r="H14" t="s">
        <v>13</v>
      </c>
      <c r="I14">
        <v>553.35</v>
      </c>
    </row>
    <row r="15" spans="1:9" x14ac:dyDescent="0.25">
      <c r="A15">
        <v>142</v>
      </c>
      <c r="B15">
        <v>37</v>
      </c>
      <c r="C15" t="s">
        <v>12</v>
      </c>
      <c r="D15">
        <v>61695</v>
      </c>
      <c r="E15">
        <v>13</v>
      </c>
      <c r="F15">
        <v>5</v>
      </c>
      <c r="G15">
        <v>45</v>
      </c>
      <c r="H15" t="s">
        <v>13</v>
      </c>
      <c r="I15">
        <v>18.489999999999998</v>
      </c>
    </row>
    <row r="16" spans="1:9" x14ac:dyDescent="0.25">
      <c r="A16">
        <v>171</v>
      </c>
      <c r="B16">
        <v>21</v>
      </c>
      <c r="C16" t="s">
        <v>12</v>
      </c>
      <c r="D16">
        <v>140801</v>
      </c>
      <c r="E16">
        <v>13</v>
      </c>
      <c r="F16">
        <v>3</v>
      </c>
      <c r="G16">
        <v>43</v>
      </c>
      <c r="H16" t="s">
        <v>13</v>
      </c>
      <c r="I16">
        <v>82.88</v>
      </c>
    </row>
    <row r="17" spans="1:9" x14ac:dyDescent="0.25">
      <c r="A17">
        <v>180</v>
      </c>
      <c r="B17">
        <v>48</v>
      </c>
      <c r="C17" t="s">
        <v>12</v>
      </c>
      <c r="D17">
        <v>121325</v>
      </c>
      <c r="E17">
        <v>30</v>
      </c>
      <c r="F17">
        <v>3</v>
      </c>
      <c r="G17">
        <v>35</v>
      </c>
      <c r="H17" t="s">
        <v>13</v>
      </c>
      <c r="I17">
        <v>624.36</v>
      </c>
    </row>
    <row r="18" spans="1:9" x14ac:dyDescent="0.25">
      <c r="A18">
        <v>196</v>
      </c>
      <c r="B18">
        <v>48</v>
      </c>
      <c r="C18" t="s">
        <v>12</v>
      </c>
      <c r="D18">
        <v>108550</v>
      </c>
      <c r="E18">
        <v>5</v>
      </c>
      <c r="F18">
        <v>6</v>
      </c>
      <c r="G18">
        <v>35</v>
      </c>
      <c r="H18" t="s">
        <v>13</v>
      </c>
      <c r="I18">
        <v>410.05</v>
      </c>
    </row>
    <row r="19" spans="1:9" x14ac:dyDescent="0.25">
      <c r="A19">
        <v>204</v>
      </c>
      <c r="B19">
        <v>49</v>
      </c>
      <c r="C19" t="s">
        <v>12</v>
      </c>
      <c r="D19">
        <v>100258</v>
      </c>
      <c r="E19">
        <v>53</v>
      </c>
      <c r="F19">
        <v>6</v>
      </c>
      <c r="G19">
        <v>27</v>
      </c>
      <c r="H19" t="s">
        <v>13</v>
      </c>
      <c r="I19">
        <v>436.43</v>
      </c>
    </row>
    <row r="20" spans="1:9" x14ac:dyDescent="0.25">
      <c r="A20">
        <v>214</v>
      </c>
      <c r="B20">
        <v>33</v>
      </c>
      <c r="C20" t="s">
        <v>12</v>
      </c>
      <c r="D20">
        <v>84883</v>
      </c>
      <c r="E20">
        <v>43</v>
      </c>
      <c r="F20">
        <v>2</v>
      </c>
      <c r="G20">
        <v>49</v>
      </c>
      <c r="H20" t="s">
        <v>13</v>
      </c>
      <c r="I20">
        <v>956.03</v>
      </c>
    </row>
    <row r="21" spans="1:9" x14ac:dyDescent="0.25">
      <c r="A21">
        <v>228</v>
      </c>
      <c r="B21">
        <v>53</v>
      </c>
      <c r="C21" t="s">
        <v>12</v>
      </c>
      <c r="D21">
        <v>57651</v>
      </c>
      <c r="E21">
        <v>27</v>
      </c>
      <c r="F21">
        <v>7</v>
      </c>
      <c r="G21">
        <v>16</v>
      </c>
      <c r="H21" t="s">
        <v>13</v>
      </c>
      <c r="I21">
        <v>345.62</v>
      </c>
    </row>
    <row r="22" spans="1:9" x14ac:dyDescent="0.25">
      <c r="A22">
        <v>250</v>
      </c>
      <c r="B22">
        <v>47</v>
      </c>
      <c r="C22" t="s">
        <v>12</v>
      </c>
      <c r="D22">
        <v>91491</v>
      </c>
      <c r="E22">
        <v>52</v>
      </c>
      <c r="F22">
        <v>5</v>
      </c>
      <c r="G22">
        <v>10</v>
      </c>
      <c r="H22" t="s">
        <v>13</v>
      </c>
      <c r="I22">
        <v>21.43</v>
      </c>
    </row>
    <row r="23" spans="1:9" x14ac:dyDescent="0.25">
      <c r="A23">
        <v>288</v>
      </c>
      <c r="B23">
        <v>56</v>
      </c>
      <c r="C23" t="s">
        <v>12</v>
      </c>
      <c r="D23">
        <v>117922</v>
      </c>
      <c r="E23">
        <v>69</v>
      </c>
      <c r="F23">
        <v>2</v>
      </c>
      <c r="G23">
        <v>41</v>
      </c>
      <c r="H23" t="s">
        <v>13</v>
      </c>
      <c r="I23">
        <v>98.83</v>
      </c>
    </row>
    <row r="24" spans="1:9" x14ac:dyDescent="0.25">
      <c r="A24">
        <v>324</v>
      </c>
      <c r="B24">
        <v>30</v>
      </c>
      <c r="C24" t="s">
        <v>12</v>
      </c>
      <c r="D24">
        <v>119162</v>
      </c>
      <c r="E24">
        <v>15</v>
      </c>
      <c r="F24">
        <v>9</v>
      </c>
      <c r="G24">
        <v>38</v>
      </c>
      <c r="H24" t="s">
        <v>13</v>
      </c>
      <c r="I24">
        <v>937.85</v>
      </c>
    </row>
    <row r="25" spans="1:9" x14ac:dyDescent="0.25">
      <c r="A25">
        <v>343</v>
      </c>
      <c r="B25">
        <v>32</v>
      </c>
      <c r="C25" t="s">
        <v>12</v>
      </c>
      <c r="D25">
        <v>48445</v>
      </c>
      <c r="E25">
        <v>91</v>
      </c>
      <c r="F25">
        <v>8</v>
      </c>
      <c r="G25">
        <v>27</v>
      </c>
      <c r="H25" t="s">
        <v>13</v>
      </c>
      <c r="I25">
        <v>265.17</v>
      </c>
    </row>
    <row r="26" spans="1:9" x14ac:dyDescent="0.25">
      <c r="A26">
        <v>344</v>
      </c>
      <c r="B26">
        <v>41</v>
      </c>
      <c r="C26" t="s">
        <v>12</v>
      </c>
      <c r="D26">
        <v>136928</v>
      </c>
      <c r="E26">
        <v>42</v>
      </c>
      <c r="F26">
        <v>5</v>
      </c>
      <c r="G26">
        <v>33</v>
      </c>
      <c r="H26" t="s">
        <v>13</v>
      </c>
      <c r="I26">
        <v>239.72</v>
      </c>
    </row>
    <row r="27" spans="1:9" x14ac:dyDescent="0.25">
      <c r="A27">
        <v>362</v>
      </c>
      <c r="B27">
        <v>21</v>
      </c>
      <c r="C27" t="s">
        <v>12</v>
      </c>
      <c r="D27">
        <v>107934</v>
      </c>
      <c r="E27">
        <v>32</v>
      </c>
      <c r="F27">
        <v>5</v>
      </c>
      <c r="G27">
        <v>38</v>
      </c>
      <c r="H27" t="s">
        <v>13</v>
      </c>
      <c r="I27">
        <v>533.17999999999995</v>
      </c>
    </row>
    <row r="28" spans="1:9" x14ac:dyDescent="0.25">
      <c r="A28">
        <v>377</v>
      </c>
      <c r="B28">
        <v>46</v>
      </c>
      <c r="C28" t="s">
        <v>12</v>
      </c>
      <c r="D28">
        <v>123037</v>
      </c>
      <c r="E28">
        <v>100</v>
      </c>
      <c r="F28">
        <v>1</v>
      </c>
      <c r="G28">
        <v>9</v>
      </c>
      <c r="H28" t="s">
        <v>13</v>
      </c>
      <c r="I28">
        <v>617.74</v>
      </c>
    </row>
    <row r="29" spans="1:9" x14ac:dyDescent="0.25">
      <c r="A29">
        <v>384</v>
      </c>
      <c r="B29">
        <v>46</v>
      </c>
      <c r="C29" t="s">
        <v>12</v>
      </c>
      <c r="D29">
        <v>120914</v>
      </c>
      <c r="E29">
        <v>1</v>
      </c>
      <c r="F29">
        <v>1</v>
      </c>
      <c r="G29">
        <v>41</v>
      </c>
      <c r="H29" t="s">
        <v>13</v>
      </c>
      <c r="I29">
        <v>329.9</v>
      </c>
    </row>
    <row r="30" spans="1:9" x14ac:dyDescent="0.25">
      <c r="A30">
        <v>392</v>
      </c>
      <c r="B30">
        <v>28</v>
      </c>
      <c r="C30" t="s">
        <v>12</v>
      </c>
      <c r="D30">
        <v>59278</v>
      </c>
      <c r="E30">
        <v>60</v>
      </c>
      <c r="F30">
        <v>2</v>
      </c>
      <c r="G30">
        <v>8</v>
      </c>
      <c r="H30" t="s">
        <v>13</v>
      </c>
      <c r="I30">
        <v>362.41</v>
      </c>
    </row>
    <row r="31" spans="1:9" x14ac:dyDescent="0.25">
      <c r="A31">
        <v>405</v>
      </c>
      <c r="B31">
        <v>21</v>
      </c>
      <c r="C31" t="s">
        <v>12</v>
      </c>
      <c r="D31">
        <v>42889</v>
      </c>
      <c r="E31">
        <v>12</v>
      </c>
      <c r="F31">
        <v>2</v>
      </c>
      <c r="G31">
        <v>20</v>
      </c>
      <c r="H31" t="s">
        <v>13</v>
      </c>
      <c r="I31">
        <v>789.92</v>
      </c>
    </row>
    <row r="32" spans="1:9" x14ac:dyDescent="0.25">
      <c r="A32">
        <v>420</v>
      </c>
      <c r="B32">
        <v>46</v>
      </c>
      <c r="C32" t="s">
        <v>12</v>
      </c>
      <c r="D32">
        <v>60671</v>
      </c>
      <c r="E32">
        <v>57</v>
      </c>
      <c r="F32">
        <v>5</v>
      </c>
      <c r="G32">
        <v>48</v>
      </c>
      <c r="H32" t="s">
        <v>13</v>
      </c>
      <c r="I32">
        <v>817.69</v>
      </c>
    </row>
    <row r="33" spans="1:9" x14ac:dyDescent="0.25">
      <c r="A33">
        <v>449</v>
      </c>
      <c r="B33">
        <v>50</v>
      </c>
      <c r="C33" t="s">
        <v>12</v>
      </c>
      <c r="D33">
        <v>46524</v>
      </c>
      <c r="E33">
        <v>1</v>
      </c>
      <c r="F33">
        <v>4</v>
      </c>
      <c r="G33">
        <v>7</v>
      </c>
      <c r="H33" t="s">
        <v>13</v>
      </c>
      <c r="I33">
        <v>371.62</v>
      </c>
    </row>
    <row r="34" spans="1:9" x14ac:dyDescent="0.25">
      <c r="A34">
        <v>454</v>
      </c>
      <c r="B34">
        <v>27</v>
      </c>
      <c r="C34" t="s">
        <v>12</v>
      </c>
      <c r="D34">
        <v>143992</v>
      </c>
      <c r="E34">
        <v>31</v>
      </c>
      <c r="F34">
        <v>2</v>
      </c>
      <c r="G34">
        <v>32</v>
      </c>
      <c r="H34" t="s">
        <v>13</v>
      </c>
      <c r="I34">
        <v>994.1</v>
      </c>
    </row>
    <row r="35" spans="1:9" x14ac:dyDescent="0.25">
      <c r="A35">
        <v>461</v>
      </c>
      <c r="B35">
        <v>41</v>
      </c>
      <c r="C35" t="s">
        <v>12</v>
      </c>
      <c r="D35">
        <v>141605</v>
      </c>
      <c r="E35">
        <v>100</v>
      </c>
      <c r="F35">
        <v>4</v>
      </c>
      <c r="G35">
        <v>20</v>
      </c>
      <c r="H35" t="s">
        <v>13</v>
      </c>
      <c r="I35">
        <v>693.02</v>
      </c>
    </row>
    <row r="36" spans="1:9" x14ac:dyDescent="0.25">
      <c r="A36">
        <v>485</v>
      </c>
      <c r="B36">
        <v>65</v>
      </c>
      <c r="C36" t="s">
        <v>12</v>
      </c>
      <c r="D36">
        <v>39113</v>
      </c>
      <c r="E36">
        <v>85</v>
      </c>
      <c r="F36">
        <v>9</v>
      </c>
      <c r="G36">
        <v>42</v>
      </c>
      <c r="H36" t="s">
        <v>13</v>
      </c>
      <c r="I36">
        <v>964.87</v>
      </c>
    </row>
    <row r="37" spans="1:9" x14ac:dyDescent="0.25">
      <c r="A37">
        <v>532</v>
      </c>
      <c r="B37">
        <v>19</v>
      </c>
      <c r="C37" t="s">
        <v>12</v>
      </c>
      <c r="D37">
        <v>146165</v>
      </c>
      <c r="E37">
        <v>38</v>
      </c>
      <c r="F37">
        <v>9</v>
      </c>
      <c r="G37">
        <v>45</v>
      </c>
      <c r="H37" t="s">
        <v>13</v>
      </c>
      <c r="I37">
        <v>819.92</v>
      </c>
    </row>
    <row r="38" spans="1:9" x14ac:dyDescent="0.25">
      <c r="A38">
        <v>557</v>
      </c>
      <c r="B38">
        <v>45</v>
      </c>
      <c r="C38" t="s">
        <v>12</v>
      </c>
      <c r="D38">
        <v>95367</v>
      </c>
      <c r="E38">
        <v>83</v>
      </c>
      <c r="F38">
        <v>5</v>
      </c>
      <c r="G38">
        <v>30</v>
      </c>
      <c r="H38" t="s">
        <v>13</v>
      </c>
      <c r="I38">
        <v>845.33</v>
      </c>
    </row>
    <row r="39" spans="1:9" x14ac:dyDescent="0.25">
      <c r="A39">
        <v>559</v>
      </c>
      <c r="B39">
        <v>33</v>
      </c>
      <c r="C39" t="s">
        <v>12</v>
      </c>
      <c r="D39">
        <v>121639</v>
      </c>
      <c r="E39">
        <v>17</v>
      </c>
      <c r="F39">
        <v>7</v>
      </c>
      <c r="G39">
        <v>28</v>
      </c>
      <c r="H39" t="s">
        <v>13</v>
      </c>
      <c r="I39">
        <v>422.14</v>
      </c>
    </row>
    <row r="40" spans="1:9" x14ac:dyDescent="0.25">
      <c r="A40">
        <v>560</v>
      </c>
      <c r="B40">
        <v>63</v>
      </c>
      <c r="C40" t="s">
        <v>12</v>
      </c>
      <c r="D40">
        <v>82296</v>
      </c>
      <c r="E40">
        <v>61</v>
      </c>
      <c r="F40">
        <v>4</v>
      </c>
      <c r="G40">
        <v>43</v>
      </c>
      <c r="H40" t="s">
        <v>13</v>
      </c>
      <c r="I40">
        <v>390.89</v>
      </c>
    </row>
    <row r="41" spans="1:9" x14ac:dyDescent="0.25">
      <c r="A41">
        <v>583</v>
      </c>
      <c r="B41">
        <v>33</v>
      </c>
      <c r="C41" t="s">
        <v>12</v>
      </c>
      <c r="D41">
        <v>38240</v>
      </c>
      <c r="E41">
        <v>92</v>
      </c>
      <c r="F41">
        <v>3</v>
      </c>
      <c r="G41">
        <v>37</v>
      </c>
      <c r="H41" t="s">
        <v>13</v>
      </c>
      <c r="I41">
        <v>626.82000000000005</v>
      </c>
    </row>
    <row r="42" spans="1:9" x14ac:dyDescent="0.25">
      <c r="A42">
        <v>596</v>
      </c>
      <c r="B42">
        <v>46</v>
      </c>
      <c r="C42" t="s">
        <v>12</v>
      </c>
      <c r="D42">
        <v>73370</v>
      </c>
      <c r="E42">
        <v>2</v>
      </c>
      <c r="F42">
        <v>4</v>
      </c>
      <c r="G42">
        <v>29</v>
      </c>
      <c r="H42" t="s">
        <v>13</v>
      </c>
      <c r="I42">
        <v>486.5</v>
      </c>
    </row>
    <row r="43" spans="1:9" x14ac:dyDescent="0.25">
      <c r="A43">
        <v>597</v>
      </c>
      <c r="B43">
        <v>50</v>
      </c>
      <c r="C43" t="s">
        <v>12</v>
      </c>
      <c r="D43">
        <v>132598</v>
      </c>
      <c r="E43">
        <v>57</v>
      </c>
      <c r="F43">
        <v>7</v>
      </c>
      <c r="G43">
        <v>21</v>
      </c>
      <c r="H43" t="s">
        <v>13</v>
      </c>
      <c r="I43">
        <v>930.91</v>
      </c>
    </row>
    <row r="44" spans="1:9" x14ac:dyDescent="0.25">
      <c r="A44">
        <v>604</v>
      </c>
      <c r="B44">
        <v>47</v>
      </c>
      <c r="C44" t="s">
        <v>12</v>
      </c>
      <c r="D44">
        <v>64592</v>
      </c>
      <c r="E44">
        <v>25</v>
      </c>
      <c r="F44">
        <v>4</v>
      </c>
      <c r="G44">
        <v>12</v>
      </c>
      <c r="H44" t="s">
        <v>13</v>
      </c>
      <c r="I44">
        <v>237.34</v>
      </c>
    </row>
    <row r="45" spans="1:9" x14ac:dyDescent="0.25">
      <c r="A45">
        <v>606</v>
      </c>
      <c r="B45">
        <v>39</v>
      </c>
      <c r="C45" t="s">
        <v>12</v>
      </c>
      <c r="D45">
        <v>48641</v>
      </c>
      <c r="E45">
        <v>45</v>
      </c>
      <c r="F45">
        <v>3</v>
      </c>
      <c r="G45">
        <v>46</v>
      </c>
      <c r="H45" t="s">
        <v>13</v>
      </c>
      <c r="I45">
        <v>415.19</v>
      </c>
    </row>
    <row r="46" spans="1:9" x14ac:dyDescent="0.25">
      <c r="A46">
        <v>607</v>
      </c>
      <c r="B46">
        <v>30</v>
      </c>
      <c r="C46" t="s">
        <v>12</v>
      </c>
      <c r="D46">
        <v>102200</v>
      </c>
      <c r="E46">
        <v>88</v>
      </c>
      <c r="F46">
        <v>5</v>
      </c>
      <c r="G46">
        <v>47</v>
      </c>
      <c r="H46" t="s">
        <v>13</v>
      </c>
      <c r="I46">
        <v>131.84</v>
      </c>
    </row>
    <row r="47" spans="1:9" x14ac:dyDescent="0.25">
      <c r="A47">
        <v>625</v>
      </c>
      <c r="B47">
        <v>41</v>
      </c>
      <c r="C47" t="s">
        <v>12</v>
      </c>
      <c r="D47">
        <v>36763</v>
      </c>
      <c r="E47">
        <v>50</v>
      </c>
      <c r="F47">
        <v>5</v>
      </c>
      <c r="G47">
        <v>36</v>
      </c>
      <c r="H47" t="s">
        <v>13</v>
      </c>
      <c r="I47">
        <v>490.62</v>
      </c>
    </row>
    <row r="48" spans="1:9" x14ac:dyDescent="0.25">
      <c r="A48">
        <v>640</v>
      </c>
      <c r="B48">
        <v>57</v>
      </c>
      <c r="C48" t="s">
        <v>12</v>
      </c>
      <c r="D48">
        <v>97035</v>
      </c>
      <c r="E48">
        <v>28</v>
      </c>
      <c r="F48">
        <v>6</v>
      </c>
      <c r="G48">
        <v>42</v>
      </c>
      <c r="H48" t="s">
        <v>13</v>
      </c>
      <c r="I48">
        <v>741.41</v>
      </c>
    </row>
    <row r="49" spans="1:9" x14ac:dyDescent="0.25">
      <c r="A49">
        <v>653</v>
      </c>
      <c r="B49">
        <v>41</v>
      </c>
      <c r="C49" t="s">
        <v>12</v>
      </c>
      <c r="D49">
        <v>140959</v>
      </c>
      <c r="E49">
        <v>35</v>
      </c>
      <c r="F49">
        <v>7</v>
      </c>
      <c r="G49">
        <v>14</v>
      </c>
      <c r="H49" t="s">
        <v>13</v>
      </c>
      <c r="I49">
        <v>232.42</v>
      </c>
    </row>
    <row r="50" spans="1:9" x14ac:dyDescent="0.25">
      <c r="A50">
        <v>665</v>
      </c>
      <c r="B50">
        <v>37</v>
      </c>
      <c r="C50" t="s">
        <v>12</v>
      </c>
      <c r="D50">
        <v>105623</v>
      </c>
      <c r="E50">
        <v>26</v>
      </c>
      <c r="F50">
        <v>5</v>
      </c>
      <c r="G50">
        <v>47</v>
      </c>
      <c r="H50" t="s">
        <v>13</v>
      </c>
      <c r="I50">
        <v>94.79</v>
      </c>
    </row>
    <row r="51" spans="1:9" x14ac:dyDescent="0.25">
      <c r="A51">
        <v>671</v>
      </c>
      <c r="B51">
        <v>34</v>
      </c>
      <c r="C51" t="s">
        <v>12</v>
      </c>
      <c r="D51">
        <v>54274</v>
      </c>
      <c r="E51">
        <v>27</v>
      </c>
      <c r="F51">
        <v>2</v>
      </c>
      <c r="G51">
        <v>17</v>
      </c>
      <c r="H51" t="s">
        <v>13</v>
      </c>
      <c r="I51">
        <v>954.46</v>
      </c>
    </row>
    <row r="52" spans="1:9" x14ac:dyDescent="0.25">
      <c r="A52">
        <v>672</v>
      </c>
      <c r="B52">
        <v>30</v>
      </c>
      <c r="C52" t="s">
        <v>12</v>
      </c>
      <c r="D52">
        <v>94803</v>
      </c>
      <c r="E52">
        <v>76</v>
      </c>
      <c r="F52">
        <v>6</v>
      </c>
      <c r="G52">
        <v>33</v>
      </c>
      <c r="H52" t="s">
        <v>13</v>
      </c>
      <c r="I52">
        <v>596.98</v>
      </c>
    </row>
    <row r="53" spans="1:9" x14ac:dyDescent="0.25">
      <c r="A53">
        <v>685</v>
      </c>
      <c r="B53">
        <v>37</v>
      </c>
      <c r="C53" t="s">
        <v>12</v>
      </c>
      <c r="D53">
        <v>104041</v>
      </c>
      <c r="E53">
        <v>64</v>
      </c>
      <c r="F53">
        <v>9</v>
      </c>
      <c r="G53">
        <v>49</v>
      </c>
      <c r="H53" t="s">
        <v>13</v>
      </c>
      <c r="I53">
        <v>117.52</v>
      </c>
    </row>
    <row r="54" spans="1:9" x14ac:dyDescent="0.25">
      <c r="A54">
        <v>687</v>
      </c>
      <c r="B54">
        <v>59</v>
      </c>
      <c r="C54" t="s">
        <v>12</v>
      </c>
      <c r="D54">
        <v>65196</v>
      </c>
      <c r="E54">
        <v>22</v>
      </c>
      <c r="F54">
        <v>2</v>
      </c>
      <c r="G54">
        <v>36</v>
      </c>
      <c r="H54" t="s">
        <v>13</v>
      </c>
      <c r="I54">
        <v>625.33000000000004</v>
      </c>
    </row>
    <row r="55" spans="1:9" x14ac:dyDescent="0.25">
      <c r="A55">
        <v>712</v>
      </c>
      <c r="B55">
        <v>18</v>
      </c>
      <c r="C55" t="s">
        <v>12</v>
      </c>
      <c r="D55">
        <v>141318</v>
      </c>
      <c r="E55">
        <v>37</v>
      </c>
      <c r="F55">
        <v>6</v>
      </c>
      <c r="G55">
        <v>28</v>
      </c>
      <c r="H55" t="s">
        <v>13</v>
      </c>
      <c r="I55">
        <v>428.33</v>
      </c>
    </row>
    <row r="56" spans="1:9" x14ac:dyDescent="0.25">
      <c r="A56">
        <v>722</v>
      </c>
      <c r="B56">
        <v>45</v>
      </c>
      <c r="C56" t="s">
        <v>12</v>
      </c>
      <c r="D56">
        <v>127989</v>
      </c>
      <c r="E56">
        <v>99</v>
      </c>
      <c r="F56">
        <v>1</v>
      </c>
      <c r="G56">
        <v>42</v>
      </c>
      <c r="H56" t="s">
        <v>13</v>
      </c>
      <c r="I56">
        <v>683.99</v>
      </c>
    </row>
    <row r="57" spans="1:9" x14ac:dyDescent="0.25">
      <c r="A57">
        <v>730</v>
      </c>
      <c r="B57">
        <v>19</v>
      </c>
      <c r="C57" t="s">
        <v>12</v>
      </c>
      <c r="D57">
        <v>85349</v>
      </c>
      <c r="E57">
        <v>77</v>
      </c>
      <c r="F57">
        <v>8</v>
      </c>
      <c r="G57">
        <v>29</v>
      </c>
      <c r="H57" t="s">
        <v>13</v>
      </c>
      <c r="I57">
        <v>381.04</v>
      </c>
    </row>
    <row r="58" spans="1:9" x14ac:dyDescent="0.25">
      <c r="A58">
        <v>749</v>
      </c>
      <c r="B58">
        <v>22</v>
      </c>
      <c r="C58" t="s">
        <v>12</v>
      </c>
      <c r="D58">
        <v>73023</v>
      </c>
      <c r="E58">
        <v>30</v>
      </c>
      <c r="F58">
        <v>1</v>
      </c>
      <c r="G58">
        <v>19</v>
      </c>
      <c r="H58" t="s">
        <v>13</v>
      </c>
      <c r="I58">
        <v>661.7</v>
      </c>
    </row>
    <row r="59" spans="1:9" x14ac:dyDescent="0.25">
      <c r="A59">
        <v>752</v>
      </c>
      <c r="B59">
        <v>31</v>
      </c>
      <c r="C59" t="s">
        <v>12</v>
      </c>
      <c r="D59">
        <v>85928</v>
      </c>
      <c r="E59">
        <v>10</v>
      </c>
      <c r="F59">
        <v>2</v>
      </c>
      <c r="G59">
        <v>40</v>
      </c>
      <c r="H59" t="s">
        <v>13</v>
      </c>
      <c r="I59">
        <v>34.1</v>
      </c>
    </row>
    <row r="60" spans="1:9" x14ac:dyDescent="0.25">
      <c r="A60">
        <v>758</v>
      </c>
      <c r="B60">
        <v>35</v>
      </c>
      <c r="C60" t="s">
        <v>12</v>
      </c>
      <c r="D60">
        <v>94896</v>
      </c>
      <c r="E60">
        <v>36</v>
      </c>
      <c r="F60">
        <v>6</v>
      </c>
      <c r="G60">
        <v>4</v>
      </c>
      <c r="H60" t="s">
        <v>13</v>
      </c>
      <c r="I60">
        <v>102.23</v>
      </c>
    </row>
    <row r="61" spans="1:9" x14ac:dyDescent="0.25">
      <c r="A61">
        <v>761</v>
      </c>
      <c r="B61">
        <v>47</v>
      </c>
      <c r="C61" t="s">
        <v>12</v>
      </c>
      <c r="D61">
        <v>112510</v>
      </c>
      <c r="E61">
        <v>1</v>
      </c>
      <c r="F61">
        <v>2</v>
      </c>
      <c r="G61">
        <v>10</v>
      </c>
      <c r="H61" t="s">
        <v>13</v>
      </c>
      <c r="I61">
        <v>618.20000000000005</v>
      </c>
    </row>
    <row r="62" spans="1:9" x14ac:dyDescent="0.25">
      <c r="A62">
        <v>763</v>
      </c>
      <c r="B62">
        <v>63</v>
      </c>
      <c r="C62" t="s">
        <v>12</v>
      </c>
      <c r="D62">
        <v>115204</v>
      </c>
      <c r="E62">
        <v>12</v>
      </c>
      <c r="F62">
        <v>2</v>
      </c>
      <c r="G62">
        <v>19</v>
      </c>
      <c r="H62" t="s">
        <v>13</v>
      </c>
      <c r="I62">
        <v>910.59</v>
      </c>
    </row>
    <row r="63" spans="1:9" x14ac:dyDescent="0.25">
      <c r="A63">
        <v>774</v>
      </c>
      <c r="B63">
        <v>52</v>
      </c>
      <c r="C63" t="s">
        <v>12</v>
      </c>
      <c r="D63">
        <v>52167</v>
      </c>
      <c r="E63">
        <v>19</v>
      </c>
      <c r="F63">
        <v>5</v>
      </c>
      <c r="G63">
        <v>50</v>
      </c>
      <c r="H63" t="s">
        <v>13</v>
      </c>
      <c r="I63">
        <v>961.55</v>
      </c>
    </row>
    <row r="64" spans="1:9" x14ac:dyDescent="0.25">
      <c r="A64">
        <v>781</v>
      </c>
      <c r="B64">
        <v>53</v>
      </c>
      <c r="C64" t="s">
        <v>12</v>
      </c>
      <c r="D64">
        <v>147355</v>
      </c>
      <c r="E64">
        <v>10</v>
      </c>
      <c r="F64">
        <v>2</v>
      </c>
      <c r="G64">
        <v>38</v>
      </c>
      <c r="H64" t="s">
        <v>13</v>
      </c>
      <c r="I64">
        <v>866.3</v>
      </c>
    </row>
    <row r="65" spans="1:9" x14ac:dyDescent="0.25">
      <c r="A65">
        <v>788</v>
      </c>
      <c r="B65">
        <v>33</v>
      </c>
      <c r="C65" t="s">
        <v>12</v>
      </c>
      <c r="D65">
        <v>38558</v>
      </c>
      <c r="E65">
        <v>71</v>
      </c>
      <c r="F65">
        <v>8</v>
      </c>
      <c r="G65">
        <v>22</v>
      </c>
      <c r="H65" t="s">
        <v>13</v>
      </c>
      <c r="I65">
        <v>223.73</v>
      </c>
    </row>
    <row r="66" spans="1:9" x14ac:dyDescent="0.25">
      <c r="A66">
        <v>796</v>
      </c>
      <c r="B66">
        <v>47</v>
      </c>
      <c r="C66" t="s">
        <v>12</v>
      </c>
      <c r="D66">
        <v>92114</v>
      </c>
      <c r="E66">
        <v>17</v>
      </c>
      <c r="F66">
        <v>7</v>
      </c>
      <c r="G66">
        <v>8</v>
      </c>
      <c r="H66" t="s">
        <v>13</v>
      </c>
      <c r="I66">
        <v>997.15</v>
      </c>
    </row>
    <row r="67" spans="1:9" x14ac:dyDescent="0.25">
      <c r="A67">
        <v>797</v>
      </c>
      <c r="B67">
        <v>47</v>
      </c>
      <c r="C67" t="s">
        <v>12</v>
      </c>
      <c r="D67">
        <v>86651</v>
      </c>
      <c r="E67">
        <v>54</v>
      </c>
      <c r="F67">
        <v>3</v>
      </c>
      <c r="G67">
        <v>49</v>
      </c>
      <c r="H67" t="s">
        <v>13</v>
      </c>
      <c r="I67">
        <v>678.41</v>
      </c>
    </row>
    <row r="68" spans="1:9" x14ac:dyDescent="0.25">
      <c r="A68">
        <v>818</v>
      </c>
      <c r="B68">
        <v>69</v>
      </c>
      <c r="C68" t="s">
        <v>12</v>
      </c>
      <c r="D68">
        <v>129445</v>
      </c>
      <c r="E68">
        <v>32</v>
      </c>
      <c r="F68">
        <v>3</v>
      </c>
      <c r="G68">
        <v>6</v>
      </c>
      <c r="H68" t="s">
        <v>13</v>
      </c>
      <c r="I68">
        <v>42.19</v>
      </c>
    </row>
    <row r="69" spans="1:9" x14ac:dyDescent="0.25">
      <c r="A69">
        <v>829</v>
      </c>
      <c r="B69">
        <v>37</v>
      </c>
      <c r="C69" t="s">
        <v>12</v>
      </c>
      <c r="D69">
        <v>112949</v>
      </c>
      <c r="E69">
        <v>33</v>
      </c>
      <c r="F69">
        <v>8</v>
      </c>
      <c r="G69">
        <v>40</v>
      </c>
      <c r="H69" t="s">
        <v>13</v>
      </c>
      <c r="I69">
        <v>424.07</v>
      </c>
    </row>
    <row r="70" spans="1:9" x14ac:dyDescent="0.25">
      <c r="A70">
        <v>830</v>
      </c>
      <c r="B70">
        <v>28</v>
      </c>
      <c r="C70" t="s">
        <v>12</v>
      </c>
      <c r="D70">
        <v>136418</v>
      </c>
      <c r="E70">
        <v>17</v>
      </c>
      <c r="F70">
        <v>5</v>
      </c>
      <c r="G70">
        <v>17</v>
      </c>
      <c r="H70" t="s">
        <v>13</v>
      </c>
      <c r="I70">
        <v>765.53</v>
      </c>
    </row>
    <row r="71" spans="1:9" x14ac:dyDescent="0.25">
      <c r="A71">
        <v>844</v>
      </c>
      <c r="B71">
        <v>43</v>
      </c>
      <c r="C71" t="s">
        <v>12</v>
      </c>
      <c r="D71">
        <v>140638</v>
      </c>
      <c r="E71">
        <v>62</v>
      </c>
      <c r="F71">
        <v>10</v>
      </c>
      <c r="G71">
        <v>18</v>
      </c>
      <c r="H71" t="s">
        <v>13</v>
      </c>
      <c r="I71">
        <v>78.52</v>
      </c>
    </row>
    <row r="72" spans="1:9" x14ac:dyDescent="0.25">
      <c r="A72">
        <v>895</v>
      </c>
      <c r="B72">
        <v>27</v>
      </c>
      <c r="C72" t="s">
        <v>12</v>
      </c>
      <c r="D72">
        <v>128640</v>
      </c>
      <c r="E72">
        <v>3</v>
      </c>
      <c r="F72">
        <v>5</v>
      </c>
      <c r="G72">
        <v>2</v>
      </c>
      <c r="H72" t="s">
        <v>13</v>
      </c>
      <c r="I72">
        <v>140.52000000000001</v>
      </c>
    </row>
    <row r="73" spans="1:9" x14ac:dyDescent="0.25">
      <c r="A73">
        <v>921</v>
      </c>
      <c r="B73">
        <v>66</v>
      </c>
      <c r="C73" t="s">
        <v>12</v>
      </c>
      <c r="D73">
        <v>122436</v>
      </c>
      <c r="E73">
        <v>73</v>
      </c>
      <c r="F73">
        <v>7</v>
      </c>
      <c r="G73">
        <v>47</v>
      </c>
      <c r="H73" t="s">
        <v>13</v>
      </c>
      <c r="I73">
        <v>666.62</v>
      </c>
    </row>
    <row r="74" spans="1:9" x14ac:dyDescent="0.25">
      <c r="A74">
        <v>931</v>
      </c>
      <c r="B74">
        <v>59</v>
      </c>
      <c r="C74" t="s">
        <v>12</v>
      </c>
      <c r="D74">
        <v>48329</v>
      </c>
      <c r="E74">
        <v>6</v>
      </c>
      <c r="F74">
        <v>8</v>
      </c>
      <c r="G74">
        <v>26</v>
      </c>
      <c r="H74" t="s">
        <v>13</v>
      </c>
      <c r="I74">
        <v>36.76</v>
      </c>
    </row>
    <row r="75" spans="1:9" x14ac:dyDescent="0.25">
      <c r="A75">
        <v>936</v>
      </c>
      <c r="B75">
        <v>51</v>
      </c>
      <c r="C75" t="s">
        <v>12</v>
      </c>
      <c r="D75">
        <v>148784</v>
      </c>
      <c r="E75">
        <v>17</v>
      </c>
      <c r="F75">
        <v>1</v>
      </c>
      <c r="G75">
        <v>50</v>
      </c>
      <c r="H75" t="s">
        <v>13</v>
      </c>
      <c r="I75">
        <v>302.81</v>
      </c>
    </row>
    <row r="76" spans="1:9" x14ac:dyDescent="0.25">
      <c r="A76">
        <v>939</v>
      </c>
      <c r="B76">
        <v>37</v>
      </c>
      <c r="C76" t="s">
        <v>12</v>
      </c>
      <c r="D76">
        <v>70213</v>
      </c>
      <c r="E76">
        <v>84</v>
      </c>
      <c r="F76">
        <v>3</v>
      </c>
      <c r="G76">
        <v>37</v>
      </c>
      <c r="H76" t="s">
        <v>13</v>
      </c>
      <c r="I76">
        <v>785.53</v>
      </c>
    </row>
    <row r="77" spans="1:9" x14ac:dyDescent="0.25">
      <c r="A77">
        <v>981</v>
      </c>
      <c r="B77">
        <v>30</v>
      </c>
      <c r="C77" t="s">
        <v>12</v>
      </c>
      <c r="D77">
        <v>117373</v>
      </c>
      <c r="E77">
        <v>32</v>
      </c>
      <c r="F77">
        <v>1</v>
      </c>
      <c r="G77">
        <v>49</v>
      </c>
      <c r="H77" t="s">
        <v>13</v>
      </c>
      <c r="I77">
        <v>129.35</v>
      </c>
    </row>
    <row r="78" spans="1:9" x14ac:dyDescent="0.25">
      <c r="A78">
        <v>989</v>
      </c>
      <c r="B78">
        <v>26</v>
      </c>
      <c r="C78" t="s">
        <v>12</v>
      </c>
      <c r="D78">
        <v>45147</v>
      </c>
      <c r="E78">
        <v>93</v>
      </c>
      <c r="F78">
        <v>1</v>
      </c>
      <c r="G78">
        <v>32</v>
      </c>
      <c r="H78" t="s">
        <v>13</v>
      </c>
      <c r="I78">
        <v>750.58</v>
      </c>
    </row>
    <row r="79" spans="1:9" x14ac:dyDescent="0.25">
      <c r="A79">
        <v>30</v>
      </c>
      <c r="B79">
        <v>23</v>
      </c>
      <c r="C79" t="s">
        <v>12</v>
      </c>
      <c r="D79">
        <v>104106</v>
      </c>
      <c r="E79">
        <v>30</v>
      </c>
      <c r="F79">
        <v>4</v>
      </c>
      <c r="G79">
        <v>20</v>
      </c>
      <c r="H79" t="s">
        <v>14</v>
      </c>
      <c r="I79">
        <v>950.56</v>
      </c>
    </row>
    <row r="80" spans="1:9" x14ac:dyDescent="0.25">
      <c r="A80">
        <v>33</v>
      </c>
      <c r="B80">
        <v>29</v>
      </c>
      <c r="C80" t="s">
        <v>12</v>
      </c>
      <c r="D80">
        <v>71951</v>
      </c>
      <c r="E80">
        <v>2</v>
      </c>
      <c r="F80">
        <v>6</v>
      </c>
      <c r="G80">
        <v>47</v>
      </c>
      <c r="H80" t="s">
        <v>14</v>
      </c>
      <c r="I80">
        <v>91.94</v>
      </c>
    </row>
    <row r="81" spans="1:9" x14ac:dyDescent="0.25">
      <c r="A81">
        <v>37</v>
      </c>
      <c r="B81">
        <v>47</v>
      </c>
      <c r="C81" t="s">
        <v>12</v>
      </c>
      <c r="D81">
        <v>108074</v>
      </c>
      <c r="E81">
        <v>78</v>
      </c>
      <c r="F81">
        <v>4</v>
      </c>
      <c r="G81">
        <v>38</v>
      </c>
      <c r="H81" t="s">
        <v>14</v>
      </c>
      <c r="I81">
        <v>128.19999999999999</v>
      </c>
    </row>
    <row r="82" spans="1:9" x14ac:dyDescent="0.25">
      <c r="A82">
        <v>47</v>
      </c>
      <c r="B82">
        <v>56</v>
      </c>
      <c r="C82" t="s">
        <v>12</v>
      </c>
      <c r="D82">
        <v>129005</v>
      </c>
      <c r="E82">
        <v>40</v>
      </c>
      <c r="F82">
        <v>6</v>
      </c>
      <c r="G82">
        <v>8</v>
      </c>
      <c r="H82" t="s">
        <v>14</v>
      </c>
      <c r="I82">
        <v>355.34</v>
      </c>
    </row>
    <row r="83" spans="1:9" x14ac:dyDescent="0.25">
      <c r="A83">
        <v>48</v>
      </c>
      <c r="B83">
        <v>48</v>
      </c>
      <c r="C83" t="s">
        <v>12</v>
      </c>
      <c r="D83">
        <v>76317</v>
      </c>
      <c r="E83">
        <v>94</v>
      </c>
      <c r="F83">
        <v>9</v>
      </c>
      <c r="G83">
        <v>3</v>
      </c>
      <c r="H83" t="s">
        <v>14</v>
      </c>
      <c r="I83">
        <v>189.28</v>
      </c>
    </row>
    <row r="84" spans="1:9" x14ac:dyDescent="0.25">
      <c r="A84">
        <v>69</v>
      </c>
      <c r="B84">
        <v>32</v>
      </c>
      <c r="C84" t="s">
        <v>12</v>
      </c>
      <c r="D84">
        <v>135861</v>
      </c>
      <c r="E84">
        <v>88</v>
      </c>
      <c r="F84">
        <v>5</v>
      </c>
      <c r="G84">
        <v>16</v>
      </c>
      <c r="H84" t="s">
        <v>14</v>
      </c>
      <c r="I84">
        <v>103.33</v>
      </c>
    </row>
    <row r="85" spans="1:9" x14ac:dyDescent="0.25">
      <c r="A85">
        <v>84</v>
      </c>
      <c r="B85">
        <v>56</v>
      </c>
      <c r="C85" t="s">
        <v>12</v>
      </c>
      <c r="D85">
        <v>58971</v>
      </c>
      <c r="E85">
        <v>77</v>
      </c>
      <c r="F85">
        <v>9</v>
      </c>
      <c r="G85">
        <v>35</v>
      </c>
      <c r="H85" t="s">
        <v>14</v>
      </c>
      <c r="I85">
        <v>13.16</v>
      </c>
    </row>
    <row r="86" spans="1:9" x14ac:dyDescent="0.25">
      <c r="A86">
        <v>93</v>
      </c>
      <c r="B86">
        <v>65</v>
      </c>
      <c r="C86" t="s">
        <v>12</v>
      </c>
      <c r="D86">
        <v>62792</v>
      </c>
      <c r="E86">
        <v>83</v>
      </c>
      <c r="F86">
        <v>8</v>
      </c>
      <c r="G86">
        <v>11</v>
      </c>
      <c r="H86" t="s">
        <v>14</v>
      </c>
      <c r="I86">
        <v>230.58</v>
      </c>
    </row>
    <row r="87" spans="1:9" x14ac:dyDescent="0.25">
      <c r="A87">
        <v>115</v>
      </c>
      <c r="B87">
        <v>64</v>
      </c>
      <c r="C87" t="s">
        <v>12</v>
      </c>
      <c r="D87">
        <v>87595</v>
      </c>
      <c r="E87">
        <v>11</v>
      </c>
      <c r="F87">
        <v>5</v>
      </c>
      <c r="G87">
        <v>21</v>
      </c>
      <c r="H87" t="s">
        <v>14</v>
      </c>
      <c r="I87">
        <v>69.78</v>
      </c>
    </row>
    <row r="88" spans="1:9" x14ac:dyDescent="0.25">
      <c r="A88">
        <v>117</v>
      </c>
      <c r="B88">
        <v>62</v>
      </c>
      <c r="C88" t="s">
        <v>12</v>
      </c>
      <c r="D88">
        <v>128322</v>
      </c>
      <c r="E88">
        <v>44</v>
      </c>
      <c r="F88">
        <v>4</v>
      </c>
      <c r="G88">
        <v>31</v>
      </c>
      <c r="H88" t="s">
        <v>14</v>
      </c>
      <c r="I88">
        <v>668.91</v>
      </c>
    </row>
    <row r="89" spans="1:9" x14ac:dyDescent="0.25">
      <c r="A89">
        <v>122</v>
      </c>
      <c r="B89">
        <v>43</v>
      </c>
      <c r="C89" t="s">
        <v>12</v>
      </c>
      <c r="D89">
        <v>42855</v>
      </c>
      <c r="E89">
        <v>66</v>
      </c>
      <c r="F89">
        <v>6</v>
      </c>
      <c r="G89">
        <v>23</v>
      </c>
      <c r="H89" t="s">
        <v>14</v>
      </c>
      <c r="I89">
        <v>138.51</v>
      </c>
    </row>
    <row r="90" spans="1:9" x14ac:dyDescent="0.25">
      <c r="A90">
        <v>147</v>
      </c>
      <c r="B90">
        <v>69</v>
      </c>
      <c r="C90" t="s">
        <v>12</v>
      </c>
      <c r="D90">
        <v>90929</v>
      </c>
      <c r="E90">
        <v>2</v>
      </c>
      <c r="F90">
        <v>10</v>
      </c>
      <c r="G90">
        <v>29</v>
      </c>
      <c r="H90" t="s">
        <v>14</v>
      </c>
      <c r="I90">
        <v>518.70000000000005</v>
      </c>
    </row>
    <row r="91" spans="1:9" x14ac:dyDescent="0.25">
      <c r="A91">
        <v>182</v>
      </c>
      <c r="B91">
        <v>40</v>
      </c>
      <c r="C91" t="s">
        <v>12</v>
      </c>
      <c r="D91">
        <v>136323</v>
      </c>
      <c r="E91">
        <v>36</v>
      </c>
      <c r="F91">
        <v>6</v>
      </c>
      <c r="G91">
        <v>25</v>
      </c>
      <c r="H91" t="s">
        <v>14</v>
      </c>
      <c r="I91">
        <v>625.28</v>
      </c>
    </row>
    <row r="92" spans="1:9" x14ac:dyDescent="0.25">
      <c r="A92">
        <v>187</v>
      </c>
      <c r="B92">
        <v>35</v>
      </c>
      <c r="C92" t="s">
        <v>12</v>
      </c>
      <c r="D92">
        <v>137307</v>
      </c>
      <c r="E92">
        <v>32</v>
      </c>
      <c r="F92">
        <v>6</v>
      </c>
      <c r="G92">
        <v>24</v>
      </c>
      <c r="H92" t="s">
        <v>14</v>
      </c>
      <c r="I92">
        <v>111.27</v>
      </c>
    </row>
    <row r="93" spans="1:9" x14ac:dyDescent="0.25">
      <c r="A93">
        <v>189</v>
      </c>
      <c r="B93">
        <v>45</v>
      </c>
      <c r="C93" t="s">
        <v>12</v>
      </c>
      <c r="D93">
        <v>108335</v>
      </c>
      <c r="E93">
        <v>62</v>
      </c>
      <c r="F93">
        <v>1</v>
      </c>
      <c r="G93">
        <v>35</v>
      </c>
      <c r="H93" t="s">
        <v>14</v>
      </c>
      <c r="I93">
        <v>940.93</v>
      </c>
    </row>
    <row r="94" spans="1:9" x14ac:dyDescent="0.25">
      <c r="A94">
        <v>191</v>
      </c>
      <c r="B94">
        <v>35</v>
      </c>
      <c r="C94" t="s">
        <v>12</v>
      </c>
      <c r="D94">
        <v>100208</v>
      </c>
      <c r="E94">
        <v>80</v>
      </c>
      <c r="F94">
        <v>2</v>
      </c>
      <c r="G94">
        <v>27</v>
      </c>
      <c r="H94" t="s">
        <v>14</v>
      </c>
      <c r="I94">
        <v>23.73</v>
      </c>
    </row>
    <row r="95" spans="1:9" x14ac:dyDescent="0.25">
      <c r="A95">
        <v>205</v>
      </c>
      <c r="B95">
        <v>27</v>
      </c>
      <c r="C95" t="s">
        <v>12</v>
      </c>
      <c r="D95">
        <v>132541</v>
      </c>
      <c r="E95">
        <v>78</v>
      </c>
      <c r="F95">
        <v>8</v>
      </c>
      <c r="G95">
        <v>42</v>
      </c>
      <c r="H95" t="s">
        <v>14</v>
      </c>
      <c r="I95">
        <v>825.01</v>
      </c>
    </row>
    <row r="96" spans="1:9" x14ac:dyDescent="0.25">
      <c r="A96">
        <v>206</v>
      </c>
      <c r="B96">
        <v>34</v>
      </c>
      <c r="C96" t="s">
        <v>12</v>
      </c>
      <c r="D96">
        <v>97962</v>
      </c>
      <c r="E96">
        <v>18</v>
      </c>
      <c r="F96">
        <v>3</v>
      </c>
      <c r="G96">
        <v>19</v>
      </c>
      <c r="H96" t="s">
        <v>14</v>
      </c>
      <c r="I96">
        <v>947.73</v>
      </c>
    </row>
    <row r="97" spans="1:9" x14ac:dyDescent="0.25">
      <c r="A97">
        <v>220</v>
      </c>
      <c r="B97">
        <v>69</v>
      </c>
      <c r="C97" t="s">
        <v>12</v>
      </c>
      <c r="D97">
        <v>142216</v>
      </c>
      <c r="E97">
        <v>90</v>
      </c>
      <c r="F97">
        <v>7</v>
      </c>
      <c r="G97">
        <v>29</v>
      </c>
      <c r="H97" t="s">
        <v>14</v>
      </c>
      <c r="I97">
        <v>559.73</v>
      </c>
    </row>
    <row r="98" spans="1:9" x14ac:dyDescent="0.25">
      <c r="A98">
        <v>227</v>
      </c>
      <c r="B98">
        <v>65</v>
      </c>
      <c r="C98" t="s">
        <v>12</v>
      </c>
      <c r="D98">
        <v>89274</v>
      </c>
      <c r="E98">
        <v>71</v>
      </c>
      <c r="F98">
        <v>10</v>
      </c>
      <c r="G98">
        <v>34</v>
      </c>
      <c r="H98" t="s">
        <v>14</v>
      </c>
      <c r="I98">
        <v>840.45</v>
      </c>
    </row>
    <row r="99" spans="1:9" x14ac:dyDescent="0.25">
      <c r="A99">
        <v>230</v>
      </c>
      <c r="B99">
        <v>56</v>
      </c>
      <c r="C99" t="s">
        <v>12</v>
      </c>
      <c r="D99">
        <v>31154</v>
      </c>
      <c r="E99">
        <v>40</v>
      </c>
      <c r="F99">
        <v>4</v>
      </c>
      <c r="G99">
        <v>25</v>
      </c>
      <c r="H99" t="s">
        <v>14</v>
      </c>
      <c r="I99">
        <v>197.54</v>
      </c>
    </row>
    <row r="100" spans="1:9" x14ac:dyDescent="0.25">
      <c r="A100">
        <v>246</v>
      </c>
      <c r="B100">
        <v>44</v>
      </c>
      <c r="C100" t="s">
        <v>12</v>
      </c>
      <c r="D100">
        <v>83880</v>
      </c>
      <c r="E100">
        <v>31</v>
      </c>
      <c r="F100">
        <v>6</v>
      </c>
      <c r="G100">
        <v>32</v>
      </c>
      <c r="H100" t="s">
        <v>14</v>
      </c>
      <c r="I100">
        <v>464.42</v>
      </c>
    </row>
    <row r="101" spans="1:9" x14ac:dyDescent="0.25">
      <c r="A101">
        <v>251</v>
      </c>
      <c r="B101">
        <v>43</v>
      </c>
      <c r="C101" t="s">
        <v>12</v>
      </c>
      <c r="D101">
        <v>89688</v>
      </c>
      <c r="E101">
        <v>27</v>
      </c>
      <c r="F101">
        <v>10</v>
      </c>
      <c r="G101">
        <v>30</v>
      </c>
      <c r="H101" t="s">
        <v>14</v>
      </c>
      <c r="I101">
        <v>223.64</v>
      </c>
    </row>
    <row r="102" spans="1:9" x14ac:dyDescent="0.25">
      <c r="A102">
        <v>283</v>
      </c>
      <c r="B102">
        <v>33</v>
      </c>
      <c r="C102" t="s">
        <v>12</v>
      </c>
      <c r="D102">
        <v>113187</v>
      </c>
      <c r="E102">
        <v>27</v>
      </c>
      <c r="F102">
        <v>9</v>
      </c>
      <c r="G102">
        <v>46</v>
      </c>
      <c r="H102" t="s">
        <v>14</v>
      </c>
      <c r="I102">
        <v>886.3</v>
      </c>
    </row>
    <row r="103" spans="1:9" x14ac:dyDescent="0.25">
      <c r="A103">
        <v>284</v>
      </c>
      <c r="B103">
        <v>43</v>
      </c>
      <c r="C103" t="s">
        <v>12</v>
      </c>
      <c r="D103">
        <v>77006</v>
      </c>
      <c r="E103">
        <v>27</v>
      </c>
      <c r="F103">
        <v>3</v>
      </c>
      <c r="G103">
        <v>36</v>
      </c>
      <c r="H103" t="s">
        <v>14</v>
      </c>
      <c r="I103">
        <v>223.98</v>
      </c>
    </row>
    <row r="104" spans="1:9" x14ac:dyDescent="0.25">
      <c r="A104">
        <v>290</v>
      </c>
      <c r="B104">
        <v>43</v>
      </c>
      <c r="C104" t="s">
        <v>12</v>
      </c>
      <c r="D104">
        <v>64136</v>
      </c>
      <c r="E104">
        <v>61</v>
      </c>
      <c r="F104">
        <v>1</v>
      </c>
      <c r="G104">
        <v>19</v>
      </c>
      <c r="H104" t="s">
        <v>14</v>
      </c>
      <c r="I104">
        <v>680.92</v>
      </c>
    </row>
    <row r="105" spans="1:9" x14ac:dyDescent="0.25">
      <c r="A105">
        <v>311</v>
      </c>
      <c r="B105">
        <v>53</v>
      </c>
      <c r="C105" t="s">
        <v>12</v>
      </c>
      <c r="D105">
        <v>138922</v>
      </c>
      <c r="E105">
        <v>45</v>
      </c>
      <c r="F105">
        <v>5</v>
      </c>
      <c r="G105">
        <v>22</v>
      </c>
      <c r="H105" t="s">
        <v>14</v>
      </c>
      <c r="I105">
        <v>154.06</v>
      </c>
    </row>
    <row r="106" spans="1:9" x14ac:dyDescent="0.25">
      <c r="A106">
        <v>358</v>
      </c>
      <c r="B106">
        <v>57</v>
      </c>
      <c r="C106" t="s">
        <v>12</v>
      </c>
      <c r="D106">
        <v>137205</v>
      </c>
      <c r="E106">
        <v>18</v>
      </c>
      <c r="F106">
        <v>1</v>
      </c>
      <c r="G106">
        <v>21</v>
      </c>
      <c r="H106" t="s">
        <v>14</v>
      </c>
      <c r="I106">
        <v>862.12</v>
      </c>
    </row>
    <row r="107" spans="1:9" x14ac:dyDescent="0.25">
      <c r="A107">
        <v>360</v>
      </c>
      <c r="B107">
        <v>38</v>
      </c>
      <c r="C107" t="s">
        <v>12</v>
      </c>
      <c r="D107">
        <v>40590</v>
      </c>
      <c r="E107">
        <v>91</v>
      </c>
      <c r="F107">
        <v>7</v>
      </c>
      <c r="G107">
        <v>27</v>
      </c>
      <c r="H107" t="s">
        <v>14</v>
      </c>
      <c r="I107">
        <v>617.64</v>
      </c>
    </row>
    <row r="108" spans="1:9" x14ac:dyDescent="0.25">
      <c r="A108">
        <v>390</v>
      </c>
      <c r="B108">
        <v>37</v>
      </c>
      <c r="C108" t="s">
        <v>12</v>
      </c>
      <c r="D108">
        <v>65343</v>
      </c>
      <c r="E108">
        <v>89</v>
      </c>
      <c r="F108">
        <v>3</v>
      </c>
      <c r="G108">
        <v>2</v>
      </c>
      <c r="H108" t="s">
        <v>14</v>
      </c>
      <c r="I108">
        <v>668.23</v>
      </c>
    </row>
    <row r="109" spans="1:9" x14ac:dyDescent="0.25">
      <c r="A109">
        <v>425</v>
      </c>
      <c r="B109">
        <v>41</v>
      </c>
      <c r="C109" t="s">
        <v>12</v>
      </c>
      <c r="D109">
        <v>67039</v>
      </c>
      <c r="E109">
        <v>100</v>
      </c>
      <c r="F109">
        <v>1</v>
      </c>
      <c r="G109">
        <v>36</v>
      </c>
      <c r="H109" t="s">
        <v>14</v>
      </c>
      <c r="I109">
        <v>178.68</v>
      </c>
    </row>
    <row r="110" spans="1:9" x14ac:dyDescent="0.25">
      <c r="A110">
        <v>429</v>
      </c>
      <c r="B110">
        <v>20</v>
      </c>
      <c r="C110" t="s">
        <v>12</v>
      </c>
      <c r="D110">
        <v>49308</v>
      </c>
      <c r="E110">
        <v>29</v>
      </c>
      <c r="F110">
        <v>6</v>
      </c>
      <c r="G110">
        <v>19</v>
      </c>
      <c r="H110" t="s">
        <v>14</v>
      </c>
      <c r="I110">
        <v>351.64</v>
      </c>
    </row>
    <row r="111" spans="1:9" x14ac:dyDescent="0.25">
      <c r="A111">
        <v>434</v>
      </c>
      <c r="B111">
        <v>57</v>
      </c>
      <c r="C111" t="s">
        <v>12</v>
      </c>
      <c r="D111">
        <v>60668</v>
      </c>
      <c r="E111">
        <v>66</v>
      </c>
      <c r="F111">
        <v>6</v>
      </c>
      <c r="G111">
        <v>28</v>
      </c>
      <c r="H111" t="s">
        <v>14</v>
      </c>
      <c r="I111">
        <v>984.6</v>
      </c>
    </row>
    <row r="112" spans="1:9" x14ac:dyDescent="0.25">
      <c r="A112">
        <v>446</v>
      </c>
      <c r="B112">
        <v>53</v>
      </c>
      <c r="C112" t="s">
        <v>12</v>
      </c>
      <c r="D112">
        <v>56570</v>
      </c>
      <c r="E112">
        <v>29</v>
      </c>
      <c r="F112">
        <v>7</v>
      </c>
      <c r="G112">
        <v>37</v>
      </c>
      <c r="H112" t="s">
        <v>14</v>
      </c>
      <c r="I112">
        <v>432.65</v>
      </c>
    </row>
    <row r="113" spans="1:9" x14ac:dyDescent="0.25">
      <c r="A113">
        <v>450</v>
      </c>
      <c r="B113">
        <v>48</v>
      </c>
      <c r="C113" t="s">
        <v>12</v>
      </c>
      <c r="D113">
        <v>60382</v>
      </c>
      <c r="E113">
        <v>13</v>
      </c>
      <c r="F113">
        <v>3</v>
      </c>
      <c r="G113">
        <v>27</v>
      </c>
      <c r="H113" t="s">
        <v>14</v>
      </c>
      <c r="I113">
        <v>694.59</v>
      </c>
    </row>
    <row r="114" spans="1:9" x14ac:dyDescent="0.25">
      <c r="A114">
        <v>453</v>
      </c>
      <c r="B114">
        <v>30</v>
      </c>
      <c r="C114" t="s">
        <v>12</v>
      </c>
      <c r="D114">
        <v>35565</v>
      </c>
      <c r="E114">
        <v>83</v>
      </c>
      <c r="F114">
        <v>8</v>
      </c>
      <c r="G114">
        <v>17</v>
      </c>
      <c r="H114" t="s">
        <v>14</v>
      </c>
      <c r="I114">
        <v>238.79</v>
      </c>
    </row>
    <row r="115" spans="1:9" x14ac:dyDescent="0.25">
      <c r="A115">
        <v>503</v>
      </c>
      <c r="B115">
        <v>22</v>
      </c>
      <c r="C115" t="s">
        <v>12</v>
      </c>
      <c r="D115">
        <v>75626</v>
      </c>
      <c r="E115">
        <v>52</v>
      </c>
      <c r="F115">
        <v>7</v>
      </c>
      <c r="G115">
        <v>34</v>
      </c>
      <c r="H115" t="s">
        <v>14</v>
      </c>
      <c r="I115">
        <v>154.66999999999999</v>
      </c>
    </row>
    <row r="116" spans="1:9" x14ac:dyDescent="0.25">
      <c r="A116">
        <v>505</v>
      </c>
      <c r="B116">
        <v>22</v>
      </c>
      <c r="C116" t="s">
        <v>12</v>
      </c>
      <c r="D116">
        <v>53863</v>
      </c>
      <c r="E116">
        <v>96</v>
      </c>
      <c r="F116">
        <v>10</v>
      </c>
      <c r="G116">
        <v>41</v>
      </c>
      <c r="H116" t="s">
        <v>14</v>
      </c>
      <c r="I116">
        <v>491.64</v>
      </c>
    </row>
    <row r="117" spans="1:9" x14ac:dyDescent="0.25">
      <c r="A117">
        <v>520</v>
      </c>
      <c r="B117">
        <v>38</v>
      </c>
      <c r="C117" t="s">
        <v>12</v>
      </c>
      <c r="D117">
        <v>54918</v>
      </c>
      <c r="E117">
        <v>1</v>
      </c>
      <c r="F117">
        <v>6</v>
      </c>
      <c r="G117">
        <v>6</v>
      </c>
      <c r="H117" t="s">
        <v>14</v>
      </c>
      <c r="I117">
        <v>979.26</v>
      </c>
    </row>
    <row r="118" spans="1:9" x14ac:dyDescent="0.25">
      <c r="A118">
        <v>539</v>
      </c>
      <c r="B118">
        <v>27</v>
      </c>
      <c r="C118" t="s">
        <v>12</v>
      </c>
      <c r="D118">
        <v>73823</v>
      </c>
      <c r="E118">
        <v>11</v>
      </c>
      <c r="F118">
        <v>8</v>
      </c>
      <c r="G118">
        <v>23</v>
      </c>
      <c r="H118" t="s">
        <v>14</v>
      </c>
      <c r="I118">
        <v>27.4</v>
      </c>
    </row>
    <row r="119" spans="1:9" x14ac:dyDescent="0.25">
      <c r="A119">
        <v>551</v>
      </c>
      <c r="B119">
        <v>50</v>
      </c>
      <c r="C119" t="s">
        <v>12</v>
      </c>
      <c r="D119">
        <v>43965</v>
      </c>
      <c r="E119">
        <v>83</v>
      </c>
      <c r="F119">
        <v>3</v>
      </c>
      <c r="G119">
        <v>17</v>
      </c>
      <c r="H119" t="s">
        <v>14</v>
      </c>
      <c r="I119">
        <v>83.38</v>
      </c>
    </row>
    <row r="120" spans="1:9" x14ac:dyDescent="0.25">
      <c r="A120">
        <v>572</v>
      </c>
      <c r="B120">
        <v>19</v>
      </c>
      <c r="C120" t="s">
        <v>12</v>
      </c>
      <c r="D120">
        <v>134193</v>
      </c>
      <c r="E120">
        <v>95</v>
      </c>
      <c r="F120">
        <v>7</v>
      </c>
      <c r="G120">
        <v>44</v>
      </c>
      <c r="H120" t="s">
        <v>14</v>
      </c>
      <c r="I120">
        <v>97.65</v>
      </c>
    </row>
    <row r="121" spans="1:9" x14ac:dyDescent="0.25">
      <c r="A121">
        <v>578</v>
      </c>
      <c r="B121">
        <v>64</v>
      </c>
      <c r="C121" t="s">
        <v>12</v>
      </c>
      <c r="D121">
        <v>43175</v>
      </c>
      <c r="E121">
        <v>59</v>
      </c>
      <c r="F121">
        <v>10</v>
      </c>
      <c r="G121">
        <v>35</v>
      </c>
      <c r="H121" t="s">
        <v>14</v>
      </c>
      <c r="I121">
        <v>363.86</v>
      </c>
    </row>
    <row r="122" spans="1:9" x14ac:dyDescent="0.25">
      <c r="A122">
        <v>582</v>
      </c>
      <c r="B122">
        <v>19</v>
      </c>
      <c r="C122" t="s">
        <v>12</v>
      </c>
      <c r="D122">
        <v>135968</v>
      </c>
      <c r="E122">
        <v>50</v>
      </c>
      <c r="F122">
        <v>4</v>
      </c>
      <c r="G122">
        <v>49</v>
      </c>
      <c r="H122" t="s">
        <v>14</v>
      </c>
      <c r="I122">
        <v>174.43</v>
      </c>
    </row>
    <row r="123" spans="1:9" x14ac:dyDescent="0.25">
      <c r="A123">
        <v>591</v>
      </c>
      <c r="B123">
        <v>53</v>
      </c>
      <c r="C123" t="s">
        <v>12</v>
      </c>
      <c r="D123">
        <v>108263</v>
      </c>
      <c r="E123">
        <v>21</v>
      </c>
      <c r="F123">
        <v>1</v>
      </c>
      <c r="G123">
        <v>47</v>
      </c>
      <c r="H123" t="s">
        <v>14</v>
      </c>
      <c r="I123">
        <v>734.48</v>
      </c>
    </row>
    <row r="124" spans="1:9" x14ac:dyDescent="0.25">
      <c r="A124">
        <v>602</v>
      </c>
      <c r="B124">
        <v>20</v>
      </c>
      <c r="C124" t="s">
        <v>12</v>
      </c>
      <c r="D124">
        <v>145924</v>
      </c>
      <c r="E124">
        <v>64</v>
      </c>
      <c r="F124">
        <v>5</v>
      </c>
      <c r="G124">
        <v>18</v>
      </c>
      <c r="H124" t="s">
        <v>14</v>
      </c>
      <c r="I124">
        <v>495.49</v>
      </c>
    </row>
    <row r="125" spans="1:9" x14ac:dyDescent="0.25">
      <c r="A125">
        <v>615</v>
      </c>
      <c r="B125">
        <v>69</v>
      </c>
      <c r="C125" t="s">
        <v>12</v>
      </c>
      <c r="D125">
        <v>141965</v>
      </c>
      <c r="E125">
        <v>98</v>
      </c>
      <c r="F125">
        <v>5</v>
      </c>
      <c r="G125">
        <v>35</v>
      </c>
      <c r="H125" t="s">
        <v>14</v>
      </c>
      <c r="I125">
        <v>616.66</v>
      </c>
    </row>
    <row r="126" spans="1:9" x14ac:dyDescent="0.25">
      <c r="A126">
        <v>621</v>
      </c>
      <c r="B126">
        <v>20</v>
      </c>
      <c r="C126" t="s">
        <v>12</v>
      </c>
      <c r="D126">
        <v>122028</v>
      </c>
      <c r="E126">
        <v>40</v>
      </c>
      <c r="F126">
        <v>3</v>
      </c>
      <c r="G126">
        <v>6</v>
      </c>
      <c r="H126" t="s">
        <v>14</v>
      </c>
      <c r="I126">
        <v>777.44</v>
      </c>
    </row>
    <row r="127" spans="1:9" x14ac:dyDescent="0.25">
      <c r="A127">
        <v>646</v>
      </c>
      <c r="B127">
        <v>62</v>
      </c>
      <c r="C127" t="s">
        <v>12</v>
      </c>
      <c r="D127">
        <v>113856</v>
      </c>
      <c r="E127">
        <v>78</v>
      </c>
      <c r="F127">
        <v>6</v>
      </c>
      <c r="G127">
        <v>50</v>
      </c>
      <c r="H127" t="s">
        <v>14</v>
      </c>
      <c r="I127">
        <v>720.47</v>
      </c>
    </row>
    <row r="128" spans="1:9" x14ac:dyDescent="0.25">
      <c r="A128">
        <v>657</v>
      </c>
      <c r="B128">
        <v>27</v>
      </c>
      <c r="C128" t="s">
        <v>12</v>
      </c>
      <c r="D128">
        <v>81110</v>
      </c>
      <c r="E128">
        <v>44</v>
      </c>
      <c r="F128">
        <v>6</v>
      </c>
      <c r="G128">
        <v>8</v>
      </c>
      <c r="H128" t="s">
        <v>14</v>
      </c>
      <c r="I128">
        <v>654.04999999999995</v>
      </c>
    </row>
    <row r="129" spans="1:9" x14ac:dyDescent="0.25">
      <c r="A129">
        <v>682</v>
      </c>
      <c r="B129">
        <v>61</v>
      </c>
      <c r="C129" t="s">
        <v>12</v>
      </c>
      <c r="D129">
        <v>136973</v>
      </c>
      <c r="E129">
        <v>27</v>
      </c>
      <c r="F129">
        <v>7</v>
      </c>
      <c r="G129">
        <v>2</v>
      </c>
      <c r="H129" t="s">
        <v>14</v>
      </c>
      <c r="I129">
        <v>269.2</v>
      </c>
    </row>
    <row r="130" spans="1:9" x14ac:dyDescent="0.25">
      <c r="A130">
        <v>692</v>
      </c>
      <c r="B130">
        <v>23</v>
      </c>
      <c r="C130" t="s">
        <v>12</v>
      </c>
      <c r="D130">
        <v>57558</v>
      </c>
      <c r="E130">
        <v>28</v>
      </c>
      <c r="F130">
        <v>6</v>
      </c>
      <c r="G130">
        <v>23</v>
      </c>
      <c r="H130" t="s">
        <v>14</v>
      </c>
      <c r="I130">
        <v>800.78</v>
      </c>
    </row>
    <row r="131" spans="1:9" x14ac:dyDescent="0.25">
      <c r="A131">
        <v>695</v>
      </c>
      <c r="B131">
        <v>45</v>
      </c>
      <c r="C131" t="s">
        <v>12</v>
      </c>
      <c r="D131">
        <v>53474</v>
      </c>
      <c r="E131">
        <v>79</v>
      </c>
      <c r="F131">
        <v>8</v>
      </c>
      <c r="G131">
        <v>21</v>
      </c>
      <c r="H131" t="s">
        <v>14</v>
      </c>
      <c r="I131">
        <v>40.32</v>
      </c>
    </row>
    <row r="132" spans="1:9" x14ac:dyDescent="0.25">
      <c r="A132">
        <v>700</v>
      </c>
      <c r="B132">
        <v>31</v>
      </c>
      <c r="C132" t="s">
        <v>12</v>
      </c>
      <c r="D132">
        <v>33604</v>
      </c>
      <c r="E132">
        <v>8</v>
      </c>
      <c r="F132">
        <v>5</v>
      </c>
      <c r="G132">
        <v>2</v>
      </c>
      <c r="H132" t="s">
        <v>14</v>
      </c>
      <c r="I132">
        <v>984.15</v>
      </c>
    </row>
    <row r="133" spans="1:9" x14ac:dyDescent="0.25">
      <c r="A133">
        <v>733</v>
      </c>
      <c r="B133">
        <v>49</v>
      </c>
      <c r="C133" t="s">
        <v>12</v>
      </c>
      <c r="D133">
        <v>56707</v>
      </c>
      <c r="E133">
        <v>6</v>
      </c>
      <c r="F133">
        <v>8</v>
      </c>
      <c r="G133">
        <v>29</v>
      </c>
      <c r="H133" t="s">
        <v>14</v>
      </c>
      <c r="I133">
        <v>604.53</v>
      </c>
    </row>
    <row r="134" spans="1:9" x14ac:dyDescent="0.25">
      <c r="A134">
        <v>739</v>
      </c>
      <c r="B134">
        <v>61</v>
      </c>
      <c r="C134" t="s">
        <v>12</v>
      </c>
      <c r="D134">
        <v>113380</v>
      </c>
      <c r="E134">
        <v>27</v>
      </c>
      <c r="F134">
        <v>2</v>
      </c>
      <c r="G134">
        <v>17</v>
      </c>
      <c r="H134" t="s">
        <v>14</v>
      </c>
      <c r="I134">
        <v>177.5</v>
      </c>
    </row>
    <row r="135" spans="1:9" x14ac:dyDescent="0.25">
      <c r="A135">
        <v>744</v>
      </c>
      <c r="B135">
        <v>56</v>
      </c>
      <c r="C135" t="s">
        <v>12</v>
      </c>
      <c r="D135">
        <v>90816</v>
      </c>
      <c r="E135">
        <v>20</v>
      </c>
      <c r="F135">
        <v>10</v>
      </c>
      <c r="G135">
        <v>35</v>
      </c>
      <c r="H135" t="s">
        <v>14</v>
      </c>
      <c r="I135">
        <v>808.16</v>
      </c>
    </row>
    <row r="136" spans="1:9" x14ac:dyDescent="0.25">
      <c r="A136">
        <v>746</v>
      </c>
      <c r="B136">
        <v>60</v>
      </c>
      <c r="C136" t="s">
        <v>12</v>
      </c>
      <c r="D136">
        <v>34657</v>
      </c>
      <c r="E136">
        <v>99</v>
      </c>
      <c r="F136">
        <v>10</v>
      </c>
      <c r="G136">
        <v>3</v>
      </c>
      <c r="H136" t="s">
        <v>14</v>
      </c>
      <c r="I136">
        <v>983.3</v>
      </c>
    </row>
    <row r="137" spans="1:9" x14ac:dyDescent="0.25">
      <c r="A137">
        <v>782</v>
      </c>
      <c r="B137">
        <v>22</v>
      </c>
      <c r="C137" t="s">
        <v>12</v>
      </c>
      <c r="D137">
        <v>118840</v>
      </c>
      <c r="E137">
        <v>32</v>
      </c>
      <c r="F137">
        <v>9</v>
      </c>
      <c r="G137">
        <v>9</v>
      </c>
      <c r="H137" t="s">
        <v>14</v>
      </c>
      <c r="I137">
        <v>819.14</v>
      </c>
    </row>
    <row r="138" spans="1:9" x14ac:dyDescent="0.25">
      <c r="A138">
        <v>794</v>
      </c>
      <c r="B138">
        <v>50</v>
      </c>
      <c r="C138" t="s">
        <v>12</v>
      </c>
      <c r="D138">
        <v>103921</v>
      </c>
      <c r="E138">
        <v>58</v>
      </c>
      <c r="F138">
        <v>2</v>
      </c>
      <c r="G138">
        <v>3</v>
      </c>
      <c r="H138" t="s">
        <v>14</v>
      </c>
      <c r="I138">
        <v>687.32</v>
      </c>
    </row>
    <row r="139" spans="1:9" x14ac:dyDescent="0.25">
      <c r="A139">
        <v>810</v>
      </c>
      <c r="B139">
        <v>35</v>
      </c>
      <c r="C139" t="s">
        <v>12</v>
      </c>
      <c r="D139">
        <v>83547</v>
      </c>
      <c r="E139">
        <v>27</v>
      </c>
      <c r="F139">
        <v>7</v>
      </c>
      <c r="G139">
        <v>40</v>
      </c>
      <c r="H139" t="s">
        <v>14</v>
      </c>
      <c r="I139">
        <v>570.08000000000004</v>
      </c>
    </row>
    <row r="140" spans="1:9" x14ac:dyDescent="0.25">
      <c r="A140">
        <v>828</v>
      </c>
      <c r="B140">
        <v>34</v>
      </c>
      <c r="C140" t="s">
        <v>12</v>
      </c>
      <c r="D140">
        <v>43316</v>
      </c>
      <c r="E140">
        <v>72</v>
      </c>
      <c r="F140">
        <v>7</v>
      </c>
      <c r="G140">
        <v>13</v>
      </c>
      <c r="H140" t="s">
        <v>14</v>
      </c>
      <c r="I140">
        <v>274.88</v>
      </c>
    </row>
    <row r="141" spans="1:9" x14ac:dyDescent="0.25">
      <c r="A141">
        <v>838</v>
      </c>
      <c r="B141">
        <v>57</v>
      </c>
      <c r="C141" t="s">
        <v>12</v>
      </c>
      <c r="D141">
        <v>98928</v>
      </c>
      <c r="E141">
        <v>80</v>
      </c>
      <c r="F141">
        <v>3</v>
      </c>
      <c r="G141">
        <v>33</v>
      </c>
      <c r="H141" t="s">
        <v>14</v>
      </c>
      <c r="I141">
        <v>934.98</v>
      </c>
    </row>
    <row r="142" spans="1:9" x14ac:dyDescent="0.25">
      <c r="A142">
        <v>859</v>
      </c>
      <c r="B142">
        <v>22</v>
      </c>
      <c r="C142" t="s">
        <v>12</v>
      </c>
      <c r="D142">
        <v>62752</v>
      </c>
      <c r="E142">
        <v>2</v>
      </c>
      <c r="F142">
        <v>10</v>
      </c>
      <c r="G142">
        <v>22</v>
      </c>
      <c r="H142" t="s">
        <v>14</v>
      </c>
      <c r="I142">
        <v>469.36</v>
      </c>
    </row>
    <row r="143" spans="1:9" x14ac:dyDescent="0.25">
      <c r="A143">
        <v>860</v>
      </c>
      <c r="B143">
        <v>22</v>
      </c>
      <c r="C143" t="s">
        <v>12</v>
      </c>
      <c r="D143">
        <v>46866</v>
      </c>
      <c r="E143">
        <v>3</v>
      </c>
      <c r="F143">
        <v>7</v>
      </c>
      <c r="G143">
        <v>46</v>
      </c>
      <c r="H143" t="s">
        <v>14</v>
      </c>
      <c r="I143">
        <v>737.44</v>
      </c>
    </row>
    <row r="144" spans="1:9" x14ac:dyDescent="0.25">
      <c r="A144">
        <v>864</v>
      </c>
      <c r="B144">
        <v>41</v>
      </c>
      <c r="C144" t="s">
        <v>12</v>
      </c>
      <c r="D144">
        <v>92371</v>
      </c>
      <c r="E144">
        <v>28</v>
      </c>
      <c r="F144">
        <v>10</v>
      </c>
      <c r="G144">
        <v>48</v>
      </c>
      <c r="H144" t="s">
        <v>14</v>
      </c>
      <c r="I144">
        <v>594.96</v>
      </c>
    </row>
    <row r="145" spans="1:9" x14ac:dyDescent="0.25">
      <c r="A145">
        <v>866</v>
      </c>
      <c r="B145">
        <v>22</v>
      </c>
      <c r="C145" t="s">
        <v>12</v>
      </c>
      <c r="D145">
        <v>48068</v>
      </c>
      <c r="E145">
        <v>57</v>
      </c>
      <c r="F145">
        <v>2</v>
      </c>
      <c r="G145">
        <v>24</v>
      </c>
      <c r="H145" t="s">
        <v>14</v>
      </c>
      <c r="I145">
        <v>683.02</v>
      </c>
    </row>
    <row r="146" spans="1:9" x14ac:dyDescent="0.25">
      <c r="A146">
        <v>897</v>
      </c>
      <c r="B146">
        <v>32</v>
      </c>
      <c r="C146" t="s">
        <v>12</v>
      </c>
      <c r="D146">
        <v>81701</v>
      </c>
      <c r="E146">
        <v>96</v>
      </c>
      <c r="F146">
        <v>9</v>
      </c>
      <c r="G146">
        <v>49</v>
      </c>
      <c r="H146" t="s">
        <v>14</v>
      </c>
      <c r="I146">
        <v>77.45</v>
      </c>
    </row>
    <row r="147" spans="1:9" x14ac:dyDescent="0.25">
      <c r="A147">
        <v>899</v>
      </c>
      <c r="B147">
        <v>48</v>
      </c>
      <c r="C147" t="s">
        <v>12</v>
      </c>
      <c r="D147">
        <v>134463</v>
      </c>
      <c r="E147">
        <v>32</v>
      </c>
      <c r="F147">
        <v>2</v>
      </c>
      <c r="G147">
        <v>7</v>
      </c>
      <c r="H147" t="s">
        <v>14</v>
      </c>
      <c r="I147">
        <v>535.1</v>
      </c>
    </row>
    <row r="148" spans="1:9" x14ac:dyDescent="0.25">
      <c r="A148">
        <v>906</v>
      </c>
      <c r="B148">
        <v>25</v>
      </c>
      <c r="C148" t="s">
        <v>12</v>
      </c>
      <c r="D148">
        <v>130604</v>
      </c>
      <c r="E148">
        <v>100</v>
      </c>
      <c r="F148">
        <v>4</v>
      </c>
      <c r="G148">
        <v>41</v>
      </c>
      <c r="H148" t="s">
        <v>14</v>
      </c>
      <c r="I148">
        <v>355.45</v>
      </c>
    </row>
    <row r="149" spans="1:9" x14ac:dyDescent="0.25">
      <c r="A149">
        <v>913</v>
      </c>
      <c r="B149">
        <v>38</v>
      </c>
      <c r="C149" t="s">
        <v>12</v>
      </c>
      <c r="D149">
        <v>45551</v>
      </c>
      <c r="E149">
        <v>100</v>
      </c>
      <c r="F149">
        <v>10</v>
      </c>
      <c r="G149">
        <v>22</v>
      </c>
      <c r="H149" t="s">
        <v>14</v>
      </c>
      <c r="I149">
        <v>99.63</v>
      </c>
    </row>
    <row r="150" spans="1:9" x14ac:dyDescent="0.25">
      <c r="A150">
        <v>914</v>
      </c>
      <c r="B150">
        <v>55</v>
      </c>
      <c r="C150" t="s">
        <v>12</v>
      </c>
      <c r="D150">
        <v>109314</v>
      </c>
      <c r="E150">
        <v>72</v>
      </c>
      <c r="F150">
        <v>10</v>
      </c>
      <c r="G150">
        <v>47</v>
      </c>
      <c r="H150" t="s">
        <v>14</v>
      </c>
      <c r="I150">
        <v>438.97</v>
      </c>
    </row>
    <row r="151" spans="1:9" x14ac:dyDescent="0.25">
      <c r="A151">
        <v>929</v>
      </c>
      <c r="B151">
        <v>35</v>
      </c>
      <c r="C151" t="s">
        <v>12</v>
      </c>
      <c r="D151">
        <v>48768</v>
      </c>
      <c r="E151">
        <v>43</v>
      </c>
      <c r="F151">
        <v>2</v>
      </c>
      <c r="G151">
        <v>5</v>
      </c>
      <c r="H151" t="s">
        <v>14</v>
      </c>
      <c r="I151">
        <v>746.74</v>
      </c>
    </row>
    <row r="152" spans="1:9" x14ac:dyDescent="0.25">
      <c r="A152">
        <v>933</v>
      </c>
      <c r="B152">
        <v>18</v>
      </c>
      <c r="C152" t="s">
        <v>12</v>
      </c>
      <c r="D152">
        <v>117893</v>
      </c>
      <c r="E152">
        <v>84</v>
      </c>
      <c r="F152">
        <v>3</v>
      </c>
      <c r="G152">
        <v>24</v>
      </c>
      <c r="H152" t="s">
        <v>14</v>
      </c>
      <c r="I152">
        <v>413.27</v>
      </c>
    </row>
    <row r="153" spans="1:9" x14ac:dyDescent="0.25">
      <c r="A153">
        <v>954</v>
      </c>
      <c r="B153">
        <v>44</v>
      </c>
      <c r="C153" t="s">
        <v>12</v>
      </c>
      <c r="D153">
        <v>123822</v>
      </c>
      <c r="E153">
        <v>20</v>
      </c>
      <c r="F153">
        <v>4</v>
      </c>
      <c r="G153">
        <v>8</v>
      </c>
      <c r="H153" t="s">
        <v>14</v>
      </c>
      <c r="I153">
        <v>209.75</v>
      </c>
    </row>
    <row r="154" spans="1:9" x14ac:dyDescent="0.25">
      <c r="A154">
        <v>976</v>
      </c>
      <c r="B154">
        <v>30</v>
      </c>
      <c r="C154" t="s">
        <v>12</v>
      </c>
      <c r="D154">
        <v>54930</v>
      </c>
      <c r="E154">
        <v>12</v>
      </c>
      <c r="F154">
        <v>9</v>
      </c>
      <c r="G154">
        <v>13</v>
      </c>
      <c r="H154" t="s">
        <v>14</v>
      </c>
      <c r="I154">
        <v>724.88</v>
      </c>
    </row>
    <row r="155" spans="1:9" x14ac:dyDescent="0.25">
      <c r="A155">
        <v>9</v>
      </c>
      <c r="B155">
        <v>53</v>
      </c>
      <c r="C155" t="s">
        <v>12</v>
      </c>
      <c r="D155">
        <v>34424</v>
      </c>
      <c r="E155">
        <v>29</v>
      </c>
      <c r="F155">
        <v>6</v>
      </c>
      <c r="G155">
        <v>7</v>
      </c>
      <c r="H155" t="s">
        <v>15</v>
      </c>
      <c r="I155">
        <v>951.71</v>
      </c>
    </row>
    <row r="156" spans="1:9" x14ac:dyDescent="0.25">
      <c r="A156">
        <v>18</v>
      </c>
      <c r="B156">
        <v>22</v>
      </c>
      <c r="C156" t="s">
        <v>12</v>
      </c>
      <c r="D156">
        <v>41849</v>
      </c>
      <c r="E156">
        <v>22</v>
      </c>
      <c r="F156">
        <v>1</v>
      </c>
      <c r="G156">
        <v>31</v>
      </c>
      <c r="H156" t="s">
        <v>15</v>
      </c>
      <c r="I156">
        <v>844.08</v>
      </c>
    </row>
    <row r="157" spans="1:9" x14ac:dyDescent="0.25">
      <c r="A157">
        <v>88</v>
      </c>
      <c r="B157">
        <v>31</v>
      </c>
      <c r="C157" t="s">
        <v>12</v>
      </c>
      <c r="D157">
        <v>55100</v>
      </c>
      <c r="E157">
        <v>20</v>
      </c>
      <c r="F157">
        <v>7</v>
      </c>
      <c r="G157">
        <v>31</v>
      </c>
      <c r="H157" t="s">
        <v>15</v>
      </c>
      <c r="I157">
        <v>59.84</v>
      </c>
    </row>
    <row r="158" spans="1:9" x14ac:dyDescent="0.25">
      <c r="A158">
        <v>111</v>
      </c>
      <c r="B158">
        <v>37</v>
      </c>
      <c r="C158" t="s">
        <v>12</v>
      </c>
      <c r="D158">
        <v>111242</v>
      </c>
      <c r="E158">
        <v>33</v>
      </c>
      <c r="F158">
        <v>5</v>
      </c>
      <c r="G158">
        <v>34</v>
      </c>
      <c r="H158" t="s">
        <v>15</v>
      </c>
      <c r="I158">
        <v>756.32</v>
      </c>
    </row>
    <row r="159" spans="1:9" x14ac:dyDescent="0.25">
      <c r="A159">
        <v>114</v>
      </c>
      <c r="B159">
        <v>32</v>
      </c>
      <c r="C159" t="s">
        <v>12</v>
      </c>
      <c r="D159">
        <v>35514</v>
      </c>
      <c r="E159">
        <v>4</v>
      </c>
      <c r="F159">
        <v>5</v>
      </c>
      <c r="G159">
        <v>36</v>
      </c>
      <c r="H159" t="s">
        <v>15</v>
      </c>
      <c r="I159">
        <v>415.44</v>
      </c>
    </row>
    <row r="160" spans="1:9" x14ac:dyDescent="0.25">
      <c r="A160">
        <v>127</v>
      </c>
      <c r="B160">
        <v>58</v>
      </c>
      <c r="C160" t="s">
        <v>12</v>
      </c>
      <c r="D160">
        <v>32860</v>
      </c>
      <c r="E160">
        <v>90</v>
      </c>
      <c r="F160">
        <v>5</v>
      </c>
      <c r="G160">
        <v>18</v>
      </c>
      <c r="H160" t="s">
        <v>15</v>
      </c>
      <c r="I160">
        <v>405.05</v>
      </c>
    </row>
    <row r="161" spans="1:9" x14ac:dyDescent="0.25">
      <c r="A161">
        <v>131</v>
      </c>
      <c r="B161">
        <v>51</v>
      </c>
      <c r="C161" t="s">
        <v>12</v>
      </c>
      <c r="D161">
        <v>42337</v>
      </c>
      <c r="E161">
        <v>70</v>
      </c>
      <c r="F161">
        <v>9</v>
      </c>
      <c r="G161">
        <v>28</v>
      </c>
      <c r="H161" t="s">
        <v>15</v>
      </c>
      <c r="I161">
        <v>914.97</v>
      </c>
    </row>
    <row r="162" spans="1:9" x14ac:dyDescent="0.25">
      <c r="A162">
        <v>134</v>
      </c>
      <c r="B162">
        <v>26</v>
      </c>
      <c r="C162" t="s">
        <v>12</v>
      </c>
      <c r="D162">
        <v>62131</v>
      </c>
      <c r="E162">
        <v>91</v>
      </c>
      <c r="F162">
        <v>6</v>
      </c>
      <c r="G162">
        <v>18</v>
      </c>
      <c r="H162" t="s">
        <v>15</v>
      </c>
      <c r="I162">
        <v>70.56</v>
      </c>
    </row>
    <row r="163" spans="1:9" x14ac:dyDescent="0.25">
      <c r="A163">
        <v>136</v>
      </c>
      <c r="B163">
        <v>31</v>
      </c>
      <c r="C163" t="s">
        <v>12</v>
      </c>
      <c r="D163">
        <v>145261</v>
      </c>
      <c r="E163">
        <v>25</v>
      </c>
      <c r="F163">
        <v>10</v>
      </c>
      <c r="G163">
        <v>37</v>
      </c>
      <c r="H163" t="s">
        <v>15</v>
      </c>
      <c r="I163">
        <v>378.4</v>
      </c>
    </row>
    <row r="164" spans="1:9" x14ac:dyDescent="0.25">
      <c r="A164">
        <v>137</v>
      </c>
      <c r="B164">
        <v>48</v>
      </c>
      <c r="C164" t="s">
        <v>12</v>
      </c>
      <c r="D164">
        <v>81763</v>
      </c>
      <c r="E164">
        <v>49</v>
      </c>
      <c r="F164">
        <v>6</v>
      </c>
      <c r="G164">
        <v>46</v>
      </c>
      <c r="H164" t="s">
        <v>15</v>
      </c>
      <c r="I164">
        <v>179.25</v>
      </c>
    </row>
    <row r="165" spans="1:9" x14ac:dyDescent="0.25">
      <c r="A165">
        <v>163</v>
      </c>
      <c r="B165">
        <v>45</v>
      </c>
      <c r="C165" t="s">
        <v>12</v>
      </c>
      <c r="D165">
        <v>76259</v>
      </c>
      <c r="E165">
        <v>72</v>
      </c>
      <c r="F165">
        <v>5</v>
      </c>
      <c r="G165">
        <v>41</v>
      </c>
      <c r="H165" t="s">
        <v>15</v>
      </c>
      <c r="I165">
        <v>228.88</v>
      </c>
    </row>
    <row r="166" spans="1:9" x14ac:dyDescent="0.25">
      <c r="A166">
        <v>176</v>
      </c>
      <c r="B166">
        <v>34</v>
      </c>
      <c r="C166" t="s">
        <v>12</v>
      </c>
      <c r="D166">
        <v>79572</v>
      </c>
      <c r="E166">
        <v>62</v>
      </c>
      <c r="F166">
        <v>2</v>
      </c>
      <c r="G166">
        <v>24</v>
      </c>
      <c r="H166" t="s">
        <v>15</v>
      </c>
      <c r="I166">
        <v>843.15</v>
      </c>
    </row>
    <row r="167" spans="1:9" x14ac:dyDescent="0.25">
      <c r="A167">
        <v>188</v>
      </c>
      <c r="B167">
        <v>55</v>
      </c>
      <c r="C167" t="s">
        <v>12</v>
      </c>
      <c r="D167">
        <v>77060</v>
      </c>
      <c r="E167">
        <v>14</v>
      </c>
      <c r="F167">
        <v>2</v>
      </c>
      <c r="G167">
        <v>16</v>
      </c>
      <c r="H167" t="s">
        <v>15</v>
      </c>
      <c r="I167">
        <v>286.79000000000002</v>
      </c>
    </row>
    <row r="168" spans="1:9" x14ac:dyDescent="0.25">
      <c r="A168">
        <v>202</v>
      </c>
      <c r="B168">
        <v>25</v>
      </c>
      <c r="C168" t="s">
        <v>12</v>
      </c>
      <c r="D168">
        <v>30570</v>
      </c>
      <c r="E168">
        <v>16</v>
      </c>
      <c r="F168">
        <v>8</v>
      </c>
      <c r="G168">
        <v>44</v>
      </c>
      <c r="H168" t="s">
        <v>15</v>
      </c>
      <c r="I168">
        <v>971.09</v>
      </c>
    </row>
    <row r="169" spans="1:9" x14ac:dyDescent="0.25">
      <c r="A169">
        <v>207</v>
      </c>
      <c r="B169">
        <v>58</v>
      </c>
      <c r="C169" t="s">
        <v>12</v>
      </c>
      <c r="D169">
        <v>48714</v>
      </c>
      <c r="E169">
        <v>75</v>
      </c>
      <c r="F169">
        <v>10</v>
      </c>
      <c r="G169">
        <v>40</v>
      </c>
      <c r="H169" t="s">
        <v>15</v>
      </c>
      <c r="I169">
        <v>324.91000000000003</v>
      </c>
    </row>
    <row r="170" spans="1:9" x14ac:dyDescent="0.25">
      <c r="A170">
        <v>257</v>
      </c>
      <c r="B170">
        <v>26</v>
      </c>
      <c r="C170" t="s">
        <v>12</v>
      </c>
      <c r="D170">
        <v>134203</v>
      </c>
      <c r="E170">
        <v>19</v>
      </c>
      <c r="F170">
        <v>3</v>
      </c>
      <c r="G170">
        <v>28</v>
      </c>
      <c r="H170" t="s">
        <v>15</v>
      </c>
      <c r="I170">
        <v>935.64</v>
      </c>
    </row>
    <row r="171" spans="1:9" x14ac:dyDescent="0.25">
      <c r="A171">
        <v>289</v>
      </c>
      <c r="B171">
        <v>38</v>
      </c>
      <c r="C171" t="s">
        <v>12</v>
      </c>
      <c r="D171">
        <v>84577</v>
      </c>
      <c r="E171">
        <v>70</v>
      </c>
      <c r="F171">
        <v>7</v>
      </c>
      <c r="G171">
        <v>27</v>
      </c>
      <c r="H171" t="s">
        <v>15</v>
      </c>
      <c r="I171">
        <v>631.28</v>
      </c>
    </row>
    <row r="172" spans="1:9" x14ac:dyDescent="0.25">
      <c r="A172">
        <v>297</v>
      </c>
      <c r="B172">
        <v>40</v>
      </c>
      <c r="C172" t="s">
        <v>12</v>
      </c>
      <c r="D172">
        <v>97995</v>
      </c>
      <c r="E172">
        <v>47</v>
      </c>
      <c r="F172">
        <v>4</v>
      </c>
      <c r="G172">
        <v>9</v>
      </c>
      <c r="H172" t="s">
        <v>15</v>
      </c>
      <c r="I172">
        <v>101.35</v>
      </c>
    </row>
    <row r="173" spans="1:9" x14ac:dyDescent="0.25">
      <c r="A173">
        <v>298</v>
      </c>
      <c r="B173">
        <v>39</v>
      </c>
      <c r="C173" t="s">
        <v>12</v>
      </c>
      <c r="D173">
        <v>132488</v>
      </c>
      <c r="E173">
        <v>40</v>
      </c>
      <c r="F173">
        <v>5</v>
      </c>
      <c r="G173">
        <v>37</v>
      </c>
      <c r="H173" t="s">
        <v>15</v>
      </c>
      <c r="I173">
        <v>82.16</v>
      </c>
    </row>
    <row r="174" spans="1:9" x14ac:dyDescent="0.25">
      <c r="A174">
        <v>305</v>
      </c>
      <c r="B174">
        <v>32</v>
      </c>
      <c r="C174" t="s">
        <v>12</v>
      </c>
      <c r="D174">
        <v>39407</v>
      </c>
      <c r="E174">
        <v>50</v>
      </c>
      <c r="F174">
        <v>6</v>
      </c>
      <c r="G174">
        <v>13</v>
      </c>
      <c r="H174" t="s">
        <v>15</v>
      </c>
      <c r="I174">
        <v>844.22</v>
      </c>
    </row>
    <row r="175" spans="1:9" x14ac:dyDescent="0.25">
      <c r="A175">
        <v>306</v>
      </c>
      <c r="B175">
        <v>48</v>
      </c>
      <c r="C175" t="s">
        <v>12</v>
      </c>
      <c r="D175">
        <v>39407</v>
      </c>
      <c r="E175">
        <v>82</v>
      </c>
      <c r="F175">
        <v>5</v>
      </c>
      <c r="G175">
        <v>27</v>
      </c>
      <c r="H175" t="s">
        <v>15</v>
      </c>
      <c r="I175">
        <v>463.07</v>
      </c>
    </row>
    <row r="176" spans="1:9" x14ac:dyDescent="0.25">
      <c r="A176">
        <v>310</v>
      </c>
      <c r="B176">
        <v>50</v>
      </c>
      <c r="C176" t="s">
        <v>12</v>
      </c>
      <c r="D176">
        <v>100320</v>
      </c>
      <c r="E176">
        <v>45</v>
      </c>
      <c r="F176">
        <v>7</v>
      </c>
      <c r="G176">
        <v>29</v>
      </c>
      <c r="H176" t="s">
        <v>15</v>
      </c>
      <c r="I176">
        <v>139.38999999999999</v>
      </c>
    </row>
    <row r="177" spans="1:9" x14ac:dyDescent="0.25">
      <c r="A177">
        <v>312</v>
      </c>
      <c r="B177">
        <v>30</v>
      </c>
      <c r="C177" t="s">
        <v>12</v>
      </c>
      <c r="D177">
        <v>143200</v>
      </c>
      <c r="E177">
        <v>38</v>
      </c>
      <c r="F177">
        <v>8</v>
      </c>
      <c r="G177">
        <v>30</v>
      </c>
      <c r="H177" t="s">
        <v>15</v>
      </c>
      <c r="I177">
        <v>684.43</v>
      </c>
    </row>
    <row r="178" spans="1:9" x14ac:dyDescent="0.25">
      <c r="A178">
        <v>349</v>
      </c>
      <c r="B178">
        <v>44</v>
      </c>
      <c r="C178" t="s">
        <v>12</v>
      </c>
      <c r="D178">
        <v>32030</v>
      </c>
      <c r="E178">
        <v>38</v>
      </c>
      <c r="F178">
        <v>2</v>
      </c>
      <c r="G178">
        <v>19</v>
      </c>
      <c r="H178" t="s">
        <v>15</v>
      </c>
      <c r="I178">
        <v>912.15</v>
      </c>
    </row>
    <row r="179" spans="1:9" x14ac:dyDescent="0.25">
      <c r="A179">
        <v>383</v>
      </c>
      <c r="B179">
        <v>65</v>
      </c>
      <c r="C179" t="s">
        <v>12</v>
      </c>
      <c r="D179">
        <v>124796</v>
      </c>
      <c r="E179">
        <v>4</v>
      </c>
      <c r="F179">
        <v>5</v>
      </c>
      <c r="G179">
        <v>38</v>
      </c>
      <c r="H179" t="s">
        <v>15</v>
      </c>
      <c r="I179">
        <v>247.96</v>
      </c>
    </row>
    <row r="180" spans="1:9" x14ac:dyDescent="0.25">
      <c r="A180">
        <v>385</v>
      </c>
      <c r="B180">
        <v>38</v>
      </c>
      <c r="C180" t="s">
        <v>12</v>
      </c>
      <c r="D180">
        <v>78829</v>
      </c>
      <c r="E180">
        <v>73</v>
      </c>
      <c r="F180">
        <v>7</v>
      </c>
      <c r="G180">
        <v>20</v>
      </c>
      <c r="H180" t="s">
        <v>15</v>
      </c>
      <c r="I180">
        <v>665.25</v>
      </c>
    </row>
    <row r="181" spans="1:9" x14ac:dyDescent="0.25">
      <c r="A181">
        <v>398</v>
      </c>
      <c r="B181">
        <v>48</v>
      </c>
      <c r="C181" t="s">
        <v>12</v>
      </c>
      <c r="D181">
        <v>36282</v>
      </c>
      <c r="E181">
        <v>14</v>
      </c>
      <c r="F181">
        <v>10</v>
      </c>
      <c r="G181">
        <v>3</v>
      </c>
      <c r="H181" t="s">
        <v>15</v>
      </c>
      <c r="I181">
        <v>210.43</v>
      </c>
    </row>
    <row r="182" spans="1:9" x14ac:dyDescent="0.25">
      <c r="A182">
        <v>477</v>
      </c>
      <c r="B182">
        <v>42</v>
      </c>
      <c r="C182" t="s">
        <v>12</v>
      </c>
      <c r="D182">
        <v>115342</v>
      </c>
      <c r="E182">
        <v>19</v>
      </c>
      <c r="F182">
        <v>4</v>
      </c>
      <c r="G182">
        <v>47</v>
      </c>
      <c r="H182" t="s">
        <v>15</v>
      </c>
      <c r="I182">
        <v>13.69</v>
      </c>
    </row>
    <row r="183" spans="1:9" x14ac:dyDescent="0.25">
      <c r="A183">
        <v>481</v>
      </c>
      <c r="B183">
        <v>54</v>
      </c>
      <c r="C183" t="s">
        <v>12</v>
      </c>
      <c r="D183">
        <v>105641</v>
      </c>
      <c r="E183">
        <v>17</v>
      </c>
      <c r="F183">
        <v>9</v>
      </c>
      <c r="G183">
        <v>37</v>
      </c>
      <c r="H183" t="s">
        <v>15</v>
      </c>
      <c r="I183">
        <v>173.81</v>
      </c>
    </row>
    <row r="184" spans="1:9" x14ac:dyDescent="0.25">
      <c r="A184">
        <v>492</v>
      </c>
      <c r="B184">
        <v>39</v>
      </c>
      <c r="C184" t="s">
        <v>12</v>
      </c>
      <c r="D184">
        <v>84725</v>
      </c>
      <c r="E184">
        <v>100</v>
      </c>
      <c r="F184">
        <v>8</v>
      </c>
      <c r="G184">
        <v>49</v>
      </c>
      <c r="H184" t="s">
        <v>15</v>
      </c>
      <c r="I184">
        <v>906.07</v>
      </c>
    </row>
    <row r="185" spans="1:9" x14ac:dyDescent="0.25">
      <c r="A185">
        <v>494</v>
      </c>
      <c r="B185">
        <v>35</v>
      </c>
      <c r="C185" t="s">
        <v>12</v>
      </c>
      <c r="D185">
        <v>141134</v>
      </c>
      <c r="E185">
        <v>24</v>
      </c>
      <c r="F185">
        <v>4</v>
      </c>
      <c r="G185">
        <v>48</v>
      </c>
      <c r="H185" t="s">
        <v>15</v>
      </c>
      <c r="I185">
        <v>649.61</v>
      </c>
    </row>
    <row r="186" spans="1:9" x14ac:dyDescent="0.25">
      <c r="A186">
        <v>495</v>
      </c>
      <c r="B186">
        <v>59</v>
      </c>
      <c r="C186" t="s">
        <v>12</v>
      </c>
      <c r="D186">
        <v>140809</v>
      </c>
      <c r="E186">
        <v>45</v>
      </c>
      <c r="F186">
        <v>5</v>
      </c>
      <c r="G186">
        <v>45</v>
      </c>
      <c r="H186" t="s">
        <v>15</v>
      </c>
      <c r="I186">
        <v>917.5</v>
      </c>
    </row>
    <row r="187" spans="1:9" x14ac:dyDescent="0.25">
      <c r="A187">
        <v>497</v>
      </c>
      <c r="B187">
        <v>56</v>
      </c>
      <c r="C187" t="s">
        <v>12</v>
      </c>
      <c r="D187">
        <v>145254</v>
      </c>
      <c r="E187">
        <v>48</v>
      </c>
      <c r="F187">
        <v>6</v>
      </c>
      <c r="G187">
        <v>43</v>
      </c>
      <c r="H187" t="s">
        <v>15</v>
      </c>
      <c r="I187">
        <v>422.32</v>
      </c>
    </row>
    <row r="188" spans="1:9" x14ac:dyDescent="0.25">
      <c r="A188">
        <v>506</v>
      </c>
      <c r="B188">
        <v>66</v>
      </c>
      <c r="C188" t="s">
        <v>12</v>
      </c>
      <c r="D188">
        <v>149505</v>
      </c>
      <c r="E188">
        <v>79</v>
      </c>
      <c r="F188">
        <v>4</v>
      </c>
      <c r="G188">
        <v>8</v>
      </c>
      <c r="H188" t="s">
        <v>15</v>
      </c>
      <c r="I188">
        <v>334.95</v>
      </c>
    </row>
    <row r="189" spans="1:9" x14ac:dyDescent="0.25">
      <c r="A189">
        <v>507</v>
      </c>
      <c r="B189">
        <v>58</v>
      </c>
      <c r="C189" t="s">
        <v>12</v>
      </c>
      <c r="D189">
        <v>132215</v>
      </c>
      <c r="E189">
        <v>91</v>
      </c>
      <c r="F189">
        <v>8</v>
      </c>
      <c r="G189">
        <v>6</v>
      </c>
      <c r="H189" t="s">
        <v>15</v>
      </c>
      <c r="I189">
        <v>275.70999999999998</v>
      </c>
    </row>
    <row r="190" spans="1:9" x14ac:dyDescent="0.25">
      <c r="A190">
        <v>510</v>
      </c>
      <c r="B190">
        <v>19</v>
      </c>
      <c r="C190" t="s">
        <v>12</v>
      </c>
      <c r="D190">
        <v>111238</v>
      </c>
      <c r="E190">
        <v>7</v>
      </c>
      <c r="F190">
        <v>2</v>
      </c>
      <c r="G190">
        <v>30</v>
      </c>
      <c r="H190" t="s">
        <v>15</v>
      </c>
      <c r="I190">
        <v>813.37</v>
      </c>
    </row>
    <row r="191" spans="1:9" x14ac:dyDescent="0.25">
      <c r="A191">
        <v>512</v>
      </c>
      <c r="B191">
        <v>33</v>
      </c>
      <c r="C191" t="s">
        <v>12</v>
      </c>
      <c r="D191">
        <v>132968</v>
      </c>
      <c r="E191">
        <v>49</v>
      </c>
      <c r="F191">
        <v>10</v>
      </c>
      <c r="G191">
        <v>45</v>
      </c>
      <c r="H191" t="s">
        <v>15</v>
      </c>
      <c r="I191">
        <v>641.53</v>
      </c>
    </row>
    <row r="192" spans="1:9" x14ac:dyDescent="0.25">
      <c r="A192">
        <v>513</v>
      </c>
      <c r="B192">
        <v>19</v>
      </c>
      <c r="C192" t="s">
        <v>12</v>
      </c>
      <c r="D192">
        <v>82506</v>
      </c>
      <c r="E192">
        <v>10</v>
      </c>
      <c r="F192">
        <v>5</v>
      </c>
      <c r="G192">
        <v>41</v>
      </c>
      <c r="H192" t="s">
        <v>15</v>
      </c>
      <c r="I192">
        <v>406.32</v>
      </c>
    </row>
    <row r="193" spans="1:9" x14ac:dyDescent="0.25">
      <c r="A193">
        <v>529</v>
      </c>
      <c r="B193">
        <v>57</v>
      </c>
      <c r="C193" t="s">
        <v>12</v>
      </c>
      <c r="D193">
        <v>139366</v>
      </c>
      <c r="E193">
        <v>39</v>
      </c>
      <c r="F193">
        <v>5</v>
      </c>
      <c r="G193">
        <v>50</v>
      </c>
      <c r="H193" t="s">
        <v>15</v>
      </c>
      <c r="I193">
        <v>34.5</v>
      </c>
    </row>
    <row r="194" spans="1:9" x14ac:dyDescent="0.25">
      <c r="A194">
        <v>530</v>
      </c>
      <c r="B194">
        <v>27</v>
      </c>
      <c r="C194" t="s">
        <v>12</v>
      </c>
      <c r="D194">
        <v>106944</v>
      </c>
      <c r="E194">
        <v>63</v>
      </c>
      <c r="F194">
        <v>1</v>
      </c>
      <c r="G194">
        <v>28</v>
      </c>
      <c r="H194" t="s">
        <v>15</v>
      </c>
      <c r="I194">
        <v>36.39</v>
      </c>
    </row>
    <row r="195" spans="1:9" x14ac:dyDescent="0.25">
      <c r="A195">
        <v>531</v>
      </c>
      <c r="B195">
        <v>61</v>
      </c>
      <c r="C195" t="s">
        <v>12</v>
      </c>
      <c r="D195">
        <v>92031</v>
      </c>
      <c r="E195">
        <v>44</v>
      </c>
      <c r="F195">
        <v>7</v>
      </c>
      <c r="G195">
        <v>11</v>
      </c>
      <c r="H195" t="s">
        <v>15</v>
      </c>
      <c r="I195">
        <v>573.30999999999995</v>
      </c>
    </row>
    <row r="196" spans="1:9" x14ac:dyDescent="0.25">
      <c r="A196">
        <v>534</v>
      </c>
      <c r="B196">
        <v>28</v>
      </c>
      <c r="C196" t="s">
        <v>12</v>
      </c>
      <c r="D196">
        <v>121073</v>
      </c>
      <c r="E196">
        <v>44</v>
      </c>
      <c r="F196">
        <v>3</v>
      </c>
      <c r="G196">
        <v>16</v>
      </c>
      <c r="H196" t="s">
        <v>15</v>
      </c>
      <c r="I196">
        <v>482.35</v>
      </c>
    </row>
    <row r="197" spans="1:9" x14ac:dyDescent="0.25">
      <c r="A197">
        <v>549</v>
      </c>
      <c r="B197">
        <v>39</v>
      </c>
      <c r="C197" t="s">
        <v>12</v>
      </c>
      <c r="D197">
        <v>30004</v>
      </c>
      <c r="E197">
        <v>32</v>
      </c>
      <c r="F197">
        <v>6</v>
      </c>
      <c r="G197">
        <v>48</v>
      </c>
      <c r="H197" t="s">
        <v>15</v>
      </c>
      <c r="I197">
        <v>863.47</v>
      </c>
    </row>
    <row r="198" spans="1:9" x14ac:dyDescent="0.25">
      <c r="A198">
        <v>550</v>
      </c>
      <c r="B198">
        <v>53</v>
      </c>
      <c r="C198" t="s">
        <v>12</v>
      </c>
      <c r="D198">
        <v>47499</v>
      </c>
      <c r="E198">
        <v>85</v>
      </c>
      <c r="F198">
        <v>2</v>
      </c>
      <c r="G198">
        <v>45</v>
      </c>
      <c r="H198" t="s">
        <v>15</v>
      </c>
      <c r="I198">
        <v>338.69</v>
      </c>
    </row>
    <row r="199" spans="1:9" x14ac:dyDescent="0.25">
      <c r="A199">
        <v>553</v>
      </c>
      <c r="B199">
        <v>69</v>
      </c>
      <c r="C199" t="s">
        <v>12</v>
      </c>
      <c r="D199">
        <v>51759</v>
      </c>
      <c r="E199">
        <v>18</v>
      </c>
      <c r="F199">
        <v>9</v>
      </c>
      <c r="G199">
        <v>14</v>
      </c>
      <c r="H199" t="s">
        <v>15</v>
      </c>
      <c r="I199">
        <v>563.48</v>
      </c>
    </row>
    <row r="200" spans="1:9" x14ac:dyDescent="0.25">
      <c r="A200">
        <v>558</v>
      </c>
      <c r="B200">
        <v>40</v>
      </c>
      <c r="C200" t="s">
        <v>12</v>
      </c>
      <c r="D200">
        <v>62536</v>
      </c>
      <c r="E200">
        <v>84</v>
      </c>
      <c r="F200">
        <v>4</v>
      </c>
      <c r="G200">
        <v>28</v>
      </c>
      <c r="H200" t="s">
        <v>15</v>
      </c>
      <c r="I200">
        <v>149.07</v>
      </c>
    </row>
    <row r="201" spans="1:9" x14ac:dyDescent="0.25">
      <c r="A201">
        <v>590</v>
      </c>
      <c r="B201">
        <v>33</v>
      </c>
      <c r="C201" t="s">
        <v>12</v>
      </c>
      <c r="D201">
        <v>93599</v>
      </c>
      <c r="E201">
        <v>22</v>
      </c>
      <c r="F201">
        <v>4</v>
      </c>
      <c r="G201">
        <v>37</v>
      </c>
      <c r="H201" t="s">
        <v>15</v>
      </c>
      <c r="I201">
        <v>274.95999999999998</v>
      </c>
    </row>
    <row r="202" spans="1:9" x14ac:dyDescent="0.25">
      <c r="A202">
        <v>592</v>
      </c>
      <c r="B202">
        <v>22</v>
      </c>
      <c r="C202" t="s">
        <v>12</v>
      </c>
      <c r="D202">
        <v>100730</v>
      </c>
      <c r="E202">
        <v>4</v>
      </c>
      <c r="F202">
        <v>5</v>
      </c>
      <c r="G202">
        <v>10</v>
      </c>
      <c r="H202" t="s">
        <v>15</v>
      </c>
      <c r="I202">
        <v>459.58</v>
      </c>
    </row>
    <row r="203" spans="1:9" x14ac:dyDescent="0.25">
      <c r="A203">
        <v>600</v>
      </c>
      <c r="B203">
        <v>52</v>
      </c>
      <c r="C203" t="s">
        <v>12</v>
      </c>
      <c r="D203">
        <v>127010</v>
      </c>
      <c r="E203">
        <v>76</v>
      </c>
      <c r="F203">
        <v>8</v>
      </c>
      <c r="G203">
        <v>26</v>
      </c>
      <c r="H203" t="s">
        <v>15</v>
      </c>
      <c r="I203">
        <v>13.46</v>
      </c>
    </row>
    <row r="204" spans="1:9" x14ac:dyDescent="0.25">
      <c r="A204">
        <v>644</v>
      </c>
      <c r="B204">
        <v>54</v>
      </c>
      <c r="C204" t="s">
        <v>12</v>
      </c>
      <c r="D204">
        <v>132403</v>
      </c>
      <c r="E204">
        <v>83</v>
      </c>
      <c r="F204">
        <v>3</v>
      </c>
      <c r="G204">
        <v>2</v>
      </c>
      <c r="H204" t="s">
        <v>15</v>
      </c>
      <c r="I204">
        <v>45.2</v>
      </c>
    </row>
    <row r="205" spans="1:9" x14ac:dyDescent="0.25">
      <c r="A205">
        <v>649</v>
      </c>
      <c r="B205">
        <v>27</v>
      </c>
      <c r="C205" t="s">
        <v>12</v>
      </c>
      <c r="D205">
        <v>147360</v>
      </c>
      <c r="E205">
        <v>96</v>
      </c>
      <c r="F205">
        <v>3</v>
      </c>
      <c r="G205">
        <v>26</v>
      </c>
      <c r="H205" t="s">
        <v>15</v>
      </c>
      <c r="I205">
        <v>26.1</v>
      </c>
    </row>
    <row r="206" spans="1:9" x14ac:dyDescent="0.25">
      <c r="A206">
        <v>654</v>
      </c>
      <c r="B206">
        <v>48</v>
      </c>
      <c r="C206" t="s">
        <v>12</v>
      </c>
      <c r="D206">
        <v>82356</v>
      </c>
      <c r="E206">
        <v>97</v>
      </c>
      <c r="F206">
        <v>1</v>
      </c>
      <c r="G206">
        <v>35</v>
      </c>
      <c r="H206" t="s">
        <v>15</v>
      </c>
      <c r="I206">
        <v>204.55</v>
      </c>
    </row>
    <row r="207" spans="1:9" x14ac:dyDescent="0.25">
      <c r="A207">
        <v>688</v>
      </c>
      <c r="B207">
        <v>30</v>
      </c>
      <c r="C207" t="s">
        <v>12</v>
      </c>
      <c r="D207">
        <v>94970</v>
      </c>
      <c r="E207">
        <v>15</v>
      </c>
      <c r="F207">
        <v>4</v>
      </c>
      <c r="G207">
        <v>11</v>
      </c>
      <c r="H207" t="s">
        <v>15</v>
      </c>
      <c r="I207">
        <v>250.07</v>
      </c>
    </row>
    <row r="208" spans="1:9" x14ac:dyDescent="0.25">
      <c r="A208">
        <v>694</v>
      </c>
      <c r="B208">
        <v>64</v>
      </c>
      <c r="C208" t="s">
        <v>12</v>
      </c>
      <c r="D208">
        <v>32144</v>
      </c>
      <c r="E208">
        <v>76</v>
      </c>
      <c r="F208">
        <v>2</v>
      </c>
      <c r="G208">
        <v>28</v>
      </c>
      <c r="H208" t="s">
        <v>15</v>
      </c>
      <c r="I208">
        <v>902.66</v>
      </c>
    </row>
    <row r="209" spans="1:9" x14ac:dyDescent="0.25">
      <c r="A209">
        <v>714</v>
      </c>
      <c r="B209">
        <v>30</v>
      </c>
      <c r="C209" t="s">
        <v>12</v>
      </c>
      <c r="D209">
        <v>100115</v>
      </c>
      <c r="E209">
        <v>54</v>
      </c>
      <c r="F209">
        <v>2</v>
      </c>
      <c r="G209">
        <v>36</v>
      </c>
      <c r="H209" t="s">
        <v>15</v>
      </c>
      <c r="I209">
        <v>789.67</v>
      </c>
    </row>
    <row r="210" spans="1:9" x14ac:dyDescent="0.25">
      <c r="A210">
        <v>729</v>
      </c>
      <c r="B210">
        <v>50</v>
      </c>
      <c r="C210" t="s">
        <v>12</v>
      </c>
      <c r="D210">
        <v>86985</v>
      </c>
      <c r="E210">
        <v>77</v>
      </c>
      <c r="F210">
        <v>8</v>
      </c>
      <c r="G210">
        <v>11</v>
      </c>
      <c r="H210" t="s">
        <v>15</v>
      </c>
      <c r="I210">
        <v>964.1</v>
      </c>
    </row>
    <row r="211" spans="1:9" x14ac:dyDescent="0.25">
      <c r="A211">
        <v>743</v>
      </c>
      <c r="B211">
        <v>64</v>
      </c>
      <c r="C211" t="s">
        <v>12</v>
      </c>
      <c r="D211">
        <v>132277</v>
      </c>
      <c r="E211">
        <v>81</v>
      </c>
      <c r="F211">
        <v>5</v>
      </c>
      <c r="G211">
        <v>30</v>
      </c>
      <c r="H211" t="s">
        <v>15</v>
      </c>
      <c r="I211">
        <v>505.24</v>
      </c>
    </row>
    <row r="212" spans="1:9" x14ac:dyDescent="0.25">
      <c r="A212">
        <v>760</v>
      </c>
      <c r="B212">
        <v>27</v>
      </c>
      <c r="C212" t="s">
        <v>12</v>
      </c>
      <c r="D212">
        <v>80545</v>
      </c>
      <c r="E212">
        <v>63</v>
      </c>
      <c r="F212">
        <v>6</v>
      </c>
      <c r="G212">
        <v>46</v>
      </c>
      <c r="H212" t="s">
        <v>15</v>
      </c>
      <c r="I212">
        <v>575.98</v>
      </c>
    </row>
    <row r="213" spans="1:9" x14ac:dyDescent="0.25">
      <c r="A213">
        <v>762</v>
      </c>
      <c r="B213">
        <v>57</v>
      </c>
      <c r="C213" t="s">
        <v>12</v>
      </c>
      <c r="D213">
        <v>145190</v>
      </c>
      <c r="E213">
        <v>42</v>
      </c>
      <c r="F213">
        <v>9</v>
      </c>
      <c r="G213">
        <v>8</v>
      </c>
      <c r="H213" t="s">
        <v>15</v>
      </c>
      <c r="I213">
        <v>971.83</v>
      </c>
    </row>
    <row r="214" spans="1:9" x14ac:dyDescent="0.25">
      <c r="A214">
        <v>769</v>
      </c>
      <c r="B214">
        <v>19</v>
      </c>
      <c r="C214" t="s">
        <v>12</v>
      </c>
      <c r="D214">
        <v>85583</v>
      </c>
      <c r="E214">
        <v>61</v>
      </c>
      <c r="F214">
        <v>5</v>
      </c>
      <c r="G214">
        <v>43</v>
      </c>
      <c r="H214" t="s">
        <v>15</v>
      </c>
      <c r="I214">
        <v>316.35000000000002</v>
      </c>
    </row>
    <row r="215" spans="1:9" x14ac:dyDescent="0.25">
      <c r="A215">
        <v>775</v>
      </c>
      <c r="B215">
        <v>24</v>
      </c>
      <c r="C215" t="s">
        <v>12</v>
      </c>
      <c r="D215">
        <v>51225</v>
      </c>
      <c r="E215">
        <v>21</v>
      </c>
      <c r="F215">
        <v>6</v>
      </c>
      <c r="G215">
        <v>31</v>
      </c>
      <c r="H215" t="s">
        <v>15</v>
      </c>
      <c r="I215">
        <v>235.64</v>
      </c>
    </row>
    <row r="216" spans="1:9" x14ac:dyDescent="0.25">
      <c r="A216">
        <v>786</v>
      </c>
      <c r="B216">
        <v>30</v>
      </c>
      <c r="C216" t="s">
        <v>12</v>
      </c>
      <c r="D216">
        <v>43192</v>
      </c>
      <c r="E216">
        <v>61</v>
      </c>
      <c r="F216">
        <v>1</v>
      </c>
      <c r="G216">
        <v>27</v>
      </c>
      <c r="H216" t="s">
        <v>15</v>
      </c>
      <c r="I216">
        <v>614.39</v>
      </c>
    </row>
    <row r="217" spans="1:9" x14ac:dyDescent="0.25">
      <c r="A217">
        <v>790</v>
      </c>
      <c r="B217">
        <v>61</v>
      </c>
      <c r="C217" t="s">
        <v>12</v>
      </c>
      <c r="D217">
        <v>96409</v>
      </c>
      <c r="E217">
        <v>66</v>
      </c>
      <c r="F217">
        <v>1</v>
      </c>
      <c r="G217">
        <v>32</v>
      </c>
      <c r="H217" t="s">
        <v>15</v>
      </c>
      <c r="I217">
        <v>674.93</v>
      </c>
    </row>
    <row r="218" spans="1:9" x14ac:dyDescent="0.25">
      <c r="A218">
        <v>813</v>
      </c>
      <c r="B218">
        <v>19</v>
      </c>
      <c r="C218" t="s">
        <v>12</v>
      </c>
      <c r="D218">
        <v>68304</v>
      </c>
      <c r="E218">
        <v>9</v>
      </c>
      <c r="F218">
        <v>10</v>
      </c>
      <c r="G218">
        <v>28</v>
      </c>
      <c r="H218" t="s">
        <v>15</v>
      </c>
      <c r="I218">
        <v>864.57</v>
      </c>
    </row>
    <row r="219" spans="1:9" x14ac:dyDescent="0.25">
      <c r="A219">
        <v>823</v>
      </c>
      <c r="B219">
        <v>69</v>
      </c>
      <c r="C219" t="s">
        <v>12</v>
      </c>
      <c r="D219">
        <v>85068</v>
      </c>
      <c r="E219">
        <v>54</v>
      </c>
      <c r="F219">
        <v>6</v>
      </c>
      <c r="G219">
        <v>24</v>
      </c>
      <c r="H219" t="s">
        <v>15</v>
      </c>
      <c r="I219">
        <v>846.68</v>
      </c>
    </row>
    <row r="220" spans="1:9" x14ac:dyDescent="0.25">
      <c r="A220">
        <v>839</v>
      </c>
      <c r="B220">
        <v>43</v>
      </c>
      <c r="C220" t="s">
        <v>12</v>
      </c>
      <c r="D220">
        <v>90687</v>
      </c>
      <c r="E220">
        <v>9</v>
      </c>
      <c r="F220">
        <v>5</v>
      </c>
      <c r="G220">
        <v>24</v>
      </c>
      <c r="H220" t="s">
        <v>15</v>
      </c>
      <c r="I220">
        <v>531.25</v>
      </c>
    </row>
    <row r="221" spans="1:9" x14ac:dyDescent="0.25">
      <c r="A221">
        <v>855</v>
      </c>
      <c r="B221">
        <v>18</v>
      </c>
      <c r="C221" t="s">
        <v>12</v>
      </c>
      <c r="D221">
        <v>30102</v>
      </c>
      <c r="E221">
        <v>35</v>
      </c>
      <c r="F221">
        <v>2</v>
      </c>
      <c r="G221">
        <v>6</v>
      </c>
      <c r="H221" t="s">
        <v>15</v>
      </c>
      <c r="I221">
        <v>739.27</v>
      </c>
    </row>
    <row r="222" spans="1:9" x14ac:dyDescent="0.25">
      <c r="A222">
        <v>872</v>
      </c>
      <c r="B222">
        <v>63</v>
      </c>
      <c r="C222" t="s">
        <v>12</v>
      </c>
      <c r="D222">
        <v>33546</v>
      </c>
      <c r="E222">
        <v>18</v>
      </c>
      <c r="F222">
        <v>9</v>
      </c>
      <c r="G222">
        <v>31</v>
      </c>
      <c r="H222" t="s">
        <v>15</v>
      </c>
      <c r="I222">
        <v>191.8</v>
      </c>
    </row>
    <row r="223" spans="1:9" x14ac:dyDescent="0.25">
      <c r="A223">
        <v>879</v>
      </c>
      <c r="B223">
        <v>51</v>
      </c>
      <c r="C223" t="s">
        <v>12</v>
      </c>
      <c r="D223">
        <v>80995</v>
      </c>
      <c r="E223">
        <v>68</v>
      </c>
      <c r="F223">
        <v>1</v>
      </c>
      <c r="G223">
        <v>18</v>
      </c>
      <c r="H223" t="s">
        <v>15</v>
      </c>
      <c r="I223">
        <v>863.54</v>
      </c>
    </row>
    <row r="224" spans="1:9" x14ac:dyDescent="0.25">
      <c r="A224">
        <v>896</v>
      </c>
      <c r="B224">
        <v>53</v>
      </c>
      <c r="C224" t="s">
        <v>12</v>
      </c>
      <c r="D224">
        <v>137307</v>
      </c>
      <c r="E224">
        <v>34</v>
      </c>
      <c r="F224">
        <v>1</v>
      </c>
      <c r="G224">
        <v>26</v>
      </c>
      <c r="H224" t="s">
        <v>15</v>
      </c>
      <c r="I224">
        <v>952.12</v>
      </c>
    </row>
    <row r="225" spans="1:9" x14ac:dyDescent="0.25">
      <c r="A225">
        <v>905</v>
      </c>
      <c r="B225">
        <v>64</v>
      </c>
      <c r="C225" t="s">
        <v>12</v>
      </c>
      <c r="D225">
        <v>139658</v>
      </c>
      <c r="E225">
        <v>77</v>
      </c>
      <c r="F225">
        <v>6</v>
      </c>
      <c r="G225">
        <v>26</v>
      </c>
      <c r="H225" t="s">
        <v>15</v>
      </c>
      <c r="I225">
        <v>71.97</v>
      </c>
    </row>
    <row r="226" spans="1:9" x14ac:dyDescent="0.25">
      <c r="A226">
        <v>923</v>
      </c>
      <c r="B226">
        <v>68</v>
      </c>
      <c r="C226" t="s">
        <v>12</v>
      </c>
      <c r="D226">
        <v>107702</v>
      </c>
      <c r="E226">
        <v>73</v>
      </c>
      <c r="F226">
        <v>4</v>
      </c>
      <c r="G226">
        <v>2</v>
      </c>
      <c r="H226" t="s">
        <v>15</v>
      </c>
      <c r="I226">
        <v>136.03</v>
      </c>
    </row>
    <row r="227" spans="1:9" x14ac:dyDescent="0.25">
      <c r="A227">
        <v>942</v>
      </c>
      <c r="B227">
        <v>36</v>
      </c>
      <c r="C227" t="s">
        <v>12</v>
      </c>
      <c r="D227">
        <v>33087</v>
      </c>
      <c r="E227">
        <v>69</v>
      </c>
      <c r="F227">
        <v>7</v>
      </c>
      <c r="G227">
        <v>21</v>
      </c>
      <c r="H227" t="s">
        <v>15</v>
      </c>
      <c r="I227">
        <v>651.79999999999995</v>
      </c>
    </row>
    <row r="228" spans="1:9" x14ac:dyDescent="0.25">
      <c r="A228">
        <v>953</v>
      </c>
      <c r="B228">
        <v>51</v>
      </c>
      <c r="C228" t="s">
        <v>12</v>
      </c>
      <c r="D228">
        <v>104830</v>
      </c>
      <c r="E228">
        <v>43</v>
      </c>
      <c r="F228">
        <v>9</v>
      </c>
      <c r="G228">
        <v>36</v>
      </c>
      <c r="H228" t="s">
        <v>15</v>
      </c>
      <c r="I228">
        <v>593.91999999999996</v>
      </c>
    </row>
    <row r="229" spans="1:9" x14ac:dyDescent="0.25">
      <c r="A229">
        <v>955</v>
      </c>
      <c r="B229">
        <v>30</v>
      </c>
      <c r="C229" t="s">
        <v>12</v>
      </c>
      <c r="D229">
        <v>50661</v>
      </c>
      <c r="E229">
        <v>89</v>
      </c>
      <c r="F229">
        <v>9</v>
      </c>
      <c r="G229">
        <v>22</v>
      </c>
      <c r="H229" t="s">
        <v>15</v>
      </c>
      <c r="I229">
        <v>630.37</v>
      </c>
    </row>
    <row r="230" spans="1:9" x14ac:dyDescent="0.25">
      <c r="A230">
        <v>987</v>
      </c>
      <c r="B230">
        <v>22</v>
      </c>
      <c r="C230" t="s">
        <v>12</v>
      </c>
      <c r="D230">
        <v>80049</v>
      </c>
      <c r="E230">
        <v>1</v>
      </c>
      <c r="F230">
        <v>10</v>
      </c>
      <c r="G230">
        <v>47</v>
      </c>
      <c r="H230" t="s">
        <v>15</v>
      </c>
      <c r="I230">
        <v>16.97</v>
      </c>
    </row>
    <row r="231" spans="1:9" x14ac:dyDescent="0.25">
      <c r="A231">
        <v>998</v>
      </c>
      <c r="B231">
        <v>23</v>
      </c>
      <c r="C231" t="s">
        <v>12</v>
      </c>
      <c r="D231">
        <v>113097</v>
      </c>
      <c r="E231">
        <v>40</v>
      </c>
      <c r="F231">
        <v>5</v>
      </c>
      <c r="G231">
        <v>42</v>
      </c>
      <c r="H231" t="s">
        <v>15</v>
      </c>
      <c r="I231">
        <v>75.09</v>
      </c>
    </row>
    <row r="232" spans="1:9" x14ac:dyDescent="0.25">
      <c r="A232">
        <v>8</v>
      </c>
      <c r="B232">
        <v>43</v>
      </c>
      <c r="C232" t="s">
        <v>12</v>
      </c>
      <c r="D232">
        <v>108115</v>
      </c>
      <c r="E232">
        <v>94</v>
      </c>
      <c r="F232">
        <v>9</v>
      </c>
      <c r="G232">
        <v>27</v>
      </c>
      <c r="H232" t="s">
        <v>16</v>
      </c>
      <c r="I232">
        <v>734.56</v>
      </c>
    </row>
    <row r="233" spans="1:9" x14ac:dyDescent="0.25">
      <c r="A233">
        <v>20</v>
      </c>
      <c r="B233">
        <v>31</v>
      </c>
      <c r="C233" t="s">
        <v>12</v>
      </c>
      <c r="D233">
        <v>97103</v>
      </c>
      <c r="E233">
        <v>70</v>
      </c>
      <c r="F233">
        <v>3</v>
      </c>
      <c r="G233">
        <v>17</v>
      </c>
      <c r="H233" t="s">
        <v>16</v>
      </c>
      <c r="I233">
        <v>61.3</v>
      </c>
    </row>
    <row r="234" spans="1:9" x14ac:dyDescent="0.25">
      <c r="A234">
        <v>27</v>
      </c>
      <c r="B234">
        <v>54</v>
      </c>
      <c r="C234" t="s">
        <v>12</v>
      </c>
      <c r="D234">
        <v>35394</v>
      </c>
      <c r="E234">
        <v>10</v>
      </c>
      <c r="F234">
        <v>9</v>
      </c>
      <c r="G234">
        <v>4</v>
      </c>
      <c r="H234" t="s">
        <v>16</v>
      </c>
      <c r="I234">
        <v>124.29</v>
      </c>
    </row>
    <row r="235" spans="1:9" x14ac:dyDescent="0.25">
      <c r="A235">
        <v>61</v>
      </c>
      <c r="B235">
        <v>23</v>
      </c>
      <c r="C235" t="s">
        <v>12</v>
      </c>
      <c r="D235">
        <v>69133</v>
      </c>
      <c r="E235">
        <v>14</v>
      </c>
      <c r="F235">
        <v>6</v>
      </c>
      <c r="G235">
        <v>7</v>
      </c>
      <c r="H235" t="s">
        <v>16</v>
      </c>
      <c r="I235">
        <v>224.86</v>
      </c>
    </row>
    <row r="236" spans="1:9" x14ac:dyDescent="0.25">
      <c r="A236">
        <v>77</v>
      </c>
      <c r="B236">
        <v>49</v>
      </c>
      <c r="C236" t="s">
        <v>12</v>
      </c>
      <c r="D236">
        <v>30708</v>
      </c>
      <c r="E236">
        <v>4</v>
      </c>
      <c r="F236">
        <v>1</v>
      </c>
      <c r="G236">
        <v>36</v>
      </c>
      <c r="H236" t="s">
        <v>16</v>
      </c>
      <c r="I236">
        <v>990</v>
      </c>
    </row>
    <row r="237" spans="1:9" x14ac:dyDescent="0.25">
      <c r="A237">
        <v>102</v>
      </c>
      <c r="B237">
        <v>18</v>
      </c>
      <c r="C237" t="s">
        <v>12</v>
      </c>
      <c r="D237">
        <v>49346</v>
      </c>
      <c r="E237">
        <v>70</v>
      </c>
      <c r="F237">
        <v>7</v>
      </c>
      <c r="G237">
        <v>38</v>
      </c>
      <c r="H237" t="s">
        <v>16</v>
      </c>
      <c r="I237">
        <v>127.14</v>
      </c>
    </row>
    <row r="238" spans="1:9" x14ac:dyDescent="0.25">
      <c r="A238">
        <v>113</v>
      </c>
      <c r="B238">
        <v>58</v>
      </c>
      <c r="C238" t="s">
        <v>12</v>
      </c>
      <c r="D238">
        <v>82856</v>
      </c>
      <c r="E238">
        <v>33</v>
      </c>
      <c r="F238">
        <v>7</v>
      </c>
      <c r="G238">
        <v>20</v>
      </c>
      <c r="H238" t="s">
        <v>16</v>
      </c>
      <c r="I238">
        <v>450.72</v>
      </c>
    </row>
    <row r="239" spans="1:9" x14ac:dyDescent="0.25">
      <c r="A239">
        <v>119</v>
      </c>
      <c r="B239">
        <v>33</v>
      </c>
      <c r="C239" t="s">
        <v>12</v>
      </c>
      <c r="D239">
        <v>113154</v>
      </c>
      <c r="E239">
        <v>75</v>
      </c>
      <c r="F239">
        <v>8</v>
      </c>
      <c r="G239">
        <v>46</v>
      </c>
      <c r="H239" t="s">
        <v>16</v>
      </c>
      <c r="I239">
        <v>895.58</v>
      </c>
    </row>
    <row r="240" spans="1:9" x14ac:dyDescent="0.25">
      <c r="A240">
        <v>153</v>
      </c>
      <c r="B240">
        <v>43</v>
      </c>
      <c r="C240" t="s">
        <v>12</v>
      </c>
      <c r="D240">
        <v>33030</v>
      </c>
      <c r="E240">
        <v>61</v>
      </c>
      <c r="F240">
        <v>8</v>
      </c>
      <c r="G240">
        <v>40</v>
      </c>
      <c r="H240" t="s">
        <v>16</v>
      </c>
      <c r="I240">
        <v>711.04</v>
      </c>
    </row>
    <row r="241" spans="1:9" x14ac:dyDescent="0.25">
      <c r="A241">
        <v>170</v>
      </c>
      <c r="B241">
        <v>37</v>
      </c>
      <c r="C241" t="s">
        <v>12</v>
      </c>
      <c r="D241">
        <v>33987</v>
      </c>
      <c r="E241">
        <v>60</v>
      </c>
      <c r="F241">
        <v>8</v>
      </c>
      <c r="G241">
        <v>39</v>
      </c>
      <c r="H241" t="s">
        <v>16</v>
      </c>
      <c r="I241">
        <v>975.1</v>
      </c>
    </row>
    <row r="242" spans="1:9" x14ac:dyDescent="0.25">
      <c r="A242">
        <v>172</v>
      </c>
      <c r="B242">
        <v>19</v>
      </c>
      <c r="C242" t="s">
        <v>12</v>
      </c>
      <c r="D242">
        <v>98446</v>
      </c>
      <c r="E242">
        <v>25</v>
      </c>
      <c r="F242">
        <v>4</v>
      </c>
      <c r="G242">
        <v>34</v>
      </c>
      <c r="H242" t="s">
        <v>16</v>
      </c>
      <c r="I242">
        <v>696.59</v>
      </c>
    </row>
    <row r="243" spans="1:9" x14ac:dyDescent="0.25">
      <c r="A243">
        <v>181</v>
      </c>
      <c r="B243">
        <v>49</v>
      </c>
      <c r="C243" t="s">
        <v>12</v>
      </c>
      <c r="D243">
        <v>76202</v>
      </c>
      <c r="E243">
        <v>83</v>
      </c>
      <c r="F243">
        <v>3</v>
      </c>
      <c r="G243">
        <v>6</v>
      </c>
      <c r="H243" t="s">
        <v>16</v>
      </c>
      <c r="I243">
        <v>208.79</v>
      </c>
    </row>
    <row r="244" spans="1:9" x14ac:dyDescent="0.25">
      <c r="A244">
        <v>184</v>
      </c>
      <c r="B244">
        <v>27</v>
      </c>
      <c r="C244" t="s">
        <v>12</v>
      </c>
      <c r="D244">
        <v>63313</v>
      </c>
      <c r="E244">
        <v>8</v>
      </c>
      <c r="F244">
        <v>10</v>
      </c>
      <c r="G244">
        <v>42</v>
      </c>
      <c r="H244" t="s">
        <v>16</v>
      </c>
      <c r="I244">
        <v>35.01</v>
      </c>
    </row>
    <row r="245" spans="1:9" x14ac:dyDescent="0.25">
      <c r="A245">
        <v>198</v>
      </c>
      <c r="B245">
        <v>39</v>
      </c>
      <c r="C245" t="s">
        <v>12</v>
      </c>
      <c r="D245">
        <v>116566</v>
      </c>
      <c r="E245">
        <v>76</v>
      </c>
      <c r="F245">
        <v>9</v>
      </c>
      <c r="G245">
        <v>21</v>
      </c>
      <c r="H245" t="s">
        <v>16</v>
      </c>
      <c r="I245">
        <v>32.380000000000003</v>
      </c>
    </row>
    <row r="246" spans="1:9" x14ac:dyDescent="0.25">
      <c r="A246">
        <v>201</v>
      </c>
      <c r="B246">
        <v>45</v>
      </c>
      <c r="C246" t="s">
        <v>12</v>
      </c>
      <c r="D246">
        <v>111788</v>
      </c>
      <c r="E246">
        <v>28</v>
      </c>
      <c r="F246">
        <v>9</v>
      </c>
      <c r="G246">
        <v>49</v>
      </c>
      <c r="H246" t="s">
        <v>16</v>
      </c>
      <c r="I246">
        <v>628.42999999999995</v>
      </c>
    </row>
    <row r="247" spans="1:9" x14ac:dyDescent="0.25">
      <c r="A247">
        <v>232</v>
      </c>
      <c r="B247">
        <v>66</v>
      </c>
      <c r="C247" t="s">
        <v>12</v>
      </c>
      <c r="D247">
        <v>144573</v>
      </c>
      <c r="E247">
        <v>41</v>
      </c>
      <c r="F247">
        <v>7</v>
      </c>
      <c r="G247">
        <v>24</v>
      </c>
      <c r="H247" t="s">
        <v>16</v>
      </c>
      <c r="I247">
        <v>66.599999999999994</v>
      </c>
    </row>
    <row r="248" spans="1:9" x14ac:dyDescent="0.25">
      <c r="A248">
        <v>259</v>
      </c>
      <c r="B248">
        <v>68</v>
      </c>
      <c r="C248" t="s">
        <v>12</v>
      </c>
      <c r="D248">
        <v>49725</v>
      </c>
      <c r="E248">
        <v>59</v>
      </c>
      <c r="F248">
        <v>2</v>
      </c>
      <c r="G248">
        <v>35</v>
      </c>
      <c r="H248" t="s">
        <v>16</v>
      </c>
      <c r="I248">
        <v>12.36</v>
      </c>
    </row>
    <row r="249" spans="1:9" x14ac:dyDescent="0.25">
      <c r="A249">
        <v>271</v>
      </c>
      <c r="B249">
        <v>69</v>
      </c>
      <c r="C249" t="s">
        <v>12</v>
      </c>
      <c r="D249">
        <v>47458</v>
      </c>
      <c r="E249">
        <v>14</v>
      </c>
      <c r="F249">
        <v>2</v>
      </c>
      <c r="G249">
        <v>10</v>
      </c>
      <c r="H249" t="s">
        <v>16</v>
      </c>
      <c r="I249">
        <v>874.32</v>
      </c>
    </row>
    <row r="250" spans="1:9" x14ac:dyDescent="0.25">
      <c r="A250">
        <v>299</v>
      </c>
      <c r="B250">
        <v>59</v>
      </c>
      <c r="C250" t="s">
        <v>12</v>
      </c>
      <c r="D250">
        <v>36383</v>
      </c>
      <c r="E250">
        <v>5</v>
      </c>
      <c r="F250">
        <v>6</v>
      </c>
      <c r="G250">
        <v>31</v>
      </c>
      <c r="H250" t="s">
        <v>16</v>
      </c>
      <c r="I250">
        <v>82.77</v>
      </c>
    </row>
    <row r="251" spans="1:9" x14ac:dyDescent="0.25">
      <c r="A251">
        <v>314</v>
      </c>
      <c r="B251">
        <v>44</v>
      </c>
      <c r="C251" t="s">
        <v>12</v>
      </c>
      <c r="D251">
        <v>141748</v>
      </c>
      <c r="E251">
        <v>55</v>
      </c>
      <c r="F251">
        <v>2</v>
      </c>
      <c r="G251">
        <v>50</v>
      </c>
      <c r="H251" t="s">
        <v>16</v>
      </c>
      <c r="I251">
        <v>897.57</v>
      </c>
    </row>
    <row r="252" spans="1:9" x14ac:dyDescent="0.25">
      <c r="A252">
        <v>330</v>
      </c>
      <c r="B252">
        <v>28</v>
      </c>
      <c r="C252" t="s">
        <v>12</v>
      </c>
      <c r="D252">
        <v>51087</v>
      </c>
      <c r="E252">
        <v>60</v>
      </c>
      <c r="F252">
        <v>4</v>
      </c>
      <c r="G252">
        <v>42</v>
      </c>
      <c r="H252" t="s">
        <v>16</v>
      </c>
      <c r="I252">
        <v>68.31</v>
      </c>
    </row>
    <row r="253" spans="1:9" x14ac:dyDescent="0.25">
      <c r="A253">
        <v>331</v>
      </c>
      <c r="B253">
        <v>30</v>
      </c>
      <c r="C253" t="s">
        <v>12</v>
      </c>
      <c r="D253">
        <v>90651</v>
      </c>
      <c r="E253">
        <v>88</v>
      </c>
      <c r="F253">
        <v>9</v>
      </c>
      <c r="G253">
        <v>37</v>
      </c>
      <c r="H253" t="s">
        <v>16</v>
      </c>
      <c r="I253">
        <v>555.41</v>
      </c>
    </row>
    <row r="254" spans="1:9" x14ac:dyDescent="0.25">
      <c r="A254">
        <v>335</v>
      </c>
      <c r="B254">
        <v>60</v>
      </c>
      <c r="C254" t="s">
        <v>12</v>
      </c>
      <c r="D254">
        <v>145308</v>
      </c>
      <c r="E254">
        <v>83</v>
      </c>
      <c r="F254">
        <v>3</v>
      </c>
      <c r="G254">
        <v>31</v>
      </c>
      <c r="H254" t="s">
        <v>16</v>
      </c>
      <c r="I254">
        <v>53.26</v>
      </c>
    </row>
    <row r="255" spans="1:9" x14ac:dyDescent="0.25">
      <c r="A255">
        <v>337</v>
      </c>
      <c r="B255">
        <v>58</v>
      </c>
      <c r="C255" t="s">
        <v>12</v>
      </c>
      <c r="D255">
        <v>60768</v>
      </c>
      <c r="E255">
        <v>88</v>
      </c>
      <c r="F255">
        <v>2</v>
      </c>
      <c r="G255">
        <v>38</v>
      </c>
      <c r="H255" t="s">
        <v>16</v>
      </c>
      <c r="I255">
        <v>67.52</v>
      </c>
    </row>
    <row r="256" spans="1:9" x14ac:dyDescent="0.25">
      <c r="A256">
        <v>359</v>
      </c>
      <c r="B256">
        <v>50</v>
      </c>
      <c r="C256" t="s">
        <v>12</v>
      </c>
      <c r="D256">
        <v>85888</v>
      </c>
      <c r="E256">
        <v>19</v>
      </c>
      <c r="F256">
        <v>2</v>
      </c>
      <c r="G256">
        <v>25</v>
      </c>
      <c r="H256" t="s">
        <v>16</v>
      </c>
      <c r="I256">
        <v>910.52</v>
      </c>
    </row>
    <row r="257" spans="1:9" x14ac:dyDescent="0.25">
      <c r="A257">
        <v>371</v>
      </c>
      <c r="B257">
        <v>20</v>
      </c>
      <c r="C257" t="s">
        <v>12</v>
      </c>
      <c r="D257">
        <v>87520</v>
      </c>
      <c r="E257">
        <v>93</v>
      </c>
      <c r="F257">
        <v>4</v>
      </c>
      <c r="G257">
        <v>3</v>
      </c>
      <c r="H257" t="s">
        <v>16</v>
      </c>
      <c r="I257">
        <v>459.87</v>
      </c>
    </row>
    <row r="258" spans="1:9" x14ac:dyDescent="0.25">
      <c r="A258">
        <v>386</v>
      </c>
      <c r="B258">
        <v>69</v>
      </c>
      <c r="C258" t="s">
        <v>12</v>
      </c>
      <c r="D258">
        <v>105810</v>
      </c>
      <c r="E258">
        <v>57</v>
      </c>
      <c r="F258">
        <v>6</v>
      </c>
      <c r="G258">
        <v>28</v>
      </c>
      <c r="H258" t="s">
        <v>16</v>
      </c>
      <c r="I258">
        <v>985.94</v>
      </c>
    </row>
    <row r="259" spans="1:9" x14ac:dyDescent="0.25">
      <c r="A259">
        <v>404</v>
      </c>
      <c r="B259">
        <v>36</v>
      </c>
      <c r="C259" t="s">
        <v>12</v>
      </c>
      <c r="D259">
        <v>30121</v>
      </c>
      <c r="E259">
        <v>39</v>
      </c>
      <c r="F259">
        <v>10</v>
      </c>
      <c r="G259">
        <v>16</v>
      </c>
      <c r="H259" t="s">
        <v>16</v>
      </c>
      <c r="I259">
        <v>233.08</v>
      </c>
    </row>
    <row r="260" spans="1:9" x14ac:dyDescent="0.25">
      <c r="A260">
        <v>415</v>
      </c>
      <c r="B260">
        <v>57</v>
      </c>
      <c r="C260" t="s">
        <v>12</v>
      </c>
      <c r="D260">
        <v>52164</v>
      </c>
      <c r="E260">
        <v>53</v>
      </c>
      <c r="F260">
        <v>3</v>
      </c>
      <c r="G260">
        <v>36</v>
      </c>
      <c r="H260" t="s">
        <v>16</v>
      </c>
      <c r="I260">
        <v>710.84</v>
      </c>
    </row>
    <row r="261" spans="1:9" x14ac:dyDescent="0.25">
      <c r="A261">
        <v>424</v>
      </c>
      <c r="B261">
        <v>56</v>
      </c>
      <c r="C261" t="s">
        <v>12</v>
      </c>
      <c r="D261">
        <v>134502</v>
      </c>
      <c r="E261">
        <v>46</v>
      </c>
      <c r="F261">
        <v>5</v>
      </c>
      <c r="G261">
        <v>5</v>
      </c>
      <c r="H261" t="s">
        <v>16</v>
      </c>
      <c r="I261">
        <v>394.49</v>
      </c>
    </row>
    <row r="262" spans="1:9" x14ac:dyDescent="0.25">
      <c r="A262">
        <v>431</v>
      </c>
      <c r="B262">
        <v>40</v>
      </c>
      <c r="C262" t="s">
        <v>12</v>
      </c>
      <c r="D262">
        <v>99618</v>
      </c>
      <c r="E262">
        <v>80</v>
      </c>
      <c r="F262">
        <v>4</v>
      </c>
      <c r="G262">
        <v>22</v>
      </c>
      <c r="H262" t="s">
        <v>16</v>
      </c>
      <c r="I262">
        <v>15.04</v>
      </c>
    </row>
    <row r="263" spans="1:9" x14ac:dyDescent="0.25">
      <c r="A263">
        <v>458</v>
      </c>
      <c r="B263">
        <v>62</v>
      </c>
      <c r="C263" t="s">
        <v>12</v>
      </c>
      <c r="D263">
        <v>32827</v>
      </c>
      <c r="E263">
        <v>69</v>
      </c>
      <c r="F263">
        <v>8</v>
      </c>
      <c r="G263">
        <v>2</v>
      </c>
      <c r="H263" t="s">
        <v>16</v>
      </c>
      <c r="I263">
        <v>468.37</v>
      </c>
    </row>
    <row r="264" spans="1:9" x14ac:dyDescent="0.25">
      <c r="A264">
        <v>467</v>
      </c>
      <c r="B264">
        <v>25</v>
      </c>
      <c r="C264" t="s">
        <v>12</v>
      </c>
      <c r="D264">
        <v>99668</v>
      </c>
      <c r="E264">
        <v>1</v>
      </c>
      <c r="F264">
        <v>1</v>
      </c>
      <c r="G264">
        <v>50</v>
      </c>
      <c r="H264" t="s">
        <v>16</v>
      </c>
      <c r="I264">
        <v>937.86</v>
      </c>
    </row>
    <row r="265" spans="1:9" x14ac:dyDescent="0.25">
      <c r="A265">
        <v>471</v>
      </c>
      <c r="B265">
        <v>32</v>
      </c>
      <c r="C265" t="s">
        <v>12</v>
      </c>
      <c r="D265">
        <v>38683</v>
      </c>
      <c r="E265">
        <v>59</v>
      </c>
      <c r="F265">
        <v>10</v>
      </c>
      <c r="G265">
        <v>47</v>
      </c>
      <c r="H265" t="s">
        <v>16</v>
      </c>
      <c r="I265">
        <v>846.85</v>
      </c>
    </row>
    <row r="266" spans="1:9" x14ac:dyDescent="0.25">
      <c r="A266">
        <v>476</v>
      </c>
      <c r="B266">
        <v>38</v>
      </c>
      <c r="C266" t="s">
        <v>12</v>
      </c>
      <c r="D266">
        <v>144083</v>
      </c>
      <c r="E266">
        <v>23</v>
      </c>
      <c r="F266">
        <v>1</v>
      </c>
      <c r="G266">
        <v>28</v>
      </c>
      <c r="H266" t="s">
        <v>16</v>
      </c>
      <c r="I266">
        <v>158.15</v>
      </c>
    </row>
    <row r="267" spans="1:9" x14ac:dyDescent="0.25">
      <c r="A267">
        <v>484</v>
      </c>
      <c r="B267">
        <v>40</v>
      </c>
      <c r="C267" t="s">
        <v>12</v>
      </c>
      <c r="D267">
        <v>61052</v>
      </c>
      <c r="E267">
        <v>44</v>
      </c>
      <c r="F267">
        <v>4</v>
      </c>
      <c r="G267">
        <v>17</v>
      </c>
      <c r="H267" t="s">
        <v>16</v>
      </c>
      <c r="I267">
        <v>135.19</v>
      </c>
    </row>
    <row r="268" spans="1:9" x14ac:dyDescent="0.25">
      <c r="A268">
        <v>499</v>
      </c>
      <c r="B268">
        <v>25</v>
      </c>
      <c r="C268" t="s">
        <v>12</v>
      </c>
      <c r="D268">
        <v>33065</v>
      </c>
      <c r="E268">
        <v>61</v>
      </c>
      <c r="F268">
        <v>7</v>
      </c>
      <c r="G268">
        <v>40</v>
      </c>
      <c r="H268" t="s">
        <v>16</v>
      </c>
      <c r="I268">
        <v>317.98</v>
      </c>
    </row>
    <row r="269" spans="1:9" x14ac:dyDescent="0.25">
      <c r="A269">
        <v>515</v>
      </c>
      <c r="B269">
        <v>28</v>
      </c>
      <c r="C269" t="s">
        <v>12</v>
      </c>
      <c r="D269">
        <v>66961</v>
      </c>
      <c r="E269">
        <v>8</v>
      </c>
      <c r="F269">
        <v>10</v>
      </c>
      <c r="G269">
        <v>22</v>
      </c>
      <c r="H269" t="s">
        <v>16</v>
      </c>
      <c r="I269">
        <v>179.82</v>
      </c>
    </row>
    <row r="270" spans="1:9" x14ac:dyDescent="0.25">
      <c r="A270">
        <v>538</v>
      </c>
      <c r="B270">
        <v>39</v>
      </c>
      <c r="C270" t="s">
        <v>12</v>
      </c>
      <c r="D270">
        <v>49970</v>
      </c>
      <c r="E270">
        <v>53</v>
      </c>
      <c r="F270">
        <v>5</v>
      </c>
      <c r="G270">
        <v>24</v>
      </c>
      <c r="H270" t="s">
        <v>16</v>
      </c>
      <c r="I270">
        <v>728.58</v>
      </c>
    </row>
    <row r="271" spans="1:9" x14ac:dyDescent="0.25">
      <c r="A271">
        <v>540</v>
      </c>
      <c r="B271">
        <v>36</v>
      </c>
      <c r="C271" t="s">
        <v>12</v>
      </c>
      <c r="D271">
        <v>37595</v>
      </c>
      <c r="E271">
        <v>88</v>
      </c>
      <c r="F271">
        <v>8</v>
      </c>
      <c r="G271">
        <v>49</v>
      </c>
      <c r="H271" t="s">
        <v>16</v>
      </c>
      <c r="I271">
        <v>600.48</v>
      </c>
    </row>
    <row r="272" spans="1:9" x14ac:dyDescent="0.25">
      <c r="A272">
        <v>562</v>
      </c>
      <c r="B272">
        <v>18</v>
      </c>
      <c r="C272" t="s">
        <v>12</v>
      </c>
      <c r="D272">
        <v>143235</v>
      </c>
      <c r="E272">
        <v>46</v>
      </c>
      <c r="F272">
        <v>10</v>
      </c>
      <c r="G272">
        <v>31</v>
      </c>
      <c r="H272" t="s">
        <v>16</v>
      </c>
      <c r="I272">
        <v>143.75</v>
      </c>
    </row>
    <row r="273" spans="1:9" x14ac:dyDescent="0.25">
      <c r="A273">
        <v>563</v>
      </c>
      <c r="B273">
        <v>23</v>
      </c>
      <c r="C273" t="s">
        <v>12</v>
      </c>
      <c r="D273">
        <v>143899</v>
      </c>
      <c r="E273">
        <v>10</v>
      </c>
      <c r="F273">
        <v>3</v>
      </c>
      <c r="G273">
        <v>47</v>
      </c>
      <c r="H273" t="s">
        <v>16</v>
      </c>
      <c r="I273">
        <v>361.81</v>
      </c>
    </row>
    <row r="274" spans="1:9" x14ac:dyDescent="0.25">
      <c r="A274">
        <v>616</v>
      </c>
      <c r="B274">
        <v>43</v>
      </c>
      <c r="C274" t="s">
        <v>12</v>
      </c>
      <c r="D274">
        <v>38012</v>
      </c>
      <c r="E274">
        <v>55</v>
      </c>
      <c r="F274">
        <v>3</v>
      </c>
      <c r="G274">
        <v>24</v>
      </c>
      <c r="H274" t="s">
        <v>16</v>
      </c>
      <c r="I274">
        <v>943.37</v>
      </c>
    </row>
    <row r="275" spans="1:9" x14ac:dyDescent="0.25">
      <c r="A275">
        <v>626</v>
      </c>
      <c r="B275">
        <v>19</v>
      </c>
      <c r="C275" t="s">
        <v>12</v>
      </c>
      <c r="D275">
        <v>138008</v>
      </c>
      <c r="E275">
        <v>8</v>
      </c>
      <c r="F275">
        <v>9</v>
      </c>
      <c r="G275">
        <v>15</v>
      </c>
      <c r="H275" t="s">
        <v>16</v>
      </c>
      <c r="I275">
        <v>116.8</v>
      </c>
    </row>
    <row r="276" spans="1:9" x14ac:dyDescent="0.25">
      <c r="A276">
        <v>629</v>
      </c>
      <c r="B276">
        <v>65</v>
      </c>
      <c r="C276" t="s">
        <v>12</v>
      </c>
      <c r="D276">
        <v>84223</v>
      </c>
      <c r="E276">
        <v>83</v>
      </c>
      <c r="F276">
        <v>7</v>
      </c>
      <c r="G276">
        <v>46</v>
      </c>
      <c r="H276" t="s">
        <v>16</v>
      </c>
      <c r="I276">
        <v>971.93</v>
      </c>
    </row>
    <row r="277" spans="1:9" x14ac:dyDescent="0.25">
      <c r="A277">
        <v>639</v>
      </c>
      <c r="B277">
        <v>68</v>
      </c>
      <c r="C277" t="s">
        <v>12</v>
      </c>
      <c r="D277">
        <v>57700</v>
      </c>
      <c r="E277">
        <v>70</v>
      </c>
      <c r="F277">
        <v>8</v>
      </c>
      <c r="G277">
        <v>46</v>
      </c>
      <c r="H277" t="s">
        <v>16</v>
      </c>
      <c r="I277">
        <v>178.21</v>
      </c>
    </row>
    <row r="278" spans="1:9" x14ac:dyDescent="0.25">
      <c r="A278">
        <v>696</v>
      </c>
      <c r="B278">
        <v>61</v>
      </c>
      <c r="C278" t="s">
        <v>12</v>
      </c>
      <c r="D278">
        <v>89720</v>
      </c>
      <c r="E278">
        <v>4</v>
      </c>
      <c r="F278">
        <v>9</v>
      </c>
      <c r="G278">
        <v>8</v>
      </c>
      <c r="H278" t="s">
        <v>16</v>
      </c>
      <c r="I278">
        <v>795.49</v>
      </c>
    </row>
    <row r="279" spans="1:9" x14ac:dyDescent="0.25">
      <c r="A279">
        <v>701</v>
      </c>
      <c r="B279">
        <v>31</v>
      </c>
      <c r="C279" t="s">
        <v>12</v>
      </c>
      <c r="D279">
        <v>148121</v>
      </c>
      <c r="E279">
        <v>34</v>
      </c>
      <c r="F279">
        <v>9</v>
      </c>
      <c r="G279">
        <v>32</v>
      </c>
      <c r="H279" t="s">
        <v>16</v>
      </c>
      <c r="I279">
        <v>753.49</v>
      </c>
    </row>
    <row r="280" spans="1:9" x14ac:dyDescent="0.25">
      <c r="A280">
        <v>721</v>
      </c>
      <c r="B280">
        <v>27</v>
      </c>
      <c r="C280" t="s">
        <v>12</v>
      </c>
      <c r="D280">
        <v>114848</v>
      </c>
      <c r="E280">
        <v>66</v>
      </c>
      <c r="F280">
        <v>10</v>
      </c>
      <c r="G280">
        <v>38</v>
      </c>
      <c r="H280" t="s">
        <v>16</v>
      </c>
      <c r="I280">
        <v>912.58</v>
      </c>
    </row>
    <row r="281" spans="1:9" x14ac:dyDescent="0.25">
      <c r="A281">
        <v>723</v>
      </c>
      <c r="B281">
        <v>20</v>
      </c>
      <c r="C281" t="s">
        <v>12</v>
      </c>
      <c r="D281">
        <v>48504</v>
      </c>
      <c r="E281">
        <v>27</v>
      </c>
      <c r="F281">
        <v>3</v>
      </c>
      <c r="G281">
        <v>28</v>
      </c>
      <c r="H281" t="s">
        <v>16</v>
      </c>
      <c r="I281">
        <v>658.54</v>
      </c>
    </row>
    <row r="282" spans="1:9" x14ac:dyDescent="0.25">
      <c r="A282">
        <v>747</v>
      </c>
      <c r="B282">
        <v>26</v>
      </c>
      <c r="C282" t="s">
        <v>12</v>
      </c>
      <c r="D282">
        <v>44725</v>
      </c>
      <c r="E282">
        <v>40</v>
      </c>
      <c r="F282">
        <v>10</v>
      </c>
      <c r="G282">
        <v>17</v>
      </c>
      <c r="H282" t="s">
        <v>16</v>
      </c>
      <c r="I282">
        <v>307.42</v>
      </c>
    </row>
    <row r="283" spans="1:9" x14ac:dyDescent="0.25">
      <c r="A283">
        <v>751</v>
      </c>
      <c r="B283">
        <v>63</v>
      </c>
      <c r="C283" t="s">
        <v>12</v>
      </c>
      <c r="D283">
        <v>37201</v>
      </c>
      <c r="E283">
        <v>60</v>
      </c>
      <c r="F283">
        <v>6</v>
      </c>
      <c r="G283">
        <v>46</v>
      </c>
      <c r="H283" t="s">
        <v>16</v>
      </c>
      <c r="I283">
        <v>90.96</v>
      </c>
    </row>
    <row r="284" spans="1:9" x14ac:dyDescent="0.25">
      <c r="A284">
        <v>754</v>
      </c>
      <c r="B284">
        <v>52</v>
      </c>
      <c r="C284" t="s">
        <v>12</v>
      </c>
      <c r="D284">
        <v>49342</v>
      </c>
      <c r="E284">
        <v>77</v>
      </c>
      <c r="F284">
        <v>7</v>
      </c>
      <c r="G284">
        <v>29</v>
      </c>
      <c r="H284" t="s">
        <v>16</v>
      </c>
      <c r="I284">
        <v>622.86</v>
      </c>
    </row>
    <row r="285" spans="1:9" x14ac:dyDescent="0.25">
      <c r="A285">
        <v>770</v>
      </c>
      <c r="B285">
        <v>61</v>
      </c>
      <c r="C285" t="s">
        <v>12</v>
      </c>
      <c r="D285">
        <v>32692</v>
      </c>
      <c r="E285">
        <v>18</v>
      </c>
      <c r="F285">
        <v>8</v>
      </c>
      <c r="G285">
        <v>28</v>
      </c>
      <c r="H285" t="s">
        <v>16</v>
      </c>
      <c r="I285">
        <v>709.33</v>
      </c>
    </row>
    <row r="286" spans="1:9" x14ac:dyDescent="0.25">
      <c r="A286">
        <v>802</v>
      </c>
      <c r="B286">
        <v>51</v>
      </c>
      <c r="C286" t="s">
        <v>12</v>
      </c>
      <c r="D286">
        <v>107033</v>
      </c>
      <c r="E286">
        <v>96</v>
      </c>
      <c r="F286">
        <v>3</v>
      </c>
      <c r="G286">
        <v>42</v>
      </c>
      <c r="H286" t="s">
        <v>16</v>
      </c>
      <c r="I286">
        <v>992.17</v>
      </c>
    </row>
    <row r="287" spans="1:9" x14ac:dyDescent="0.25">
      <c r="A287">
        <v>803</v>
      </c>
      <c r="B287">
        <v>64</v>
      </c>
      <c r="C287" t="s">
        <v>12</v>
      </c>
      <c r="D287">
        <v>127745</v>
      </c>
      <c r="E287">
        <v>72</v>
      </c>
      <c r="F287">
        <v>2</v>
      </c>
      <c r="G287">
        <v>11</v>
      </c>
      <c r="H287" t="s">
        <v>16</v>
      </c>
      <c r="I287">
        <v>192.17</v>
      </c>
    </row>
    <row r="288" spans="1:9" x14ac:dyDescent="0.25">
      <c r="A288">
        <v>806</v>
      </c>
      <c r="B288">
        <v>49</v>
      </c>
      <c r="C288" t="s">
        <v>12</v>
      </c>
      <c r="D288">
        <v>69864</v>
      </c>
      <c r="E288">
        <v>92</v>
      </c>
      <c r="F288">
        <v>10</v>
      </c>
      <c r="G288">
        <v>25</v>
      </c>
      <c r="H288" t="s">
        <v>16</v>
      </c>
      <c r="I288">
        <v>522.78</v>
      </c>
    </row>
    <row r="289" spans="1:9" x14ac:dyDescent="0.25">
      <c r="A289">
        <v>808</v>
      </c>
      <c r="B289">
        <v>33</v>
      </c>
      <c r="C289" t="s">
        <v>12</v>
      </c>
      <c r="D289">
        <v>127302</v>
      </c>
      <c r="E289">
        <v>43</v>
      </c>
      <c r="F289">
        <v>1</v>
      </c>
      <c r="G289">
        <v>40</v>
      </c>
      <c r="H289" t="s">
        <v>16</v>
      </c>
      <c r="I289">
        <v>785.52</v>
      </c>
    </row>
    <row r="290" spans="1:9" x14ac:dyDescent="0.25">
      <c r="A290">
        <v>826</v>
      </c>
      <c r="B290">
        <v>48</v>
      </c>
      <c r="C290" t="s">
        <v>12</v>
      </c>
      <c r="D290">
        <v>111795</v>
      </c>
      <c r="E290">
        <v>41</v>
      </c>
      <c r="F290">
        <v>9</v>
      </c>
      <c r="G290">
        <v>17</v>
      </c>
      <c r="H290" t="s">
        <v>16</v>
      </c>
      <c r="I290">
        <v>116.19</v>
      </c>
    </row>
    <row r="291" spans="1:9" x14ac:dyDescent="0.25">
      <c r="A291">
        <v>847</v>
      </c>
      <c r="B291">
        <v>22</v>
      </c>
      <c r="C291" t="s">
        <v>12</v>
      </c>
      <c r="D291">
        <v>134801</v>
      </c>
      <c r="E291">
        <v>47</v>
      </c>
      <c r="F291">
        <v>1</v>
      </c>
      <c r="G291">
        <v>49</v>
      </c>
      <c r="H291" t="s">
        <v>16</v>
      </c>
      <c r="I291">
        <v>292.92</v>
      </c>
    </row>
    <row r="292" spans="1:9" x14ac:dyDescent="0.25">
      <c r="A292">
        <v>874</v>
      </c>
      <c r="B292">
        <v>35</v>
      </c>
      <c r="C292" t="s">
        <v>12</v>
      </c>
      <c r="D292">
        <v>121037</v>
      </c>
      <c r="E292">
        <v>70</v>
      </c>
      <c r="F292">
        <v>1</v>
      </c>
      <c r="G292">
        <v>28</v>
      </c>
      <c r="H292" t="s">
        <v>16</v>
      </c>
      <c r="I292">
        <v>304.08</v>
      </c>
    </row>
    <row r="293" spans="1:9" x14ac:dyDescent="0.25">
      <c r="A293">
        <v>887</v>
      </c>
      <c r="B293">
        <v>60</v>
      </c>
      <c r="C293" t="s">
        <v>12</v>
      </c>
      <c r="D293">
        <v>98882</v>
      </c>
      <c r="E293">
        <v>38</v>
      </c>
      <c r="F293">
        <v>2</v>
      </c>
      <c r="G293">
        <v>28</v>
      </c>
      <c r="H293" t="s">
        <v>16</v>
      </c>
      <c r="I293">
        <v>940.14</v>
      </c>
    </row>
    <row r="294" spans="1:9" x14ac:dyDescent="0.25">
      <c r="A294">
        <v>888</v>
      </c>
      <c r="B294">
        <v>29</v>
      </c>
      <c r="C294" t="s">
        <v>12</v>
      </c>
      <c r="D294">
        <v>149973</v>
      </c>
      <c r="E294">
        <v>2</v>
      </c>
      <c r="F294">
        <v>2</v>
      </c>
      <c r="G294">
        <v>19</v>
      </c>
      <c r="H294" t="s">
        <v>16</v>
      </c>
      <c r="I294">
        <v>437.1</v>
      </c>
    </row>
    <row r="295" spans="1:9" x14ac:dyDescent="0.25">
      <c r="A295">
        <v>916</v>
      </c>
      <c r="B295">
        <v>26</v>
      </c>
      <c r="C295" t="s">
        <v>12</v>
      </c>
      <c r="D295">
        <v>131020</v>
      </c>
      <c r="E295">
        <v>23</v>
      </c>
      <c r="F295">
        <v>7</v>
      </c>
      <c r="G295">
        <v>22</v>
      </c>
      <c r="H295" t="s">
        <v>16</v>
      </c>
      <c r="I295">
        <v>844.88</v>
      </c>
    </row>
    <row r="296" spans="1:9" x14ac:dyDescent="0.25">
      <c r="A296">
        <v>924</v>
      </c>
      <c r="B296">
        <v>20</v>
      </c>
      <c r="C296" t="s">
        <v>12</v>
      </c>
      <c r="D296">
        <v>88778</v>
      </c>
      <c r="E296">
        <v>56</v>
      </c>
      <c r="F296">
        <v>2</v>
      </c>
      <c r="G296">
        <v>28</v>
      </c>
      <c r="H296" t="s">
        <v>16</v>
      </c>
      <c r="I296">
        <v>240.93</v>
      </c>
    </row>
    <row r="297" spans="1:9" x14ac:dyDescent="0.25">
      <c r="A297">
        <v>934</v>
      </c>
      <c r="B297">
        <v>47</v>
      </c>
      <c r="C297" t="s">
        <v>12</v>
      </c>
      <c r="D297">
        <v>138152</v>
      </c>
      <c r="E297">
        <v>53</v>
      </c>
      <c r="F297">
        <v>2</v>
      </c>
      <c r="G297">
        <v>38</v>
      </c>
      <c r="H297" t="s">
        <v>16</v>
      </c>
      <c r="I297">
        <v>129.08000000000001</v>
      </c>
    </row>
    <row r="298" spans="1:9" x14ac:dyDescent="0.25">
      <c r="A298">
        <v>946</v>
      </c>
      <c r="B298">
        <v>59</v>
      </c>
      <c r="C298" t="s">
        <v>12</v>
      </c>
      <c r="D298">
        <v>149936</v>
      </c>
      <c r="E298">
        <v>80</v>
      </c>
      <c r="F298">
        <v>7</v>
      </c>
      <c r="G298">
        <v>37</v>
      </c>
      <c r="H298" t="s">
        <v>16</v>
      </c>
      <c r="I298">
        <v>406.6</v>
      </c>
    </row>
    <row r="299" spans="1:9" x14ac:dyDescent="0.25">
      <c r="A299">
        <v>962</v>
      </c>
      <c r="B299">
        <v>60</v>
      </c>
      <c r="C299" t="s">
        <v>12</v>
      </c>
      <c r="D299">
        <v>98537</v>
      </c>
      <c r="E299">
        <v>71</v>
      </c>
      <c r="F299">
        <v>9</v>
      </c>
      <c r="G299">
        <v>45</v>
      </c>
      <c r="H299" t="s">
        <v>16</v>
      </c>
      <c r="I299">
        <v>725.67</v>
      </c>
    </row>
    <row r="300" spans="1:9" x14ac:dyDescent="0.25">
      <c r="A300">
        <v>973</v>
      </c>
      <c r="B300">
        <v>43</v>
      </c>
      <c r="C300" t="s">
        <v>12</v>
      </c>
      <c r="D300">
        <v>130645</v>
      </c>
      <c r="E300">
        <v>34</v>
      </c>
      <c r="F300">
        <v>10</v>
      </c>
      <c r="G300">
        <v>5</v>
      </c>
      <c r="H300" t="s">
        <v>16</v>
      </c>
      <c r="I300">
        <v>833.69</v>
      </c>
    </row>
    <row r="301" spans="1:9" x14ac:dyDescent="0.25">
      <c r="A301">
        <v>977</v>
      </c>
      <c r="B301">
        <v>37</v>
      </c>
      <c r="C301" t="s">
        <v>12</v>
      </c>
      <c r="D301">
        <v>100314</v>
      </c>
      <c r="E301">
        <v>71</v>
      </c>
      <c r="F301">
        <v>5</v>
      </c>
      <c r="G301">
        <v>19</v>
      </c>
      <c r="H301" t="s">
        <v>16</v>
      </c>
      <c r="I301">
        <v>692.74</v>
      </c>
    </row>
    <row r="302" spans="1:9" x14ac:dyDescent="0.25">
      <c r="A302">
        <v>988</v>
      </c>
      <c r="B302">
        <v>26</v>
      </c>
      <c r="C302" t="s">
        <v>12</v>
      </c>
      <c r="D302">
        <v>148451</v>
      </c>
      <c r="E302">
        <v>78</v>
      </c>
      <c r="F302">
        <v>5</v>
      </c>
      <c r="G302">
        <v>14</v>
      </c>
      <c r="H302" t="s">
        <v>16</v>
      </c>
      <c r="I302">
        <v>99.19</v>
      </c>
    </row>
    <row r="303" spans="1:9" x14ac:dyDescent="0.25">
      <c r="A303">
        <v>16</v>
      </c>
      <c r="B303">
        <v>53</v>
      </c>
      <c r="C303" t="s">
        <v>12</v>
      </c>
      <c r="D303">
        <v>129284</v>
      </c>
      <c r="E303">
        <v>17</v>
      </c>
      <c r="F303">
        <v>6</v>
      </c>
      <c r="G303">
        <v>26</v>
      </c>
      <c r="H303" t="s">
        <v>17</v>
      </c>
      <c r="I303">
        <v>225.4</v>
      </c>
    </row>
    <row r="304" spans="1:9" x14ac:dyDescent="0.25">
      <c r="A304">
        <v>17</v>
      </c>
      <c r="B304">
        <v>57</v>
      </c>
      <c r="C304" t="s">
        <v>12</v>
      </c>
      <c r="D304">
        <v>102535</v>
      </c>
      <c r="E304">
        <v>29</v>
      </c>
      <c r="F304">
        <v>5</v>
      </c>
      <c r="G304">
        <v>13</v>
      </c>
      <c r="H304" t="s">
        <v>17</v>
      </c>
      <c r="I304">
        <v>378.47</v>
      </c>
    </row>
    <row r="305" spans="1:9" x14ac:dyDescent="0.25">
      <c r="A305">
        <v>42</v>
      </c>
      <c r="B305">
        <v>52</v>
      </c>
      <c r="C305" t="s">
        <v>12</v>
      </c>
      <c r="D305">
        <v>115529</v>
      </c>
      <c r="E305">
        <v>70</v>
      </c>
      <c r="F305">
        <v>2</v>
      </c>
      <c r="G305">
        <v>34</v>
      </c>
      <c r="H305" t="s">
        <v>17</v>
      </c>
      <c r="I305">
        <v>192.66</v>
      </c>
    </row>
    <row r="306" spans="1:9" x14ac:dyDescent="0.25">
      <c r="A306">
        <v>85</v>
      </c>
      <c r="B306">
        <v>19</v>
      </c>
      <c r="C306" t="s">
        <v>12</v>
      </c>
      <c r="D306">
        <v>101100</v>
      </c>
      <c r="E306">
        <v>43</v>
      </c>
      <c r="F306">
        <v>3</v>
      </c>
      <c r="G306">
        <v>14</v>
      </c>
      <c r="H306" t="s">
        <v>17</v>
      </c>
      <c r="I306">
        <v>392.36</v>
      </c>
    </row>
    <row r="307" spans="1:9" x14ac:dyDescent="0.25">
      <c r="A307">
        <v>96</v>
      </c>
      <c r="B307">
        <v>23</v>
      </c>
      <c r="C307" t="s">
        <v>12</v>
      </c>
      <c r="D307">
        <v>108480</v>
      </c>
      <c r="E307">
        <v>46</v>
      </c>
      <c r="F307">
        <v>10</v>
      </c>
      <c r="G307">
        <v>21</v>
      </c>
      <c r="H307" t="s">
        <v>17</v>
      </c>
      <c r="I307">
        <v>377.31</v>
      </c>
    </row>
    <row r="308" spans="1:9" x14ac:dyDescent="0.25">
      <c r="A308">
        <v>98</v>
      </c>
      <c r="B308">
        <v>49</v>
      </c>
      <c r="C308" t="s">
        <v>12</v>
      </c>
      <c r="D308">
        <v>46695</v>
      </c>
      <c r="E308">
        <v>99</v>
      </c>
      <c r="F308">
        <v>9</v>
      </c>
      <c r="G308">
        <v>26</v>
      </c>
      <c r="H308" t="s">
        <v>17</v>
      </c>
      <c r="I308">
        <v>674.7</v>
      </c>
    </row>
    <row r="309" spans="1:9" x14ac:dyDescent="0.25">
      <c r="A309">
        <v>103</v>
      </c>
      <c r="B309">
        <v>19</v>
      </c>
      <c r="C309" t="s">
        <v>12</v>
      </c>
      <c r="D309">
        <v>75430</v>
      </c>
      <c r="E309">
        <v>50</v>
      </c>
      <c r="F309">
        <v>7</v>
      </c>
      <c r="G309">
        <v>32</v>
      </c>
      <c r="H309" t="s">
        <v>17</v>
      </c>
      <c r="I309">
        <v>532.51</v>
      </c>
    </row>
    <row r="310" spans="1:9" x14ac:dyDescent="0.25">
      <c r="A310">
        <v>112</v>
      </c>
      <c r="B310">
        <v>64</v>
      </c>
      <c r="C310" t="s">
        <v>12</v>
      </c>
      <c r="D310">
        <v>87006</v>
      </c>
      <c r="E310">
        <v>85</v>
      </c>
      <c r="F310">
        <v>7</v>
      </c>
      <c r="G310">
        <v>20</v>
      </c>
      <c r="H310" t="s">
        <v>17</v>
      </c>
      <c r="I310">
        <v>930.73</v>
      </c>
    </row>
    <row r="311" spans="1:9" x14ac:dyDescent="0.25">
      <c r="A311">
        <v>150</v>
      </c>
      <c r="B311">
        <v>54</v>
      </c>
      <c r="C311" t="s">
        <v>12</v>
      </c>
      <c r="D311">
        <v>100745</v>
      </c>
      <c r="E311">
        <v>29</v>
      </c>
      <c r="F311">
        <v>6</v>
      </c>
      <c r="G311">
        <v>42</v>
      </c>
      <c r="H311" t="s">
        <v>17</v>
      </c>
      <c r="I311">
        <v>335.15</v>
      </c>
    </row>
    <row r="312" spans="1:9" x14ac:dyDescent="0.25">
      <c r="A312">
        <v>194</v>
      </c>
      <c r="B312">
        <v>69</v>
      </c>
      <c r="C312" t="s">
        <v>12</v>
      </c>
      <c r="D312">
        <v>74519</v>
      </c>
      <c r="E312">
        <v>95</v>
      </c>
      <c r="F312">
        <v>10</v>
      </c>
      <c r="G312">
        <v>42</v>
      </c>
      <c r="H312" t="s">
        <v>17</v>
      </c>
      <c r="I312">
        <v>931.51</v>
      </c>
    </row>
    <row r="313" spans="1:9" x14ac:dyDescent="0.25">
      <c r="A313">
        <v>219</v>
      </c>
      <c r="B313">
        <v>57</v>
      </c>
      <c r="C313" t="s">
        <v>12</v>
      </c>
      <c r="D313">
        <v>33009</v>
      </c>
      <c r="E313">
        <v>82</v>
      </c>
      <c r="F313">
        <v>9</v>
      </c>
      <c r="G313">
        <v>24</v>
      </c>
      <c r="H313" t="s">
        <v>17</v>
      </c>
      <c r="I313">
        <v>563.64</v>
      </c>
    </row>
    <row r="314" spans="1:9" x14ac:dyDescent="0.25">
      <c r="A314">
        <v>221</v>
      </c>
      <c r="B314">
        <v>62</v>
      </c>
      <c r="C314" t="s">
        <v>12</v>
      </c>
      <c r="D314">
        <v>82623</v>
      </c>
      <c r="E314">
        <v>51</v>
      </c>
      <c r="F314">
        <v>8</v>
      </c>
      <c r="G314">
        <v>37</v>
      </c>
      <c r="H314" t="s">
        <v>17</v>
      </c>
      <c r="I314">
        <v>155.13999999999999</v>
      </c>
    </row>
    <row r="315" spans="1:9" x14ac:dyDescent="0.25">
      <c r="A315">
        <v>265</v>
      </c>
      <c r="B315">
        <v>63</v>
      </c>
      <c r="C315" t="s">
        <v>12</v>
      </c>
      <c r="D315">
        <v>142287</v>
      </c>
      <c r="E315">
        <v>77</v>
      </c>
      <c r="F315">
        <v>10</v>
      </c>
      <c r="G315">
        <v>44</v>
      </c>
      <c r="H315" t="s">
        <v>17</v>
      </c>
      <c r="I315">
        <v>785.29</v>
      </c>
    </row>
    <row r="316" spans="1:9" x14ac:dyDescent="0.25">
      <c r="A316">
        <v>278</v>
      </c>
      <c r="B316">
        <v>63</v>
      </c>
      <c r="C316" t="s">
        <v>12</v>
      </c>
      <c r="D316">
        <v>48225</v>
      </c>
      <c r="E316">
        <v>24</v>
      </c>
      <c r="F316">
        <v>6</v>
      </c>
      <c r="G316">
        <v>14</v>
      </c>
      <c r="H316" t="s">
        <v>17</v>
      </c>
      <c r="I316">
        <v>764.05</v>
      </c>
    </row>
    <row r="317" spans="1:9" x14ac:dyDescent="0.25">
      <c r="A317">
        <v>282</v>
      </c>
      <c r="B317">
        <v>34</v>
      </c>
      <c r="C317" t="s">
        <v>12</v>
      </c>
      <c r="D317">
        <v>68250</v>
      </c>
      <c r="E317">
        <v>9</v>
      </c>
      <c r="F317">
        <v>10</v>
      </c>
      <c r="G317">
        <v>26</v>
      </c>
      <c r="H317" t="s">
        <v>17</v>
      </c>
      <c r="I317">
        <v>835.06</v>
      </c>
    </row>
    <row r="318" spans="1:9" x14ac:dyDescent="0.25">
      <c r="A318">
        <v>286</v>
      </c>
      <c r="B318">
        <v>51</v>
      </c>
      <c r="C318" t="s">
        <v>12</v>
      </c>
      <c r="D318">
        <v>124670</v>
      </c>
      <c r="E318">
        <v>66</v>
      </c>
      <c r="F318">
        <v>2</v>
      </c>
      <c r="G318">
        <v>43</v>
      </c>
      <c r="H318" t="s">
        <v>17</v>
      </c>
      <c r="I318">
        <v>184.8</v>
      </c>
    </row>
    <row r="319" spans="1:9" x14ac:dyDescent="0.25">
      <c r="A319">
        <v>287</v>
      </c>
      <c r="B319">
        <v>31</v>
      </c>
      <c r="C319" t="s">
        <v>12</v>
      </c>
      <c r="D319">
        <v>119460</v>
      </c>
      <c r="E319">
        <v>69</v>
      </c>
      <c r="F319">
        <v>2</v>
      </c>
      <c r="G319">
        <v>22</v>
      </c>
      <c r="H319" t="s">
        <v>17</v>
      </c>
      <c r="I319">
        <v>486.21</v>
      </c>
    </row>
    <row r="320" spans="1:9" x14ac:dyDescent="0.25">
      <c r="A320">
        <v>320</v>
      </c>
      <c r="B320">
        <v>34</v>
      </c>
      <c r="C320" t="s">
        <v>12</v>
      </c>
      <c r="D320">
        <v>31668</v>
      </c>
      <c r="E320">
        <v>43</v>
      </c>
      <c r="F320">
        <v>5</v>
      </c>
      <c r="G320">
        <v>40</v>
      </c>
      <c r="H320" t="s">
        <v>17</v>
      </c>
      <c r="I320">
        <v>117.01</v>
      </c>
    </row>
    <row r="321" spans="1:9" x14ac:dyDescent="0.25">
      <c r="A321">
        <v>327</v>
      </c>
      <c r="B321">
        <v>50</v>
      </c>
      <c r="C321" t="s">
        <v>12</v>
      </c>
      <c r="D321">
        <v>36022</v>
      </c>
      <c r="E321">
        <v>11</v>
      </c>
      <c r="F321">
        <v>6</v>
      </c>
      <c r="G321">
        <v>49</v>
      </c>
      <c r="H321" t="s">
        <v>17</v>
      </c>
      <c r="I321">
        <v>801.59</v>
      </c>
    </row>
    <row r="322" spans="1:9" x14ac:dyDescent="0.25">
      <c r="A322">
        <v>345</v>
      </c>
      <c r="B322">
        <v>33</v>
      </c>
      <c r="C322" t="s">
        <v>12</v>
      </c>
      <c r="D322">
        <v>112118</v>
      </c>
      <c r="E322">
        <v>27</v>
      </c>
      <c r="F322">
        <v>10</v>
      </c>
      <c r="G322">
        <v>9</v>
      </c>
      <c r="H322" t="s">
        <v>17</v>
      </c>
      <c r="I322">
        <v>535.28</v>
      </c>
    </row>
    <row r="323" spans="1:9" x14ac:dyDescent="0.25">
      <c r="A323">
        <v>402</v>
      </c>
      <c r="B323">
        <v>63</v>
      </c>
      <c r="C323" t="s">
        <v>12</v>
      </c>
      <c r="D323">
        <v>149062</v>
      </c>
      <c r="E323">
        <v>66</v>
      </c>
      <c r="F323">
        <v>9</v>
      </c>
      <c r="G323">
        <v>7</v>
      </c>
      <c r="H323" t="s">
        <v>17</v>
      </c>
      <c r="I323">
        <v>441.11</v>
      </c>
    </row>
    <row r="324" spans="1:9" x14ac:dyDescent="0.25">
      <c r="A324">
        <v>441</v>
      </c>
      <c r="B324">
        <v>46</v>
      </c>
      <c r="C324" t="s">
        <v>12</v>
      </c>
      <c r="D324">
        <v>68970</v>
      </c>
      <c r="E324">
        <v>50</v>
      </c>
      <c r="F324">
        <v>9</v>
      </c>
      <c r="G324">
        <v>46</v>
      </c>
      <c r="H324" t="s">
        <v>17</v>
      </c>
      <c r="I324">
        <v>392.35</v>
      </c>
    </row>
    <row r="325" spans="1:9" x14ac:dyDescent="0.25">
      <c r="A325">
        <v>463</v>
      </c>
      <c r="B325">
        <v>53</v>
      </c>
      <c r="C325" t="s">
        <v>12</v>
      </c>
      <c r="D325">
        <v>37569</v>
      </c>
      <c r="E325">
        <v>18</v>
      </c>
      <c r="F325">
        <v>8</v>
      </c>
      <c r="G325">
        <v>50</v>
      </c>
      <c r="H325" t="s">
        <v>17</v>
      </c>
      <c r="I325">
        <v>634.91999999999996</v>
      </c>
    </row>
    <row r="326" spans="1:9" x14ac:dyDescent="0.25">
      <c r="A326">
        <v>468</v>
      </c>
      <c r="B326">
        <v>54</v>
      </c>
      <c r="C326" t="s">
        <v>12</v>
      </c>
      <c r="D326">
        <v>32276</v>
      </c>
      <c r="E326">
        <v>73</v>
      </c>
      <c r="F326">
        <v>2</v>
      </c>
      <c r="G326">
        <v>44</v>
      </c>
      <c r="H326" t="s">
        <v>17</v>
      </c>
      <c r="I326">
        <v>554.58000000000004</v>
      </c>
    </row>
    <row r="327" spans="1:9" x14ac:dyDescent="0.25">
      <c r="A327">
        <v>500</v>
      </c>
      <c r="B327">
        <v>47</v>
      </c>
      <c r="C327" t="s">
        <v>12</v>
      </c>
      <c r="D327">
        <v>69168</v>
      </c>
      <c r="E327">
        <v>16</v>
      </c>
      <c r="F327">
        <v>7</v>
      </c>
      <c r="G327">
        <v>42</v>
      </c>
      <c r="H327" t="s">
        <v>17</v>
      </c>
      <c r="I327">
        <v>638.96</v>
      </c>
    </row>
    <row r="328" spans="1:9" x14ac:dyDescent="0.25">
      <c r="A328">
        <v>501</v>
      </c>
      <c r="B328">
        <v>42</v>
      </c>
      <c r="C328" t="s">
        <v>12</v>
      </c>
      <c r="D328">
        <v>129999</v>
      </c>
      <c r="E328">
        <v>73</v>
      </c>
      <c r="F328">
        <v>5</v>
      </c>
      <c r="G328">
        <v>2</v>
      </c>
      <c r="H328" t="s">
        <v>17</v>
      </c>
      <c r="I328">
        <v>942.97</v>
      </c>
    </row>
    <row r="329" spans="1:9" x14ac:dyDescent="0.25">
      <c r="A329">
        <v>526</v>
      </c>
      <c r="B329">
        <v>52</v>
      </c>
      <c r="C329" t="s">
        <v>12</v>
      </c>
      <c r="D329">
        <v>133701</v>
      </c>
      <c r="E329">
        <v>64</v>
      </c>
      <c r="F329">
        <v>1</v>
      </c>
      <c r="G329">
        <v>34</v>
      </c>
      <c r="H329" t="s">
        <v>17</v>
      </c>
      <c r="I329">
        <v>534.25</v>
      </c>
    </row>
    <row r="330" spans="1:9" x14ac:dyDescent="0.25">
      <c r="A330">
        <v>552</v>
      </c>
      <c r="B330">
        <v>20</v>
      </c>
      <c r="C330" t="s">
        <v>12</v>
      </c>
      <c r="D330">
        <v>51199</v>
      </c>
      <c r="E330">
        <v>100</v>
      </c>
      <c r="F330">
        <v>5</v>
      </c>
      <c r="G330">
        <v>5</v>
      </c>
      <c r="H330" t="s">
        <v>17</v>
      </c>
      <c r="I330">
        <v>889.83</v>
      </c>
    </row>
    <row r="331" spans="1:9" x14ac:dyDescent="0.25">
      <c r="A331">
        <v>566</v>
      </c>
      <c r="B331">
        <v>29</v>
      </c>
      <c r="C331" t="s">
        <v>12</v>
      </c>
      <c r="D331">
        <v>60262</v>
      </c>
      <c r="E331">
        <v>56</v>
      </c>
      <c r="F331">
        <v>4</v>
      </c>
      <c r="G331">
        <v>27</v>
      </c>
      <c r="H331" t="s">
        <v>17</v>
      </c>
      <c r="I331">
        <v>452.32</v>
      </c>
    </row>
    <row r="332" spans="1:9" x14ac:dyDescent="0.25">
      <c r="A332">
        <v>575</v>
      </c>
      <c r="B332">
        <v>49</v>
      </c>
      <c r="C332" t="s">
        <v>12</v>
      </c>
      <c r="D332">
        <v>55027</v>
      </c>
      <c r="E332">
        <v>62</v>
      </c>
      <c r="F332">
        <v>2</v>
      </c>
      <c r="G332">
        <v>1</v>
      </c>
      <c r="H332" t="s">
        <v>17</v>
      </c>
      <c r="I332">
        <v>962.9</v>
      </c>
    </row>
    <row r="333" spans="1:9" x14ac:dyDescent="0.25">
      <c r="A333">
        <v>581</v>
      </c>
      <c r="B333">
        <v>46</v>
      </c>
      <c r="C333" t="s">
        <v>12</v>
      </c>
      <c r="D333">
        <v>129568</v>
      </c>
      <c r="E333">
        <v>56</v>
      </c>
      <c r="F333">
        <v>10</v>
      </c>
      <c r="G333">
        <v>27</v>
      </c>
      <c r="H333" t="s">
        <v>17</v>
      </c>
      <c r="I333">
        <v>766.26</v>
      </c>
    </row>
    <row r="334" spans="1:9" x14ac:dyDescent="0.25">
      <c r="A334">
        <v>584</v>
      </c>
      <c r="B334">
        <v>30</v>
      </c>
      <c r="C334" t="s">
        <v>12</v>
      </c>
      <c r="D334">
        <v>114808</v>
      </c>
      <c r="E334">
        <v>23</v>
      </c>
      <c r="F334">
        <v>9</v>
      </c>
      <c r="G334">
        <v>6</v>
      </c>
      <c r="H334" t="s">
        <v>17</v>
      </c>
      <c r="I334">
        <v>74.08</v>
      </c>
    </row>
    <row r="335" spans="1:9" x14ac:dyDescent="0.25">
      <c r="A335">
        <v>658</v>
      </c>
      <c r="B335">
        <v>61</v>
      </c>
      <c r="C335" t="s">
        <v>12</v>
      </c>
      <c r="D335">
        <v>145578</v>
      </c>
      <c r="E335">
        <v>79</v>
      </c>
      <c r="F335">
        <v>2</v>
      </c>
      <c r="G335">
        <v>34</v>
      </c>
      <c r="H335" t="s">
        <v>17</v>
      </c>
      <c r="I335">
        <v>762.06</v>
      </c>
    </row>
    <row r="336" spans="1:9" x14ac:dyDescent="0.25">
      <c r="A336">
        <v>669</v>
      </c>
      <c r="B336">
        <v>52</v>
      </c>
      <c r="C336" t="s">
        <v>12</v>
      </c>
      <c r="D336">
        <v>87717</v>
      </c>
      <c r="E336">
        <v>79</v>
      </c>
      <c r="F336">
        <v>6</v>
      </c>
      <c r="G336">
        <v>44</v>
      </c>
      <c r="H336" t="s">
        <v>17</v>
      </c>
      <c r="I336">
        <v>95.17</v>
      </c>
    </row>
    <row r="337" spans="1:9" x14ac:dyDescent="0.25">
      <c r="A337">
        <v>684</v>
      </c>
      <c r="B337">
        <v>42</v>
      </c>
      <c r="C337" t="s">
        <v>12</v>
      </c>
      <c r="D337">
        <v>56378</v>
      </c>
      <c r="E337">
        <v>8</v>
      </c>
      <c r="F337">
        <v>9</v>
      </c>
      <c r="G337">
        <v>18</v>
      </c>
      <c r="H337" t="s">
        <v>17</v>
      </c>
      <c r="I337">
        <v>880.45</v>
      </c>
    </row>
    <row r="338" spans="1:9" x14ac:dyDescent="0.25">
      <c r="A338">
        <v>686</v>
      </c>
      <c r="B338">
        <v>30</v>
      </c>
      <c r="C338" t="s">
        <v>12</v>
      </c>
      <c r="D338">
        <v>115674</v>
      </c>
      <c r="E338">
        <v>78</v>
      </c>
      <c r="F338">
        <v>2</v>
      </c>
      <c r="G338">
        <v>48</v>
      </c>
      <c r="H338" t="s">
        <v>17</v>
      </c>
      <c r="I338">
        <v>621.73</v>
      </c>
    </row>
    <row r="339" spans="1:9" x14ac:dyDescent="0.25">
      <c r="A339">
        <v>705</v>
      </c>
      <c r="B339">
        <v>42</v>
      </c>
      <c r="C339" t="s">
        <v>12</v>
      </c>
      <c r="D339">
        <v>49140</v>
      </c>
      <c r="E339">
        <v>23</v>
      </c>
      <c r="F339">
        <v>9</v>
      </c>
      <c r="G339">
        <v>35</v>
      </c>
      <c r="H339" t="s">
        <v>17</v>
      </c>
      <c r="I339">
        <v>400.23</v>
      </c>
    </row>
    <row r="340" spans="1:9" x14ac:dyDescent="0.25">
      <c r="A340">
        <v>708</v>
      </c>
      <c r="B340">
        <v>68</v>
      </c>
      <c r="C340" t="s">
        <v>12</v>
      </c>
      <c r="D340">
        <v>47482</v>
      </c>
      <c r="E340">
        <v>100</v>
      </c>
      <c r="F340">
        <v>9</v>
      </c>
      <c r="G340">
        <v>49</v>
      </c>
      <c r="H340" t="s">
        <v>17</v>
      </c>
      <c r="I340">
        <v>170.56</v>
      </c>
    </row>
    <row r="341" spans="1:9" x14ac:dyDescent="0.25">
      <c r="A341">
        <v>717</v>
      </c>
      <c r="B341">
        <v>47</v>
      </c>
      <c r="C341" t="s">
        <v>12</v>
      </c>
      <c r="D341">
        <v>136278</v>
      </c>
      <c r="E341">
        <v>76</v>
      </c>
      <c r="F341">
        <v>10</v>
      </c>
      <c r="G341">
        <v>48</v>
      </c>
      <c r="H341" t="s">
        <v>17</v>
      </c>
      <c r="I341">
        <v>233.64</v>
      </c>
    </row>
    <row r="342" spans="1:9" x14ac:dyDescent="0.25">
      <c r="A342">
        <v>737</v>
      </c>
      <c r="B342">
        <v>28</v>
      </c>
      <c r="C342" t="s">
        <v>12</v>
      </c>
      <c r="D342">
        <v>104971</v>
      </c>
      <c r="E342">
        <v>74</v>
      </c>
      <c r="F342">
        <v>4</v>
      </c>
      <c r="G342">
        <v>10</v>
      </c>
      <c r="H342" t="s">
        <v>17</v>
      </c>
      <c r="I342">
        <v>297.17</v>
      </c>
    </row>
    <row r="343" spans="1:9" x14ac:dyDescent="0.25">
      <c r="A343">
        <v>755</v>
      </c>
      <c r="B343">
        <v>61</v>
      </c>
      <c r="C343" t="s">
        <v>12</v>
      </c>
      <c r="D343">
        <v>59583</v>
      </c>
      <c r="E343">
        <v>11</v>
      </c>
      <c r="F343">
        <v>8</v>
      </c>
      <c r="G343">
        <v>27</v>
      </c>
      <c r="H343" t="s">
        <v>17</v>
      </c>
      <c r="I343">
        <v>744.56</v>
      </c>
    </row>
    <row r="344" spans="1:9" x14ac:dyDescent="0.25">
      <c r="A344">
        <v>799</v>
      </c>
      <c r="B344">
        <v>25</v>
      </c>
      <c r="C344" t="s">
        <v>12</v>
      </c>
      <c r="D344">
        <v>107042</v>
      </c>
      <c r="E344">
        <v>27</v>
      </c>
      <c r="F344">
        <v>1</v>
      </c>
      <c r="G344">
        <v>32</v>
      </c>
      <c r="H344" t="s">
        <v>17</v>
      </c>
      <c r="I344">
        <v>648.79</v>
      </c>
    </row>
    <row r="345" spans="1:9" x14ac:dyDescent="0.25">
      <c r="A345">
        <v>807</v>
      </c>
      <c r="B345">
        <v>24</v>
      </c>
      <c r="C345" t="s">
        <v>12</v>
      </c>
      <c r="D345">
        <v>68172</v>
      </c>
      <c r="E345">
        <v>6</v>
      </c>
      <c r="F345">
        <v>1</v>
      </c>
      <c r="G345">
        <v>28</v>
      </c>
      <c r="H345" t="s">
        <v>17</v>
      </c>
      <c r="I345">
        <v>445.3</v>
      </c>
    </row>
    <row r="346" spans="1:9" x14ac:dyDescent="0.25">
      <c r="A346">
        <v>834</v>
      </c>
      <c r="B346">
        <v>38</v>
      </c>
      <c r="C346" t="s">
        <v>12</v>
      </c>
      <c r="D346">
        <v>101111</v>
      </c>
      <c r="E346">
        <v>98</v>
      </c>
      <c r="F346">
        <v>8</v>
      </c>
      <c r="G346">
        <v>35</v>
      </c>
      <c r="H346" t="s">
        <v>17</v>
      </c>
      <c r="I346">
        <v>738.01</v>
      </c>
    </row>
    <row r="347" spans="1:9" x14ac:dyDescent="0.25">
      <c r="A347">
        <v>841</v>
      </c>
      <c r="B347">
        <v>40</v>
      </c>
      <c r="C347" t="s">
        <v>12</v>
      </c>
      <c r="D347">
        <v>125996</v>
      </c>
      <c r="E347">
        <v>64</v>
      </c>
      <c r="F347">
        <v>6</v>
      </c>
      <c r="G347">
        <v>15</v>
      </c>
      <c r="H347" t="s">
        <v>17</v>
      </c>
      <c r="I347">
        <v>583.95000000000005</v>
      </c>
    </row>
    <row r="348" spans="1:9" x14ac:dyDescent="0.25">
      <c r="A348">
        <v>858</v>
      </c>
      <c r="B348">
        <v>67</v>
      </c>
      <c r="C348" t="s">
        <v>12</v>
      </c>
      <c r="D348">
        <v>115470</v>
      </c>
      <c r="E348">
        <v>56</v>
      </c>
      <c r="F348">
        <v>4</v>
      </c>
      <c r="G348">
        <v>6</v>
      </c>
      <c r="H348" t="s">
        <v>17</v>
      </c>
      <c r="I348">
        <v>151.74</v>
      </c>
    </row>
    <row r="349" spans="1:9" x14ac:dyDescent="0.25">
      <c r="A349">
        <v>862</v>
      </c>
      <c r="B349">
        <v>20</v>
      </c>
      <c r="C349" t="s">
        <v>12</v>
      </c>
      <c r="D349">
        <v>79899</v>
      </c>
      <c r="E349">
        <v>64</v>
      </c>
      <c r="F349">
        <v>7</v>
      </c>
      <c r="G349">
        <v>46</v>
      </c>
      <c r="H349" t="s">
        <v>17</v>
      </c>
      <c r="I349">
        <v>129.9</v>
      </c>
    </row>
    <row r="350" spans="1:9" x14ac:dyDescent="0.25">
      <c r="A350">
        <v>882</v>
      </c>
      <c r="B350">
        <v>61</v>
      </c>
      <c r="C350" t="s">
        <v>12</v>
      </c>
      <c r="D350">
        <v>49557</v>
      </c>
      <c r="E350">
        <v>22</v>
      </c>
      <c r="F350">
        <v>6</v>
      </c>
      <c r="G350">
        <v>12</v>
      </c>
      <c r="H350" t="s">
        <v>17</v>
      </c>
      <c r="I350">
        <v>678.13</v>
      </c>
    </row>
    <row r="351" spans="1:9" x14ac:dyDescent="0.25">
      <c r="A351">
        <v>912</v>
      </c>
      <c r="B351">
        <v>54</v>
      </c>
      <c r="C351" t="s">
        <v>12</v>
      </c>
      <c r="D351">
        <v>69676</v>
      </c>
      <c r="E351">
        <v>9</v>
      </c>
      <c r="F351">
        <v>7</v>
      </c>
      <c r="G351">
        <v>30</v>
      </c>
      <c r="H351" t="s">
        <v>17</v>
      </c>
      <c r="I351">
        <v>932.68</v>
      </c>
    </row>
    <row r="352" spans="1:9" x14ac:dyDescent="0.25">
      <c r="A352">
        <v>922</v>
      </c>
      <c r="B352">
        <v>58</v>
      </c>
      <c r="C352" t="s">
        <v>12</v>
      </c>
      <c r="D352">
        <v>105157</v>
      </c>
      <c r="E352">
        <v>51</v>
      </c>
      <c r="F352">
        <v>3</v>
      </c>
      <c r="G352">
        <v>27</v>
      </c>
      <c r="H352" t="s">
        <v>17</v>
      </c>
      <c r="I352">
        <v>344.39</v>
      </c>
    </row>
    <row r="353" spans="1:9" x14ac:dyDescent="0.25">
      <c r="A353">
        <v>928</v>
      </c>
      <c r="B353">
        <v>28</v>
      </c>
      <c r="C353" t="s">
        <v>12</v>
      </c>
      <c r="D353">
        <v>134592</v>
      </c>
      <c r="E353">
        <v>43</v>
      </c>
      <c r="F353">
        <v>10</v>
      </c>
      <c r="G353">
        <v>25</v>
      </c>
      <c r="H353" t="s">
        <v>17</v>
      </c>
      <c r="I353">
        <v>557.04</v>
      </c>
    </row>
    <row r="354" spans="1:9" x14ac:dyDescent="0.25">
      <c r="A354">
        <v>941</v>
      </c>
      <c r="B354">
        <v>54</v>
      </c>
      <c r="C354" t="s">
        <v>12</v>
      </c>
      <c r="D354">
        <v>33706</v>
      </c>
      <c r="E354">
        <v>64</v>
      </c>
      <c r="F354">
        <v>9</v>
      </c>
      <c r="G354">
        <v>1</v>
      </c>
      <c r="H354" t="s">
        <v>17</v>
      </c>
      <c r="I354">
        <v>371.93</v>
      </c>
    </row>
    <row r="355" spans="1:9" x14ac:dyDescent="0.25">
      <c r="A355">
        <v>945</v>
      </c>
      <c r="B355">
        <v>65</v>
      </c>
      <c r="C355" t="s">
        <v>12</v>
      </c>
      <c r="D355">
        <v>42779</v>
      </c>
      <c r="E355">
        <v>81</v>
      </c>
      <c r="F355">
        <v>5</v>
      </c>
      <c r="G355">
        <v>38</v>
      </c>
      <c r="H355" t="s">
        <v>17</v>
      </c>
      <c r="I355">
        <v>594.91999999999996</v>
      </c>
    </row>
    <row r="356" spans="1:9" x14ac:dyDescent="0.25">
      <c r="A356">
        <v>972</v>
      </c>
      <c r="B356">
        <v>41</v>
      </c>
      <c r="C356" t="s">
        <v>12</v>
      </c>
      <c r="D356">
        <v>120294</v>
      </c>
      <c r="E356">
        <v>79</v>
      </c>
      <c r="F356">
        <v>5</v>
      </c>
      <c r="G356">
        <v>44</v>
      </c>
      <c r="H356" t="s">
        <v>17</v>
      </c>
      <c r="I356">
        <v>942.03</v>
      </c>
    </row>
    <row r="357" spans="1:9" x14ac:dyDescent="0.25">
      <c r="A357">
        <v>995</v>
      </c>
      <c r="B357">
        <v>60</v>
      </c>
      <c r="C357" t="s">
        <v>12</v>
      </c>
      <c r="D357">
        <v>71923</v>
      </c>
      <c r="E357">
        <v>25</v>
      </c>
      <c r="F357">
        <v>2</v>
      </c>
      <c r="G357">
        <v>40</v>
      </c>
      <c r="H357" t="s">
        <v>17</v>
      </c>
      <c r="I357">
        <v>986.97</v>
      </c>
    </row>
    <row r="358" spans="1:9" x14ac:dyDescent="0.25">
      <c r="A358">
        <v>996</v>
      </c>
      <c r="B358">
        <v>57</v>
      </c>
      <c r="C358" t="s">
        <v>12</v>
      </c>
      <c r="D358">
        <v>112170</v>
      </c>
      <c r="E358">
        <v>57</v>
      </c>
      <c r="F358">
        <v>6</v>
      </c>
      <c r="G358">
        <v>1</v>
      </c>
      <c r="H358" t="s">
        <v>17</v>
      </c>
      <c r="I358">
        <v>313.64</v>
      </c>
    </row>
    <row r="359" spans="1:9" x14ac:dyDescent="0.25">
      <c r="A359">
        <v>4</v>
      </c>
      <c r="B359">
        <v>40</v>
      </c>
      <c r="C359" t="s">
        <v>45</v>
      </c>
      <c r="D359">
        <v>47099</v>
      </c>
      <c r="E359">
        <v>74</v>
      </c>
      <c r="F359">
        <v>9</v>
      </c>
      <c r="G359">
        <v>5</v>
      </c>
      <c r="H359" t="s">
        <v>13</v>
      </c>
      <c r="I359">
        <v>991.93</v>
      </c>
    </row>
    <row r="360" spans="1:9" x14ac:dyDescent="0.25">
      <c r="A360">
        <v>6</v>
      </c>
      <c r="B360">
        <v>31</v>
      </c>
      <c r="C360" t="s">
        <v>45</v>
      </c>
      <c r="D360">
        <v>57305</v>
      </c>
      <c r="E360">
        <v>24</v>
      </c>
      <c r="F360">
        <v>3</v>
      </c>
      <c r="G360">
        <v>30</v>
      </c>
      <c r="H360" t="s">
        <v>13</v>
      </c>
      <c r="I360">
        <v>86.85</v>
      </c>
    </row>
    <row r="361" spans="1:9" x14ac:dyDescent="0.25">
      <c r="A361">
        <v>7</v>
      </c>
      <c r="B361">
        <v>19</v>
      </c>
      <c r="C361" t="s">
        <v>45</v>
      </c>
      <c r="D361">
        <v>54319</v>
      </c>
      <c r="E361">
        <v>68</v>
      </c>
      <c r="F361">
        <v>5</v>
      </c>
      <c r="G361">
        <v>43</v>
      </c>
      <c r="H361" t="s">
        <v>17</v>
      </c>
      <c r="I361">
        <v>191.72</v>
      </c>
    </row>
    <row r="362" spans="1:9" x14ac:dyDescent="0.25">
      <c r="A362">
        <v>11</v>
      </c>
      <c r="B362">
        <v>23</v>
      </c>
      <c r="C362" t="s">
        <v>45</v>
      </c>
      <c r="D362">
        <v>69659</v>
      </c>
      <c r="E362">
        <v>16</v>
      </c>
      <c r="F362">
        <v>7</v>
      </c>
      <c r="G362">
        <v>24</v>
      </c>
      <c r="H362" t="s">
        <v>17</v>
      </c>
      <c r="I362">
        <v>434.97</v>
      </c>
    </row>
    <row r="363" spans="1:9" x14ac:dyDescent="0.25">
      <c r="A363">
        <v>12</v>
      </c>
      <c r="B363">
        <v>68</v>
      </c>
      <c r="C363" t="s">
        <v>45</v>
      </c>
      <c r="D363">
        <v>30058</v>
      </c>
      <c r="E363">
        <v>91</v>
      </c>
      <c r="F363">
        <v>1</v>
      </c>
      <c r="G363">
        <v>49</v>
      </c>
      <c r="H363" t="s">
        <v>16</v>
      </c>
      <c r="I363">
        <v>889.94</v>
      </c>
    </row>
    <row r="364" spans="1:9" x14ac:dyDescent="0.25">
      <c r="A364">
        <v>24</v>
      </c>
      <c r="B364">
        <v>41</v>
      </c>
      <c r="C364" t="s">
        <v>45</v>
      </c>
      <c r="D364">
        <v>81758</v>
      </c>
      <c r="E364">
        <v>87</v>
      </c>
      <c r="F364">
        <v>7</v>
      </c>
      <c r="G364">
        <v>9</v>
      </c>
      <c r="H364" t="s">
        <v>17</v>
      </c>
      <c r="I364">
        <v>482.2</v>
      </c>
    </row>
    <row r="365" spans="1:9" x14ac:dyDescent="0.25">
      <c r="A365">
        <v>26</v>
      </c>
      <c r="B365">
        <v>33</v>
      </c>
      <c r="C365" t="s">
        <v>45</v>
      </c>
      <c r="D365">
        <v>141757</v>
      </c>
      <c r="E365">
        <v>60</v>
      </c>
      <c r="F365">
        <v>10</v>
      </c>
      <c r="G365">
        <v>39</v>
      </c>
      <c r="H365" t="s">
        <v>16</v>
      </c>
      <c r="I365">
        <v>83.27</v>
      </c>
    </row>
    <row r="366" spans="1:9" x14ac:dyDescent="0.25">
      <c r="A366">
        <v>31</v>
      </c>
      <c r="B366">
        <v>36</v>
      </c>
      <c r="C366" t="s">
        <v>45</v>
      </c>
      <c r="D366">
        <v>76756</v>
      </c>
      <c r="E366">
        <v>16</v>
      </c>
      <c r="F366">
        <v>8</v>
      </c>
      <c r="G366">
        <v>27</v>
      </c>
      <c r="H366" t="s">
        <v>17</v>
      </c>
      <c r="I366">
        <v>970.06</v>
      </c>
    </row>
    <row r="367" spans="1:9" x14ac:dyDescent="0.25">
      <c r="A367">
        <v>34</v>
      </c>
      <c r="B367">
        <v>44</v>
      </c>
      <c r="C367" t="s">
        <v>45</v>
      </c>
      <c r="D367">
        <v>86593</v>
      </c>
      <c r="E367">
        <v>89</v>
      </c>
      <c r="F367">
        <v>4</v>
      </c>
      <c r="G367">
        <v>37</v>
      </c>
      <c r="H367" t="s">
        <v>16</v>
      </c>
      <c r="I367">
        <v>76.95</v>
      </c>
    </row>
    <row r="368" spans="1:9" x14ac:dyDescent="0.25">
      <c r="A368">
        <v>44</v>
      </c>
      <c r="B368">
        <v>28</v>
      </c>
      <c r="C368" t="s">
        <v>45</v>
      </c>
      <c r="D368">
        <v>62405</v>
      </c>
      <c r="E368">
        <v>79</v>
      </c>
      <c r="F368">
        <v>5</v>
      </c>
      <c r="G368">
        <v>50</v>
      </c>
      <c r="H368" t="s">
        <v>13</v>
      </c>
      <c r="I368">
        <v>956.73</v>
      </c>
    </row>
    <row r="369" spans="1:9" x14ac:dyDescent="0.25">
      <c r="A369">
        <v>46</v>
      </c>
      <c r="B369">
        <v>49</v>
      </c>
      <c r="C369" t="s">
        <v>45</v>
      </c>
      <c r="D369">
        <v>94531</v>
      </c>
      <c r="E369">
        <v>28</v>
      </c>
      <c r="F369">
        <v>5</v>
      </c>
      <c r="G369">
        <v>42</v>
      </c>
      <c r="H369" t="s">
        <v>17</v>
      </c>
      <c r="I369">
        <v>214.93</v>
      </c>
    </row>
    <row r="370" spans="1:9" x14ac:dyDescent="0.25">
      <c r="A370">
        <v>53</v>
      </c>
      <c r="B370">
        <v>45</v>
      </c>
      <c r="C370" t="s">
        <v>45</v>
      </c>
      <c r="D370">
        <v>134241</v>
      </c>
      <c r="E370">
        <v>73</v>
      </c>
      <c r="F370">
        <v>9</v>
      </c>
      <c r="G370">
        <v>16</v>
      </c>
      <c r="H370" t="s">
        <v>16</v>
      </c>
      <c r="I370">
        <v>893.44</v>
      </c>
    </row>
    <row r="371" spans="1:9" x14ac:dyDescent="0.25">
      <c r="A371">
        <v>62</v>
      </c>
      <c r="B371">
        <v>30</v>
      </c>
      <c r="C371" t="s">
        <v>45</v>
      </c>
      <c r="D371">
        <v>89149</v>
      </c>
      <c r="E371">
        <v>87</v>
      </c>
      <c r="F371">
        <v>10</v>
      </c>
      <c r="G371">
        <v>36</v>
      </c>
      <c r="H371" t="s">
        <v>17</v>
      </c>
      <c r="I371">
        <v>174.41</v>
      </c>
    </row>
    <row r="372" spans="1:9" x14ac:dyDescent="0.25">
      <c r="A372">
        <v>72</v>
      </c>
      <c r="B372">
        <v>58</v>
      </c>
      <c r="C372" t="s">
        <v>45</v>
      </c>
      <c r="D372">
        <v>56120</v>
      </c>
      <c r="E372">
        <v>30</v>
      </c>
      <c r="F372">
        <v>3</v>
      </c>
      <c r="G372">
        <v>50</v>
      </c>
      <c r="H372" t="s">
        <v>16</v>
      </c>
      <c r="I372">
        <v>880.23</v>
      </c>
    </row>
    <row r="373" spans="1:9" x14ac:dyDescent="0.25">
      <c r="A373">
        <v>75</v>
      </c>
      <c r="B373">
        <v>58</v>
      </c>
      <c r="C373" t="s">
        <v>45</v>
      </c>
      <c r="D373">
        <v>143037</v>
      </c>
      <c r="E373">
        <v>56</v>
      </c>
      <c r="F373">
        <v>8</v>
      </c>
      <c r="G373">
        <v>42</v>
      </c>
      <c r="H373" t="s">
        <v>16</v>
      </c>
      <c r="I373">
        <v>57.57</v>
      </c>
    </row>
    <row r="374" spans="1:9" x14ac:dyDescent="0.25">
      <c r="A374">
        <v>78</v>
      </c>
      <c r="B374">
        <v>32</v>
      </c>
      <c r="C374" t="s">
        <v>45</v>
      </c>
      <c r="D374">
        <v>44048</v>
      </c>
      <c r="E374">
        <v>20</v>
      </c>
      <c r="F374">
        <v>7</v>
      </c>
      <c r="G374">
        <v>10</v>
      </c>
      <c r="H374" t="s">
        <v>17</v>
      </c>
      <c r="I374">
        <v>41.55</v>
      </c>
    </row>
    <row r="375" spans="1:9" x14ac:dyDescent="0.25">
      <c r="A375">
        <v>79</v>
      </c>
      <c r="B375">
        <v>30</v>
      </c>
      <c r="C375" t="s">
        <v>45</v>
      </c>
      <c r="D375">
        <v>95501</v>
      </c>
      <c r="E375">
        <v>27</v>
      </c>
      <c r="F375">
        <v>3</v>
      </c>
      <c r="G375">
        <v>14</v>
      </c>
      <c r="H375" t="s">
        <v>16</v>
      </c>
      <c r="I375">
        <v>476.25</v>
      </c>
    </row>
    <row r="376" spans="1:9" x14ac:dyDescent="0.25">
      <c r="A376">
        <v>86</v>
      </c>
      <c r="B376">
        <v>31</v>
      </c>
      <c r="C376" t="s">
        <v>45</v>
      </c>
      <c r="D376">
        <v>61849</v>
      </c>
      <c r="E376">
        <v>24</v>
      </c>
      <c r="F376">
        <v>6</v>
      </c>
      <c r="G376">
        <v>31</v>
      </c>
      <c r="H376" t="s">
        <v>13</v>
      </c>
      <c r="I376">
        <v>120.8</v>
      </c>
    </row>
    <row r="377" spans="1:9" x14ac:dyDescent="0.25">
      <c r="A377">
        <v>89</v>
      </c>
      <c r="B377">
        <v>18</v>
      </c>
      <c r="C377" t="s">
        <v>45</v>
      </c>
      <c r="D377">
        <v>105470</v>
      </c>
      <c r="E377">
        <v>8</v>
      </c>
      <c r="F377">
        <v>7</v>
      </c>
      <c r="G377">
        <v>4</v>
      </c>
      <c r="H377" t="s">
        <v>17</v>
      </c>
      <c r="I377">
        <v>746.18</v>
      </c>
    </row>
    <row r="378" spans="1:9" x14ac:dyDescent="0.25">
      <c r="A378">
        <v>90</v>
      </c>
      <c r="B378">
        <v>45</v>
      </c>
      <c r="C378" t="s">
        <v>45</v>
      </c>
      <c r="D378">
        <v>63381</v>
      </c>
      <c r="E378">
        <v>80</v>
      </c>
      <c r="F378">
        <v>4</v>
      </c>
      <c r="G378">
        <v>8</v>
      </c>
      <c r="H378" t="s">
        <v>13</v>
      </c>
      <c r="I378">
        <v>754.24</v>
      </c>
    </row>
    <row r="379" spans="1:9" x14ac:dyDescent="0.25">
      <c r="A379">
        <v>91</v>
      </c>
      <c r="B379">
        <v>32</v>
      </c>
      <c r="C379" t="s">
        <v>45</v>
      </c>
      <c r="D379">
        <v>92089</v>
      </c>
      <c r="E379">
        <v>16</v>
      </c>
      <c r="F379">
        <v>1</v>
      </c>
      <c r="G379">
        <v>47</v>
      </c>
      <c r="H379" t="s">
        <v>13</v>
      </c>
      <c r="I379">
        <v>209.86</v>
      </c>
    </row>
    <row r="380" spans="1:9" x14ac:dyDescent="0.25">
      <c r="A380">
        <v>92</v>
      </c>
      <c r="B380">
        <v>39</v>
      </c>
      <c r="C380" t="s">
        <v>45</v>
      </c>
      <c r="D380">
        <v>104031</v>
      </c>
      <c r="E380">
        <v>67</v>
      </c>
      <c r="F380">
        <v>6</v>
      </c>
      <c r="G380">
        <v>28</v>
      </c>
      <c r="H380" t="s">
        <v>13</v>
      </c>
      <c r="I380">
        <v>930.36</v>
      </c>
    </row>
    <row r="381" spans="1:9" x14ac:dyDescent="0.25">
      <c r="A381">
        <v>94</v>
      </c>
      <c r="B381">
        <v>46</v>
      </c>
      <c r="C381" t="s">
        <v>45</v>
      </c>
      <c r="D381">
        <v>113116</v>
      </c>
      <c r="E381">
        <v>7</v>
      </c>
      <c r="F381">
        <v>10</v>
      </c>
      <c r="G381">
        <v>13</v>
      </c>
      <c r="H381" t="s">
        <v>17</v>
      </c>
      <c r="I381">
        <v>190.55</v>
      </c>
    </row>
    <row r="382" spans="1:9" x14ac:dyDescent="0.25">
      <c r="A382">
        <v>105</v>
      </c>
      <c r="B382">
        <v>20</v>
      </c>
      <c r="C382" t="s">
        <v>45</v>
      </c>
      <c r="D382">
        <v>34982</v>
      </c>
      <c r="E382">
        <v>7</v>
      </c>
      <c r="F382">
        <v>2</v>
      </c>
      <c r="G382">
        <v>45</v>
      </c>
      <c r="H382" t="s">
        <v>17</v>
      </c>
      <c r="I382">
        <v>597.15</v>
      </c>
    </row>
    <row r="383" spans="1:9" x14ac:dyDescent="0.25">
      <c r="A383">
        <v>125</v>
      </c>
      <c r="B383">
        <v>66</v>
      </c>
      <c r="C383" t="s">
        <v>45</v>
      </c>
      <c r="D383">
        <v>69362</v>
      </c>
      <c r="E383">
        <v>58</v>
      </c>
      <c r="F383">
        <v>1</v>
      </c>
      <c r="G383">
        <v>23</v>
      </c>
      <c r="H383" t="s">
        <v>17</v>
      </c>
      <c r="I383">
        <v>960.08</v>
      </c>
    </row>
    <row r="384" spans="1:9" x14ac:dyDescent="0.25">
      <c r="A384">
        <v>133</v>
      </c>
      <c r="B384">
        <v>25</v>
      </c>
      <c r="C384" t="s">
        <v>45</v>
      </c>
      <c r="D384">
        <v>94016</v>
      </c>
      <c r="E384">
        <v>85</v>
      </c>
      <c r="F384">
        <v>8</v>
      </c>
      <c r="G384">
        <v>49</v>
      </c>
      <c r="H384" t="s">
        <v>16</v>
      </c>
      <c r="I384">
        <v>764.28</v>
      </c>
    </row>
    <row r="385" spans="1:9" x14ac:dyDescent="0.25">
      <c r="A385">
        <v>143</v>
      </c>
      <c r="B385">
        <v>55</v>
      </c>
      <c r="C385" t="s">
        <v>45</v>
      </c>
      <c r="D385">
        <v>101084</v>
      </c>
      <c r="E385">
        <v>73</v>
      </c>
      <c r="F385">
        <v>9</v>
      </c>
      <c r="G385">
        <v>24</v>
      </c>
      <c r="H385" t="s">
        <v>16</v>
      </c>
      <c r="I385">
        <v>624.80999999999995</v>
      </c>
    </row>
    <row r="386" spans="1:9" x14ac:dyDescent="0.25">
      <c r="A386">
        <v>149</v>
      </c>
      <c r="B386">
        <v>34</v>
      </c>
      <c r="C386" t="s">
        <v>45</v>
      </c>
      <c r="D386">
        <v>79949</v>
      </c>
      <c r="E386">
        <v>89</v>
      </c>
      <c r="F386">
        <v>3</v>
      </c>
      <c r="G386">
        <v>19</v>
      </c>
      <c r="H386" t="s">
        <v>16</v>
      </c>
      <c r="I386">
        <v>273.33999999999997</v>
      </c>
    </row>
    <row r="387" spans="1:9" x14ac:dyDescent="0.25">
      <c r="A387">
        <v>158</v>
      </c>
      <c r="B387">
        <v>61</v>
      </c>
      <c r="C387" t="s">
        <v>45</v>
      </c>
      <c r="D387">
        <v>46738</v>
      </c>
      <c r="E387">
        <v>36</v>
      </c>
      <c r="F387">
        <v>3</v>
      </c>
      <c r="G387">
        <v>26</v>
      </c>
      <c r="H387" t="s">
        <v>16</v>
      </c>
      <c r="I387">
        <v>393.6</v>
      </c>
    </row>
    <row r="388" spans="1:9" x14ac:dyDescent="0.25">
      <c r="A388">
        <v>159</v>
      </c>
      <c r="B388">
        <v>58</v>
      </c>
      <c r="C388" t="s">
        <v>45</v>
      </c>
      <c r="D388">
        <v>107818</v>
      </c>
      <c r="E388">
        <v>70</v>
      </c>
      <c r="F388">
        <v>5</v>
      </c>
      <c r="G388">
        <v>24</v>
      </c>
      <c r="H388" t="s">
        <v>13</v>
      </c>
      <c r="I388">
        <v>722.18</v>
      </c>
    </row>
    <row r="389" spans="1:9" x14ac:dyDescent="0.25">
      <c r="A389">
        <v>160</v>
      </c>
      <c r="B389">
        <v>36</v>
      </c>
      <c r="C389" t="s">
        <v>45</v>
      </c>
      <c r="D389">
        <v>83511</v>
      </c>
      <c r="E389">
        <v>28</v>
      </c>
      <c r="F389">
        <v>5</v>
      </c>
      <c r="G389">
        <v>49</v>
      </c>
      <c r="H389" t="s">
        <v>13</v>
      </c>
      <c r="I389">
        <v>367.97</v>
      </c>
    </row>
    <row r="390" spans="1:9" x14ac:dyDescent="0.25">
      <c r="A390">
        <v>165</v>
      </c>
      <c r="B390">
        <v>64</v>
      </c>
      <c r="C390" t="s">
        <v>45</v>
      </c>
      <c r="D390">
        <v>96494</v>
      </c>
      <c r="E390">
        <v>10</v>
      </c>
      <c r="F390">
        <v>4</v>
      </c>
      <c r="G390">
        <v>47</v>
      </c>
      <c r="H390" t="s">
        <v>13</v>
      </c>
      <c r="I390">
        <v>184.45</v>
      </c>
    </row>
    <row r="391" spans="1:9" x14ac:dyDescent="0.25">
      <c r="A391">
        <v>167</v>
      </c>
      <c r="B391">
        <v>18</v>
      </c>
      <c r="C391" t="s">
        <v>45</v>
      </c>
      <c r="D391">
        <v>46707</v>
      </c>
      <c r="E391">
        <v>61</v>
      </c>
      <c r="F391">
        <v>10</v>
      </c>
      <c r="G391">
        <v>16</v>
      </c>
      <c r="H391" t="s">
        <v>17</v>
      </c>
      <c r="I391">
        <v>18.600000000000001</v>
      </c>
    </row>
    <row r="392" spans="1:9" x14ac:dyDescent="0.25">
      <c r="A392">
        <v>168</v>
      </c>
      <c r="B392">
        <v>36</v>
      </c>
      <c r="C392" t="s">
        <v>45</v>
      </c>
      <c r="D392">
        <v>87275</v>
      </c>
      <c r="E392">
        <v>82</v>
      </c>
      <c r="F392">
        <v>9</v>
      </c>
      <c r="G392">
        <v>2</v>
      </c>
      <c r="H392" t="s">
        <v>17</v>
      </c>
      <c r="I392">
        <v>14.52</v>
      </c>
    </row>
    <row r="393" spans="1:9" x14ac:dyDescent="0.25">
      <c r="A393">
        <v>174</v>
      </c>
      <c r="B393">
        <v>47</v>
      </c>
      <c r="C393" t="s">
        <v>45</v>
      </c>
      <c r="D393">
        <v>66932</v>
      </c>
      <c r="E393">
        <v>89</v>
      </c>
      <c r="F393">
        <v>5</v>
      </c>
      <c r="G393">
        <v>9</v>
      </c>
      <c r="H393" t="s">
        <v>13</v>
      </c>
      <c r="I393">
        <v>861.66</v>
      </c>
    </row>
    <row r="394" spans="1:9" x14ac:dyDescent="0.25">
      <c r="A394">
        <v>186</v>
      </c>
      <c r="B394">
        <v>40</v>
      </c>
      <c r="C394" t="s">
        <v>45</v>
      </c>
      <c r="D394">
        <v>124138</v>
      </c>
      <c r="E394">
        <v>84</v>
      </c>
      <c r="F394">
        <v>10</v>
      </c>
      <c r="G394">
        <v>41</v>
      </c>
      <c r="H394" t="s">
        <v>16</v>
      </c>
      <c r="I394">
        <v>426.62</v>
      </c>
    </row>
    <row r="395" spans="1:9" x14ac:dyDescent="0.25">
      <c r="A395">
        <v>203</v>
      </c>
      <c r="B395">
        <v>66</v>
      </c>
      <c r="C395" t="s">
        <v>45</v>
      </c>
      <c r="D395">
        <v>106631</v>
      </c>
      <c r="E395">
        <v>41</v>
      </c>
      <c r="F395">
        <v>6</v>
      </c>
      <c r="G395">
        <v>9</v>
      </c>
      <c r="H395" t="s">
        <v>13</v>
      </c>
      <c r="I395">
        <v>354.46</v>
      </c>
    </row>
    <row r="396" spans="1:9" x14ac:dyDescent="0.25">
      <c r="A396">
        <v>212</v>
      </c>
      <c r="B396">
        <v>18</v>
      </c>
      <c r="C396" t="s">
        <v>45</v>
      </c>
      <c r="D396">
        <v>54421</v>
      </c>
      <c r="E396">
        <v>20</v>
      </c>
      <c r="F396">
        <v>1</v>
      </c>
      <c r="G396">
        <v>41</v>
      </c>
      <c r="H396" t="s">
        <v>13</v>
      </c>
      <c r="I396">
        <v>215.95</v>
      </c>
    </row>
    <row r="397" spans="1:9" x14ac:dyDescent="0.25">
      <c r="A397">
        <v>222</v>
      </c>
      <c r="B397">
        <v>67</v>
      </c>
      <c r="C397" t="s">
        <v>45</v>
      </c>
      <c r="D397">
        <v>64134</v>
      </c>
      <c r="E397">
        <v>3</v>
      </c>
      <c r="F397">
        <v>2</v>
      </c>
      <c r="G397">
        <v>26</v>
      </c>
      <c r="H397" t="s">
        <v>17</v>
      </c>
      <c r="I397">
        <v>868.18</v>
      </c>
    </row>
    <row r="398" spans="1:9" x14ac:dyDescent="0.25">
      <c r="A398">
        <v>229</v>
      </c>
      <c r="B398">
        <v>19</v>
      </c>
      <c r="C398" t="s">
        <v>45</v>
      </c>
      <c r="D398">
        <v>52470</v>
      </c>
      <c r="E398">
        <v>90</v>
      </c>
      <c r="F398">
        <v>5</v>
      </c>
      <c r="G398">
        <v>35</v>
      </c>
      <c r="H398" t="s">
        <v>16</v>
      </c>
      <c r="I398">
        <v>515.99</v>
      </c>
    </row>
    <row r="399" spans="1:9" x14ac:dyDescent="0.25">
      <c r="A399">
        <v>238</v>
      </c>
      <c r="B399">
        <v>64</v>
      </c>
      <c r="C399" t="s">
        <v>45</v>
      </c>
      <c r="D399">
        <v>148368</v>
      </c>
      <c r="E399">
        <v>19</v>
      </c>
      <c r="F399">
        <v>4</v>
      </c>
      <c r="G399">
        <v>23</v>
      </c>
      <c r="H399" t="s">
        <v>16</v>
      </c>
      <c r="I399">
        <v>949.32</v>
      </c>
    </row>
    <row r="400" spans="1:9" x14ac:dyDescent="0.25">
      <c r="A400">
        <v>245</v>
      </c>
      <c r="B400">
        <v>28</v>
      </c>
      <c r="C400" t="s">
        <v>45</v>
      </c>
      <c r="D400">
        <v>134414</v>
      </c>
      <c r="E400">
        <v>19</v>
      </c>
      <c r="F400">
        <v>5</v>
      </c>
      <c r="G400">
        <v>15</v>
      </c>
      <c r="H400" t="s">
        <v>13</v>
      </c>
      <c r="I400">
        <v>922.01</v>
      </c>
    </row>
    <row r="401" spans="1:9" x14ac:dyDescent="0.25">
      <c r="A401">
        <v>252</v>
      </c>
      <c r="B401">
        <v>25</v>
      </c>
      <c r="C401" t="s">
        <v>45</v>
      </c>
      <c r="D401">
        <v>105185</v>
      </c>
      <c r="E401">
        <v>70</v>
      </c>
      <c r="F401">
        <v>2</v>
      </c>
      <c r="G401">
        <v>37</v>
      </c>
      <c r="H401" t="s">
        <v>16</v>
      </c>
      <c r="I401">
        <v>556.23</v>
      </c>
    </row>
    <row r="402" spans="1:9" x14ac:dyDescent="0.25">
      <c r="A402">
        <v>253</v>
      </c>
      <c r="B402">
        <v>49</v>
      </c>
      <c r="C402" t="s">
        <v>45</v>
      </c>
      <c r="D402">
        <v>129014</v>
      </c>
      <c r="E402">
        <v>25</v>
      </c>
      <c r="F402">
        <v>7</v>
      </c>
      <c r="G402">
        <v>21</v>
      </c>
      <c r="H402" t="s">
        <v>16</v>
      </c>
      <c r="I402">
        <v>271.52</v>
      </c>
    </row>
    <row r="403" spans="1:9" x14ac:dyDescent="0.25">
      <c r="A403">
        <v>254</v>
      </c>
      <c r="B403">
        <v>66</v>
      </c>
      <c r="C403" t="s">
        <v>45</v>
      </c>
      <c r="D403">
        <v>112847</v>
      </c>
      <c r="E403">
        <v>98</v>
      </c>
      <c r="F403">
        <v>9</v>
      </c>
      <c r="G403">
        <v>44</v>
      </c>
      <c r="H403" t="s">
        <v>13</v>
      </c>
      <c r="I403">
        <v>827.44</v>
      </c>
    </row>
    <row r="404" spans="1:9" x14ac:dyDescent="0.25">
      <c r="A404">
        <v>255</v>
      </c>
      <c r="B404">
        <v>27</v>
      </c>
      <c r="C404" t="s">
        <v>45</v>
      </c>
      <c r="D404">
        <v>139589</v>
      </c>
      <c r="E404">
        <v>69</v>
      </c>
      <c r="F404">
        <v>8</v>
      </c>
      <c r="G404">
        <v>22</v>
      </c>
      <c r="H404" t="s">
        <v>17</v>
      </c>
      <c r="I404">
        <v>150.58000000000001</v>
      </c>
    </row>
    <row r="405" spans="1:9" x14ac:dyDescent="0.25">
      <c r="A405">
        <v>256</v>
      </c>
      <c r="B405">
        <v>46</v>
      </c>
      <c r="C405" t="s">
        <v>45</v>
      </c>
      <c r="D405">
        <v>38785</v>
      </c>
      <c r="E405">
        <v>55</v>
      </c>
      <c r="F405">
        <v>9</v>
      </c>
      <c r="G405">
        <v>22</v>
      </c>
      <c r="H405" t="s">
        <v>17</v>
      </c>
      <c r="I405">
        <v>486.25</v>
      </c>
    </row>
    <row r="406" spans="1:9" x14ac:dyDescent="0.25">
      <c r="A406">
        <v>266</v>
      </c>
      <c r="B406">
        <v>53</v>
      </c>
      <c r="C406" t="s">
        <v>45</v>
      </c>
      <c r="D406">
        <v>84616</v>
      </c>
      <c r="E406">
        <v>68</v>
      </c>
      <c r="F406">
        <v>10</v>
      </c>
      <c r="G406">
        <v>8</v>
      </c>
      <c r="H406" t="s">
        <v>13</v>
      </c>
      <c r="I406">
        <v>543.30999999999995</v>
      </c>
    </row>
    <row r="407" spans="1:9" x14ac:dyDescent="0.25">
      <c r="A407">
        <v>268</v>
      </c>
      <c r="B407">
        <v>23</v>
      </c>
      <c r="C407" t="s">
        <v>45</v>
      </c>
      <c r="D407">
        <v>101024</v>
      </c>
      <c r="E407">
        <v>29</v>
      </c>
      <c r="F407">
        <v>3</v>
      </c>
      <c r="G407">
        <v>41</v>
      </c>
      <c r="H407" t="s">
        <v>16</v>
      </c>
      <c r="I407">
        <v>484.85</v>
      </c>
    </row>
    <row r="408" spans="1:9" x14ac:dyDescent="0.25">
      <c r="A408">
        <v>273</v>
      </c>
      <c r="B408">
        <v>47</v>
      </c>
      <c r="C408" t="s">
        <v>45</v>
      </c>
      <c r="D408">
        <v>84117</v>
      </c>
      <c r="E408">
        <v>74</v>
      </c>
      <c r="F408">
        <v>9</v>
      </c>
      <c r="G408">
        <v>17</v>
      </c>
      <c r="H408" t="s">
        <v>13</v>
      </c>
      <c r="I408">
        <v>886.08</v>
      </c>
    </row>
    <row r="409" spans="1:9" x14ac:dyDescent="0.25">
      <c r="A409">
        <v>274</v>
      </c>
      <c r="B409">
        <v>60</v>
      </c>
      <c r="C409" t="s">
        <v>45</v>
      </c>
      <c r="D409">
        <v>107232</v>
      </c>
      <c r="E409">
        <v>68</v>
      </c>
      <c r="F409">
        <v>4</v>
      </c>
      <c r="G409">
        <v>48</v>
      </c>
      <c r="H409" t="s">
        <v>17</v>
      </c>
      <c r="I409">
        <v>730.8</v>
      </c>
    </row>
    <row r="410" spans="1:9" x14ac:dyDescent="0.25">
      <c r="A410">
        <v>275</v>
      </c>
      <c r="B410">
        <v>22</v>
      </c>
      <c r="C410" t="s">
        <v>45</v>
      </c>
      <c r="D410">
        <v>128623</v>
      </c>
      <c r="E410">
        <v>88</v>
      </c>
      <c r="F410">
        <v>5</v>
      </c>
      <c r="G410">
        <v>20</v>
      </c>
      <c r="H410" t="s">
        <v>17</v>
      </c>
      <c r="I410">
        <v>609.57000000000005</v>
      </c>
    </row>
    <row r="411" spans="1:9" x14ac:dyDescent="0.25">
      <c r="A411">
        <v>277</v>
      </c>
      <c r="B411">
        <v>53</v>
      </c>
      <c r="C411" t="s">
        <v>45</v>
      </c>
      <c r="D411">
        <v>94392</v>
      </c>
      <c r="E411">
        <v>38</v>
      </c>
      <c r="F411">
        <v>5</v>
      </c>
      <c r="G411">
        <v>11</v>
      </c>
      <c r="H411" t="s">
        <v>17</v>
      </c>
      <c r="I411">
        <v>997.24</v>
      </c>
    </row>
    <row r="412" spans="1:9" x14ac:dyDescent="0.25">
      <c r="A412">
        <v>281</v>
      </c>
      <c r="B412">
        <v>61</v>
      </c>
      <c r="C412" t="s">
        <v>45</v>
      </c>
      <c r="D412">
        <v>47689</v>
      </c>
      <c r="E412">
        <v>46</v>
      </c>
      <c r="F412">
        <v>4</v>
      </c>
      <c r="G412">
        <v>42</v>
      </c>
      <c r="H412" t="s">
        <v>13</v>
      </c>
      <c r="I412">
        <v>802.44</v>
      </c>
    </row>
    <row r="413" spans="1:9" x14ac:dyDescent="0.25">
      <c r="A413">
        <v>292</v>
      </c>
      <c r="B413">
        <v>62</v>
      </c>
      <c r="C413" t="s">
        <v>45</v>
      </c>
      <c r="D413">
        <v>38250</v>
      </c>
      <c r="E413">
        <v>63</v>
      </c>
      <c r="F413">
        <v>5</v>
      </c>
      <c r="G413">
        <v>22</v>
      </c>
      <c r="H413" t="s">
        <v>13</v>
      </c>
      <c r="I413">
        <v>723.93</v>
      </c>
    </row>
    <row r="414" spans="1:9" x14ac:dyDescent="0.25">
      <c r="A414">
        <v>294</v>
      </c>
      <c r="B414">
        <v>47</v>
      </c>
      <c r="C414" t="s">
        <v>45</v>
      </c>
      <c r="D414">
        <v>89077</v>
      </c>
      <c r="E414">
        <v>43</v>
      </c>
      <c r="F414">
        <v>1</v>
      </c>
      <c r="G414">
        <v>35</v>
      </c>
      <c r="H414" t="s">
        <v>17</v>
      </c>
      <c r="I414">
        <v>547.85</v>
      </c>
    </row>
    <row r="415" spans="1:9" x14ac:dyDescent="0.25">
      <c r="A415">
        <v>300</v>
      </c>
      <c r="B415">
        <v>55</v>
      </c>
      <c r="C415" t="s">
        <v>45</v>
      </c>
      <c r="D415">
        <v>144624</v>
      </c>
      <c r="E415">
        <v>38</v>
      </c>
      <c r="F415">
        <v>2</v>
      </c>
      <c r="G415">
        <v>23</v>
      </c>
      <c r="H415" t="s">
        <v>16</v>
      </c>
      <c r="I415">
        <v>652.26</v>
      </c>
    </row>
    <row r="416" spans="1:9" x14ac:dyDescent="0.25">
      <c r="A416">
        <v>302</v>
      </c>
      <c r="B416">
        <v>50</v>
      </c>
      <c r="C416" t="s">
        <v>45</v>
      </c>
      <c r="D416">
        <v>130668</v>
      </c>
      <c r="E416">
        <v>39</v>
      </c>
      <c r="F416">
        <v>5</v>
      </c>
      <c r="G416">
        <v>25</v>
      </c>
      <c r="H416" t="s">
        <v>13</v>
      </c>
      <c r="I416">
        <v>69.81</v>
      </c>
    </row>
    <row r="417" spans="1:9" x14ac:dyDescent="0.25">
      <c r="A417">
        <v>307</v>
      </c>
      <c r="B417">
        <v>26</v>
      </c>
      <c r="C417" t="s">
        <v>45</v>
      </c>
      <c r="D417">
        <v>135530</v>
      </c>
      <c r="E417">
        <v>81</v>
      </c>
      <c r="F417">
        <v>2</v>
      </c>
      <c r="G417">
        <v>12</v>
      </c>
      <c r="H417" t="s">
        <v>13</v>
      </c>
      <c r="I417">
        <v>126.35</v>
      </c>
    </row>
    <row r="418" spans="1:9" x14ac:dyDescent="0.25">
      <c r="A418">
        <v>319</v>
      </c>
      <c r="B418">
        <v>61</v>
      </c>
      <c r="C418" t="s">
        <v>45</v>
      </c>
      <c r="D418">
        <v>47790</v>
      </c>
      <c r="E418">
        <v>67</v>
      </c>
      <c r="F418">
        <v>9</v>
      </c>
      <c r="G418">
        <v>5</v>
      </c>
      <c r="H418" t="s">
        <v>13</v>
      </c>
      <c r="I418">
        <v>714.29</v>
      </c>
    </row>
    <row r="419" spans="1:9" x14ac:dyDescent="0.25">
      <c r="A419">
        <v>322</v>
      </c>
      <c r="B419">
        <v>46</v>
      </c>
      <c r="C419" t="s">
        <v>45</v>
      </c>
      <c r="D419">
        <v>126553</v>
      </c>
      <c r="E419">
        <v>16</v>
      </c>
      <c r="F419">
        <v>2</v>
      </c>
      <c r="G419">
        <v>22</v>
      </c>
      <c r="H419" t="s">
        <v>13</v>
      </c>
      <c r="I419">
        <v>85.56</v>
      </c>
    </row>
    <row r="420" spans="1:9" x14ac:dyDescent="0.25">
      <c r="A420">
        <v>323</v>
      </c>
      <c r="B420">
        <v>55</v>
      </c>
      <c r="C420" t="s">
        <v>45</v>
      </c>
      <c r="D420">
        <v>80006</v>
      </c>
      <c r="E420">
        <v>44</v>
      </c>
      <c r="F420">
        <v>2</v>
      </c>
      <c r="G420">
        <v>49</v>
      </c>
      <c r="H420" t="s">
        <v>17</v>
      </c>
      <c r="I420">
        <v>727.51</v>
      </c>
    </row>
    <row r="421" spans="1:9" x14ac:dyDescent="0.25">
      <c r="A421">
        <v>325</v>
      </c>
      <c r="B421">
        <v>41</v>
      </c>
      <c r="C421" t="s">
        <v>45</v>
      </c>
      <c r="D421">
        <v>71410</v>
      </c>
      <c r="E421">
        <v>69</v>
      </c>
      <c r="F421">
        <v>1</v>
      </c>
      <c r="G421">
        <v>32</v>
      </c>
      <c r="H421" t="s">
        <v>13</v>
      </c>
      <c r="I421">
        <v>456.67</v>
      </c>
    </row>
    <row r="422" spans="1:9" x14ac:dyDescent="0.25">
      <c r="A422">
        <v>326</v>
      </c>
      <c r="B422">
        <v>59</v>
      </c>
      <c r="C422" t="s">
        <v>45</v>
      </c>
      <c r="D422">
        <v>49020</v>
      </c>
      <c r="E422">
        <v>100</v>
      </c>
      <c r="F422">
        <v>2</v>
      </c>
      <c r="G422">
        <v>42</v>
      </c>
      <c r="H422" t="s">
        <v>16</v>
      </c>
      <c r="I422">
        <v>588.17999999999995</v>
      </c>
    </row>
    <row r="423" spans="1:9" x14ac:dyDescent="0.25">
      <c r="A423">
        <v>329</v>
      </c>
      <c r="B423">
        <v>68</v>
      </c>
      <c r="C423" t="s">
        <v>45</v>
      </c>
      <c r="D423">
        <v>76921</v>
      </c>
      <c r="E423">
        <v>79</v>
      </c>
      <c r="F423">
        <v>1</v>
      </c>
      <c r="G423">
        <v>23</v>
      </c>
      <c r="H423" t="s">
        <v>16</v>
      </c>
      <c r="I423">
        <v>122.02</v>
      </c>
    </row>
    <row r="424" spans="1:9" x14ac:dyDescent="0.25">
      <c r="A424">
        <v>334</v>
      </c>
      <c r="B424">
        <v>58</v>
      </c>
      <c r="C424" t="s">
        <v>45</v>
      </c>
      <c r="D424">
        <v>99475</v>
      </c>
      <c r="E424">
        <v>27</v>
      </c>
      <c r="F424">
        <v>9</v>
      </c>
      <c r="G424">
        <v>9</v>
      </c>
      <c r="H424" t="s">
        <v>16</v>
      </c>
      <c r="I424">
        <v>249.39</v>
      </c>
    </row>
    <row r="425" spans="1:9" x14ac:dyDescent="0.25">
      <c r="A425">
        <v>336</v>
      </c>
      <c r="B425">
        <v>40</v>
      </c>
      <c r="C425" t="s">
        <v>45</v>
      </c>
      <c r="D425">
        <v>107488</v>
      </c>
      <c r="E425">
        <v>96</v>
      </c>
      <c r="F425">
        <v>7</v>
      </c>
      <c r="G425">
        <v>16</v>
      </c>
      <c r="H425" t="s">
        <v>16</v>
      </c>
      <c r="I425">
        <v>843.6</v>
      </c>
    </row>
    <row r="426" spans="1:9" x14ac:dyDescent="0.25">
      <c r="A426">
        <v>338</v>
      </c>
      <c r="B426">
        <v>42</v>
      </c>
      <c r="C426" t="s">
        <v>45</v>
      </c>
      <c r="D426">
        <v>115381</v>
      </c>
      <c r="E426">
        <v>70</v>
      </c>
      <c r="F426">
        <v>7</v>
      </c>
      <c r="G426">
        <v>33</v>
      </c>
      <c r="H426" t="s">
        <v>13</v>
      </c>
      <c r="I426">
        <v>592.52</v>
      </c>
    </row>
    <row r="427" spans="1:9" x14ac:dyDescent="0.25">
      <c r="A427">
        <v>340</v>
      </c>
      <c r="B427">
        <v>48</v>
      </c>
      <c r="C427" t="s">
        <v>45</v>
      </c>
      <c r="D427">
        <v>30374</v>
      </c>
      <c r="E427">
        <v>28</v>
      </c>
      <c r="F427">
        <v>7</v>
      </c>
      <c r="G427">
        <v>34</v>
      </c>
      <c r="H427" t="s">
        <v>16</v>
      </c>
      <c r="I427">
        <v>463.78</v>
      </c>
    </row>
    <row r="428" spans="1:9" x14ac:dyDescent="0.25">
      <c r="A428">
        <v>351</v>
      </c>
      <c r="B428">
        <v>68</v>
      </c>
      <c r="C428" t="s">
        <v>45</v>
      </c>
      <c r="D428">
        <v>122661</v>
      </c>
      <c r="E428">
        <v>16</v>
      </c>
      <c r="F428">
        <v>4</v>
      </c>
      <c r="G428">
        <v>48</v>
      </c>
      <c r="H428" t="s">
        <v>16</v>
      </c>
      <c r="I428">
        <v>85.44</v>
      </c>
    </row>
    <row r="429" spans="1:9" x14ac:dyDescent="0.25">
      <c r="A429">
        <v>353</v>
      </c>
      <c r="B429">
        <v>61</v>
      </c>
      <c r="C429" t="s">
        <v>45</v>
      </c>
      <c r="D429">
        <v>120516</v>
      </c>
      <c r="E429">
        <v>100</v>
      </c>
      <c r="F429">
        <v>10</v>
      </c>
      <c r="G429">
        <v>47</v>
      </c>
      <c r="H429" t="s">
        <v>13</v>
      </c>
      <c r="I429">
        <v>475.52</v>
      </c>
    </row>
    <row r="430" spans="1:9" x14ac:dyDescent="0.25">
      <c r="A430">
        <v>356</v>
      </c>
      <c r="B430">
        <v>32</v>
      </c>
      <c r="C430" t="s">
        <v>45</v>
      </c>
      <c r="D430">
        <v>94627</v>
      </c>
      <c r="E430">
        <v>88</v>
      </c>
      <c r="F430">
        <v>9</v>
      </c>
      <c r="G430">
        <v>30</v>
      </c>
      <c r="H430" t="s">
        <v>17</v>
      </c>
      <c r="I430">
        <v>703.94</v>
      </c>
    </row>
    <row r="431" spans="1:9" x14ac:dyDescent="0.25">
      <c r="A431">
        <v>357</v>
      </c>
      <c r="B431">
        <v>49</v>
      </c>
      <c r="C431" t="s">
        <v>45</v>
      </c>
      <c r="D431">
        <v>103191</v>
      </c>
      <c r="E431">
        <v>34</v>
      </c>
      <c r="F431">
        <v>5</v>
      </c>
      <c r="G431">
        <v>41</v>
      </c>
      <c r="H431" t="s">
        <v>17</v>
      </c>
      <c r="I431">
        <v>253.63</v>
      </c>
    </row>
    <row r="432" spans="1:9" x14ac:dyDescent="0.25">
      <c r="A432">
        <v>363</v>
      </c>
      <c r="B432">
        <v>26</v>
      </c>
      <c r="C432" t="s">
        <v>45</v>
      </c>
      <c r="D432">
        <v>149741</v>
      </c>
      <c r="E432">
        <v>51</v>
      </c>
      <c r="F432">
        <v>4</v>
      </c>
      <c r="G432">
        <v>37</v>
      </c>
      <c r="H432" t="s">
        <v>13</v>
      </c>
      <c r="I432">
        <v>685.36</v>
      </c>
    </row>
    <row r="433" spans="1:9" x14ac:dyDescent="0.25">
      <c r="A433">
        <v>365</v>
      </c>
      <c r="B433">
        <v>21</v>
      </c>
      <c r="C433" t="s">
        <v>45</v>
      </c>
      <c r="D433">
        <v>90000</v>
      </c>
      <c r="E433">
        <v>42</v>
      </c>
      <c r="F433">
        <v>4</v>
      </c>
      <c r="G433">
        <v>23</v>
      </c>
      <c r="H433" t="s">
        <v>13</v>
      </c>
      <c r="I433">
        <v>278.14999999999998</v>
      </c>
    </row>
    <row r="434" spans="1:9" x14ac:dyDescent="0.25">
      <c r="A434">
        <v>366</v>
      </c>
      <c r="B434">
        <v>19</v>
      </c>
      <c r="C434" t="s">
        <v>45</v>
      </c>
      <c r="D434">
        <v>105019</v>
      </c>
      <c r="E434">
        <v>84</v>
      </c>
      <c r="F434">
        <v>8</v>
      </c>
      <c r="G434">
        <v>32</v>
      </c>
      <c r="H434" t="s">
        <v>17</v>
      </c>
      <c r="I434">
        <v>735.3</v>
      </c>
    </row>
    <row r="435" spans="1:9" x14ac:dyDescent="0.25">
      <c r="A435">
        <v>396</v>
      </c>
      <c r="B435">
        <v>54</v>
      </c>
      <c r="C435" t="s">
        <v>45</v>
      </c>
      <c r="D435">
        <v>87418</v>
      </c>
      <c r="E435">
        <v>21</v>
      </c>
      <c r="F435">
        <v>2</v>
      </c>
      <c r="G435">
        <v>27</v>
      </c>
      <c r="H435" t="s">
        <v>16</v>
      </c>
      <c r="I435">
        <v>846.76</v>
      </c>
    </row>
    <row r="436" spans="1:9" x14ac:dyDescent="0.25">
      <c r="A436">
        <v>403</v>
      </c>
      <c r="B436">
        <v>40</v>
      </c>
      <c r="C436" t="s">
        <v>45</v>
      </c>
      <c r="D436">
        <v>127948</v>
      </c>
      <c r="E436">
        <v>29</v>
      </c>
      <c r="F436">
        <v>6</v>
      </c>
      <c r="G436">
        <v>26</v>
      </c>
      <c r="H436" t="s">
        <v>16</v>
      </c>
      <c r="I436">
        <v>144.78</v>
      </c>
    </row>
    <row r="437" spans="1:9" x14ac:dyDescent="0.25">
      <c r="A437">
        <v>406</v>
      </c>
      <c r="B437">
        <v>29</v>
      </c>
      <c r="C437" t="s">
        <v>45</v>
      </c>
      <c r="D437">
        <v>141369</v>
      </c>
      <c r="E437">
        <v>42</v>
      </c>
      <c r="F437">
        <v>10</v>
      </c>
      <c r="G437">
        <v>16</v>
      </c>
      <c r="H437" t="s">
        <v>13</v>
      </c>
      <c r="I437">
        <v>862.54</v>
      </c>
    </row>
    <row r="438" spans="1:9" x14ac:dyDescent="0.25">
      <c r="A438">
        <v>407</v>
      </c>
      <c r="B438">
        <v>24</v>
      </c>
      <c r="C438" t="s">
        <v>45</v>
      </c>
      <c r="D438">
        <v>119844</v>
      </c>
      <c r="E438">
        <v>78</v>
      </c>
      <c r="F438">
        <v>4</v>
      </c>
      <c r="G438">
        <v>6</v>
      </c>
      <c r="H438" t="s">
        <v>16</v>
      </c>
      <c r="I438">
        <v>572.30999999999995</v>
      </c>
    </row>
    <row r="439" spans="1:9" x14ac:dyDescent="0.25">
      <c r="A439">
        <v>408</v>
      </c>
      <c r="B439">
        <v>40</v>
      </c>
      <c r="C439" t="s">
        <v>45</v>
      </c>
      <c r="D439">
        <v>135305</v>
      </c>
      <c r="E439">
        <v>54</v>
      </c>
      <c r="F439">
        <v>8</v>
      </c>
      <c r="G439">
        <v>29</v>
      </c>
      <c r="H439" t="s">
        <v>17</v>
      </c>
      <c r="I439">
        <v>831.6</v>
      </c>
    </row>
    <row r="440" spans="1:9" x14ac:dyDescent="0.25">
      <c r="A440">
        <v>412</v>
      </c>
      <c r="B440">
        <v>61</v>
      </c>
      <c r="C440" t="s">
        <v>45</v>
      </c>
      <c r="D440">
        <v>80988</v>
      </c>
      <c r="E440">
        <v>34</v>
      </c>
      <c r="F440">
        <v>8</v>
      </c>
      <c r="G440">
        <v>14</v>
      </c>
      <c r="H440" t="s">
        <v>17</v>
      </c>
      <c r="I440">
        <v>937.86</v>
      </c>
    </row>
    <row r="441" spans="1:9" x14ac:dyDescent="0.25">
      <c r="A441">
        <v>417</v>
      </c>
      <c r="B441">
        <v>52</v>
      </c>
      <c r="C441" t="s">
        <v>45</v>
      </c>
      <c r="D441">
        <v>101105</v>
      </c>
      <c r="E441">
        <v>11</v>
      </c>
      <c r="F441">
        <v>9</v>
      </c>
      <c r="G441">
        <v>2</v>
      </c>
      <c r="H441" t="s">
        <v>13</v>
      </c>
      <c r="I441">
        <v>714.72</v>
      </c>
    </row>
    <row r="442" spans="1:9" x14ac:dyDescent="0.25">
      <c r="A442">
        <v>419</v>
      </c>
      <c r="B442">
        <v>64</v>
      </c>
      <c r="C442" t="s">
        <v>45</v>
      </c>
      <c r="D442">
        <v>71594</v>
      </c>
      <c r="E442">
        <v>40</v>
      </c>
      <c r="F442">
        <v>4</v>
      </c>
      <c r="G442">
        <v>42</v>
      </c>
      <c r="H442" t="s">
        <v>17</v>
      </c>
      <c r="I442">
        <v>487.73</v>
      </c>
    </row>
    <row r="443" spans="1:9" x14ac:dyDescent="0.25">
      <c r="A443">
        <v>422</v>
      </c>
      <c r="B443">
        <v>56</v>
      </c>
      <c r="C443" t="s">
        <v>45</v>
      </c>
      <c r="D443">
        <v>36843</v>
      </c>
      <c r="E443">
        <v>46</v>
      </c>
      <c r="F443">
        <v>7</v>
      </c>
      <c r="G443">
        <v>12</v>
      </c>
      <c r="H443" t="s">
        <v>13</v>
      </c>
      <c r="I443">
        <v>22.15</v>
      </c>
    </row>
    <row r="444" spans="1:9" x14ac:dyDescent="0.25">
      <c r="A444">
        <v>428</v>
      </c>
      <c r="B444">
        <v>54</v>
      </c>
      <c r="C444" t="s">
        <v>45</v>
      </c>
      <c r="D444">
        <v>90780</v>
      </c>
      <c r="E444">
        <v>24</v>
      </c>
      <c r="F444">
        <v>3</v>
      </c>
      <c r="G444">
        <v>46</v>
      </c>
      <c r="H444" t="s">
        <v>16</v>
      </c>
      <c r="I444">
        <v>824.65</v>
      </c>
    </row>
    <row r="445" spans="1:9" x14ac:dyDescent="0.25">
      <c r="A445">
        <v>430</v>
      </c>
      <c r="B445">
        <v>64</v>
      </c>
      <c r="C445" t="s">
        <v>45</v>
      </c>
      <c r="D445">
        <v>124369</v>
      </c>
      <c r="E445">
        <v>74</v>
      </c>
      <c r="F445">
        <v>2</v>
      </c>
      <c r="G445">
        <v>3</v>
      </c>
      <c r="H445" t="s">
        <v>13</v>
      </c>
      <c r="I445">
        <v>275.39999999999998</v>
      </c>
    </row>
    <row r="446" spans="1:9" x14ac:dyDescent="0.25">
      <c r="A446">
        <v>437</v>
      </c>
      <c r="B446">
        <v>48</v>
      </c>
      <c r="C446" t="s">
        <v>45</v>
      </c>
      <c r="D446">
        <v>51565</v>
      </c>
      <c r="E446">
        <v>44</v>
      </c>
      <c r="F446">
        <v>5</v>
      </c>
      <c r="G446">
        <v>20</v>
      </c>
      <c r="H446" t="s">
        <v>16</v>
      </c>
      <c r="I446">
        <v>552.48</v>
      </c>
    </row>
    <row r="447" spans="1:9" x14ac:dyDescent="0.25">
      <c r="A447">
        <v>444</v>
      </c>
      <c r="B447">
        <v>62</v>
      </c>
      <c r="C447" t="s">
        <v>45</v>
      </c>
      <c r="D447">
        <v>59481</v>
      </c>
      <c r="E447">
        <v>30</v>
      </c>
      <c r="F447">
        <v>4</v>
      </c>
      <c r="G447">
        <v>35</v>
      </c>
      <c r="H447" t="s">
        <v>17</v>
      </c>
      <c r="I447">
        <v>121</v>
      </c>
    </row>
    <row r="448" spans="1:9" x14ac:dyDescent="0.25">
      <c r="A448">
        <v>447</v>
      </c>
      <c r="B448">
        <v>27</v>
      </c>
      <c r="C448" t="s">
        <v>45</v>
      </c>
      <c r="D448">
        <v>68689</v>
      </c>
      <c r="E448">
        <v>83</v>
      </c>
      <c r="F448">
        <v>8</v>
      </c>
      <c r="G448">
        <v>33</v>
      </c>
      <c r="H448" t="s">
        <v>16</v>
      </c>
      <c r="I448">
        <v>782.58</v>
      </c>
    </row>
    <row r="449" spans="1:9" x14ac:dyDescent="0.25">
      <c r="A449">
        <v>451</v>
      </c>
      <c r="B449">
        <v>24</v>
      </c>
      <c r="C449" t="s">
        <v>45</v>
      </c>
      <c r="D449">
        <v>147555</v>
      </c>
      <c r="E449">
        <v>65</v>
      </c>
      <c r="F449">
        <v>4</v>
      </c>
      <c r="G449">
        <v>28</v>
      </c>
      <c r="H449" t="s">
        <v>16</v>
      </c>
      <c r="I449">
        <v>434.84</v>
      </c>
    </row>
    <row r="450" spans="1:9" x14ac:dyDescent="0.25">
      <c r="A450">
        <v>456</v>
      </c>
      <c r="B450">
        <v>61</v>
      </c>
      <c r="C450" t="s">
        <v>45</v>
      </c>
      <c r="D450">
        <v>57851</v>
      </c>
      <c r="E450">
        <v>46</v>
      </c>
      <c r="F450">
        <v>3</v>
      </c>
      <c r="G450">
        <v>5</v>
      </c>
      <c r="H450" t="s">
        <v>17</v>
      </c>
      <c r="I450">
        <v>604.29</v>
      </c>
    </row>
    <row r="451" spans="1:9" x14ac:dyDescent="0.25">
      <c r="A451">
        <v>459</v>
      </c>
      <c r="B451">
        <v>30</v>
      </c>
      <c r="C451" t="s">
        <v>45</v>
      </c>
      <c r="D451">
        <v>100399</v>
      </c>
      <c r="E451">
        <v>96</v>
      </c>
      <c r="F451">
        <v>2</v>
      </c>
      <c r="G451">
        <v>5</v>
      </c>
      <c r="H451" t="s">
        <v>17</v>
      </c>
      <c r="I451">
        <v>705.64</v>
      </c>
    </row>
    <row r="452" spans="1:9" x14ac:dyDescent="0.25">
      <c r="A452">
        <v>466</v>
      </c>
      <c r="B452">
        <v>69</v>
      </c>
      <c r="C452" t="s">
        <v>45</v>
      </c>
      <c r="D452">
        <v>143640</v>
      </c>
      <c r="E452">
        <v>14</v>
      </c>
      <c r="F452">
        <v>8</v>
      </c>
      <c r="G452">
        <v>2</v>
      </c>
      <c r="H452" t="s">
        <v>17</v>
      </c>
      <c r="I452">
        <v>387.39</v>
      </c>
    </row>
    <row r="453" spans="1:9" x14ac:dyDescent="0.25">
      <c r="A453">
        <v>469</v>
      </c>
      <c r="B453">
        <v>32</v>
      </c>
      <c r="C453" t="s">
        <v>45</v>
      </c>
      <c r="D453">
        <v>100736</v>
      </c>
      <c r="E453">
        <v>84</v>
      </c>
      <c r="F453">
        <v>10</v>
      </c>
      <c r="G453">
        <v>32</v>
      </c>
      <c r="H453" t="s">
        <v>16</v>
      </c>
      <c r="I453">
        <v>863.93</v>
      </c>
    </row>
    <row r="454" spans="1:9" x14ac:dyDescent="0.25">
      <c r="A454">
        <v>470</v>
      </c>
      <c r="B454">
        <v>53</v>
      </c>
      <c r="C454" t="s">
        <v>45</v>
      </c>
      <c r="D454">
        <v>139508</v>
      </c>
      <c r="E454">
        <v>92</v>
      </c>
      <c r="F454">
        <v>6</v>
      </c>
      <c r="G454">
        <v>39</v>
      </c>
      <c r="H454" t="s">
        <v>17</v>
      </c>
      <c r="I454">
        <v>172.99</v>
      </c>
    </row>
    <row r="455" spans="1:9" x14ac:dyDescent="0.25">
      <c r="A455">
        <v>475</v>
      </c>
      <c r="B455">
        <v>36</v>
      </c>
      <c r="C455" t="s">
        <v>45</v>
      </c>
      <c r="D455">
        <v>112674</v>
      </c>
      <c r="E455">
        <v>12</v>
      </c>
      <c r="F455">
        <v>7</v>
      </c>
      <c r="G455">
        <v>35</v>
      </c>
      <c r="H455" t="s">
        <v>16</v>
      </c>
      <c r="I455">
        <v>590.32000000000005</v>
      </c>
    </row>
    <row r="456" spans="1:9" x14ac:dyDescent="0.25">
      <c r="A456">
        <v>478</v>
      </c>
      <c r="B456">
        <v>48</v>
      </c>
      <c r="C456" t="s">
        <v>45</v>
      </c>
      <c r="D456">
        <v>143424</v>
      </c>
      <c r="E456">
        <v>24</v>
      </c>
      <c r="F456">
        <v>3</v>
      </c>
      <c r="G456">
        <v>22</v>
      </c>
      <c r="H456" t="s">
        <v>13</v>
      </c>
      <c r="I456">
        <v>594.94000000000005</v>
      </c>
    </row>
    <row r="457" spans="1:9" x14ac:dyDescent="0.25">
      <c r="A457">
        <v>482</v>
      </c>
      <c r="B457">
        <v>65</v>
      </c>
      <c r="C457" t="s">
        <v>45</v>
      </c>
      <c r="D457">
        <v>120542</v>
      </c>
      <c r="E457">
        <v>52</v>
      </c>
      <c r="F457">
        <v>3</v>
      </c>
      <c r="G457">
        <v>36</v>
      </c>
      <c r="H457" t="s">
        <v>17</v>
      </c>
      <c r="I457">
        <v>70.22</v>
      </c>
    </row>
    <row r="458" spans="1:9" x14ac:dyDescent="0.25">
      <c r="A458">
        <v>486</v>
      </c>
      <c r="B458">
        <v>66</v>
      </c>
      <c r="C458" t="s">
        <v>45</v>
      </c>
      <c r="D458">
        <v>91672</v>
      </c>
      <c r="E458">
        <v>71</v>
      </c>
      <c r="F458">
        <v>5</v>
      </c>
      <c r="G458">
        <v>9</v>
      </c>
      <c r="H458" t="s">
        <v>17</v>
      </c>
      <c r="I458">
        <v>10.4</v>
      </c>
    </row>
    <row r="459" spans="1:9" x14ac:dyDescent="0.25">
      <c r="A459">
        <v>488</v>
      </c>
      <c r="B459">
        <v>47</v>
      </c>
      <c r="C459" t="s">
        <v>45</v>
      </c>
      <c r="D459">
        <v>124597</v>
      </c>
      <c r="E459">
        <v>67</v>
      </c>
      <c r="F459">
        <v>9</v>
      </c>
      <c r="G459">
        <v>8</v>
      </c>
      <c r="H459" t="s">
        <v>17</v>
      </c>
      <c r="I459">
        <v>885.33</v>
      </c>
    </row>
    <row r="460" spans="1:9" x14ac:dyDescent="0.25">
      <c r="A460">
        <v>517</v>
      </c>
      <c r="B460">
        <v>18</v>
      </c>
      <c r="C460" t="s">
        <v>45</v>
      </c>
      <c r="D460">
        <v>112021</v>
      </c>
      <c r="E460">
        <v>9</v>
      </c>
      <c r="F460">
        <v>3</v>
      </c>
      <c r="G460">
        <v>11</v>
      </c>
      <c r="H460" t="s">
        <v>16</v>
      </c>
      <c r="I460">
        <v>588.37</v>
      </c>
    </row>
    <row r="461" spans="1:9" x14ac:dyDescent="0.25">
      <c r="A461">
        <v>521</v>
      </c>
      <c r="B461">
        <v>69</v>
      </c>
      <c r="C461" t="s">
        <v>45</v>
      </c>
      <c r="D461">
        <v>78534</v>
      </c>
      <c r="E461">
        <v>100</v>
      </c>
      <c r="F461">
        <v>2</v>
      </c>
      <c r="G461">
        <v>9</v>
      </c>
      <c r="H461" t="s">
        <v>13</v>
      </c>
      <c r="I461">
        <v>75.03</v>
      </c>
    </row>
    <row r="462" spans="1:9" x14ac:dyDescent="0.25">
      <c r="A462">
        <v>542</v>
      </c>
      <c r="B462">
        <v>69</v>
      </c>
      <c r="C462" t="s">
        <v>45</v>
      </c>
      <c r="D462">
        <v>86860</v>
      </c>
      <c r="E462">
        <v>70</v>
      </c>
      <c r="F462">
        <v>1</v>
      </c>
      <c r="G462">
        <v>1</v>
      </c>
      <c r="H462" t="s">
        <v>17</v>
      </c>
      <c r="I462">
        <v>812.25</v>
      </c>
    </row>
    <row r="463" spans="1:9" x14ac:dyDescent="0.25">
      <c r="A463">
        <v>546</v>
      </c>
      <c r="B463">
        <v>44</v>
      </c>
      <c r="C463" t="s">
        <v>45</v>
      </c>
      <c r="D463">
        <v>112137</v>
      </c>
      <c r="E463">
        <v>37</v>
      </c>
      <c r="F463">
        <v>7</v>
      </c>
      <c r="G463">
        <v>18</v>
      </c>
      <c r="H463" t="s">
        <v>16</v>
      </c>
      <c r="I463">
        <v>769.16</v>
      </c>
    </row>
    <row r="464" spans="1:9" x14ac:dyDescent="0.25">
      <c r="A464">
        <v>561</v>
      </c>
      <c r="B464">
        <v>61</v>
      </c>
      <c r="C464" t="s">
        <v>45</v>
      </c>
      <c r="D464">
        <v>137276</v>
      </c>
      <c r="E464">
        <v>92</v>
      </c>
      <c r="F464">
        <v>5</v>
      </c>
      <c r="G464">
        <v>8</v>
      </c>
      <c r="H464" t="s">
        <v>16</v>
      </c>
      <c r="I464">
        <v>482.77</v>
      </c>
    </row>
    <row r="465" spans="1:9" x14ac:dyDescent="0.25">
      <c r="A465">
        <v>570</v>
      </c>
      <c r="B465">
        <v>18</v>
      </c>
      <c r="C465" t="s">
        <v>45</v>
      </c>
      <c r="D465">
        <v>94701</v>
      </c>
      <c r="E465">
        <v>69</v>
      </c>
      <c r="F465">
        <v>8</v>
      </c>
      <c r="G465">
        <v>48</v>
      </c>
      <c r="H465" t="s">
        <v>17</v>
      </c>
      <c r="I465">
        <v>760.34</v>
      </c>
    </row>
    <row r="466" spans="1:9" x14ac:dyDescent="0.25">
      <c r="A466">
        <v>574</v>
      </c>
      <c r="B466">
        <v>48</v>
      </c>
      <c r="C466" t="s">
        <v>45</v>
      </c>
      <c r="D466">
        <v>93084</v>
      </c>
      <c r="E466">
        <v>30</v>
      </c>
      <c r="F466">
        <v>7</v>
      </c>
      <c r="G466">
        <v>5</v>
      </c>
      <c r="H466" t="s">
        <v>17</v>
      </c>
      <c r="I466">
        <v>480.55</v>
      </c>
    </row>
    <row r="467" spans="1:9" x14ac:dyDescent="0.25">
      <c r="A467">
        <v>587</v>
      </c>
      <c r="B467">
        <v>20</v>
      </c>
      <c r="C467" t="s">
        <v>45</v>
      </c>
      <c r="D467">
        <v>61541</v>
      </c>
      <c r="E467">
        <v>80</v>
      </c>
      <c r="F467">
        <v>2</v>
      </c>
      <c r="G467">
        <v>14</v>
      </c>
      <c r="H467" t="s">
        <v>16</v>
      </c>
      <c r="I467">
        <v>48.5</v>
      </c>
    </row>
    <row r="468" spans="1:9" x14ac:dyDescent="0.25">
      <c r="A468">
        <v>588</v>
      </c>
      <c r="B468">
        <v>47</v>
      </c>
      <c r="C468" t="s">
        <v>45</v>
      </c>
      <c r="D468">
        <v>55753</v>
      </c>
      <c r="E468">
        <v>69</v>
      </c>
      <c r="F468">
        <v>5</v>
      </c>
      <c r="G468">
        <v>40</v>
      </c>
      <c r="H468" t="s">
        <v>13</v>
      </c>
      <c r="I468">
        <v>772.89</v>
      </c>
    </row>
    <row r="469" spans="1:9" x14ac:dyDescent="0.25">
      <c r="A469">
        <v>589</v>
      </c>
      <c r="B469">
        <v>29</v>
      </c>
      <c r="C469" t="s">
        <v>45</v>
      </c>
      <c r="D469">
        <v>80868</v>
      </c>
      <c r="E469">
        <v>33</v>
      </c>
      <c r="F469">
        <v>6</v>
      </c>
      <c r="G469">
        <v>15</v>
      </c>
      <c r="H469" t="s">
        <v>17</v>
      </c>
      <c r="I469">
        <v>865.65</v>
      </c>
    </row>
    <row r="470" spans="1:9" x14ac:dyDescent="0.25">
      <c r="A470">
        <v>595</v>
      </c>
      <c r="B470">
        <v>28</v>
      </c>
      <c r="C470" t="s">
        <v>45</v>
      </c>
      <c r="D470">
        <v>61870</v>
      </c>
      <c r="E470">
        <v>100</v>
      </c>
      <c r="F470">
        <v>6</v>
      </c>
      <c r="G470">
        <v>3</v>
      </c>
      <c r="H470" t="s">
        <v>16</v>
      </c>
      <c r="I470">
        <v>728.67</v>
      </c>
    </row>
    <row r="471" spans="1:9" x14ac:dyDescent="0.25">
      <c r="A471">
        <v>599</v>
      </c>
      <c r="B471">
        <v>41</v>
      </c>
      <c r="C471" t="s">
        <v>45</v>
      </c>
      <c r="D471">
        <v>69204</v>
      </c>
      <c r="E471">
        <v>95</v>
      </c>
      <c r="F471">
        <v>4</v>
      </c>
      <c r="G471">
        <v>28</v>
      </c>
      <c r="H471" t="s">
        <v>17</v>
      </c>
      <c r="I471">
        <v>936.04</v>
      </c>
    </row>
    <row r="472" spans="1:9" x14ac:dyDescent="0.25">
      <c r="A472">
        <v>608</v>
      </c>
      <c r="B472">
        <v>41</v>
      </c>
      <c r="C472" t="s">
        <v>45</v>
      </c>
      <c r="D472">
        <v>67215</v>
      </c>
      <c r="E472">
        <v>34</v>
      </c>
      <c r="F472">
        <v>3</v>
      </c>
      <c r="G472">
        <v>30</v>
      </c>
      <c r="H472" t="s">
        <v>13</v>
      </c>
      <c r="I472">
        <v>460.25</v>
      </c>
    </row>
    <row r="473" spans="1:9" x14ac:dyDescent="0.25">
      <c r="A473">
        <v>613</v>
      </c>
      <c r="B473">
        <v>60</v>
      </c>
      <c r="C473" t="s">
        <v>45</v>
      </c>
      <c r="D473">
        <v>53295</v>
      </c>
      <c r="E473">
        <v>73</v>
      </c>
      <c r="F473">
        <v>3</v>
      </c>
      <c r="G473">
        <v>5</v>
      </c>
      <c r="H473" t="s">
        <v>13</v>
      </c>
      <c r="I473">
        <v>642.29999999999995</v>
      </c>
    </row>
    <row r="474" spans="1:9" x14ac:dyDescent="0.25">
      <c r="A474">
        <v>617</v>
      </c>
      <c r="B474">
        <v>29</v>
      </c>
      <c r="C474" t="s">
        <v>45</v>
      </c>
      <c r="D474">
        <v>83172</v>
      </c>
      <c r="E474">
        <v>51</v>
      </c>
      <c r="F474">
        <v>8</v>
      </c>
      <c r="G474">
        <v>1</v>
      </c>
      <c r="H474" t="s">
        <v>17</v>
      </c>
      <c r="I474">
        <v>906.75</v>
      </c>
    </row>
    <row r="475" spans="1:9" x14ac:dyDescent="0.25">
      <c r="A475">
        <v>619</v>
      </c>
      <c r="B475">
        <v>29</v>
      </c>
      <c r="C475" t="s">
        <v>45</v>
      </c>
      <c r="D475">
        <v>88288</v>
      </c>
      <c r="E475">
        <v>39</v>
      </c>
      <c r="F475">
        <v>5</v>
      </c>
      <c r="G475">
        <v>50</v>
      </c>
      <c r="H475" t="s">
        <v>16</v>
      </c>
      <c r="I475">
        <v>803.87</v>
      </c>
    </row>
    <row r="476" spans="1:9" x14ac:dyDescent="0.25">
      <c r="A476">
        <v>624</v>
      </c>
      <c r="B476">
        <v>59</v>
      </c>
      <c r="C476" t="s">
        <v>45</v>
      </c>
      <c r="D476">
        <v>66196</v>
      </c>
      <c r="E476">
        <v>37</v>
      </c>
      <c r="F476">
        <v>9</v>
      </c>
      <c r="G476">
        <v>44</v>
      </c>
      <c r="H476" t="s">
        <v>17</v>
      </c>
      <c r="I476">
        <v>483.66</v>
      </c>
    </row>
    <row r="477" spans="1:9" x14ac:dyDescent="0.25">
      <c r="A477">
        <v>637</v>
      </c>
      <c r="B477">
        <v>52</v>
      </c>
      <c r="C477" t="s">
        <v>45</v>
      </c>
      <c r="D477">
        <v>85267</v>
      </c>
      <c r="E477">
        <v>6</v>
      </c>
      <c r="F477">
        <v>5</v>
      </c>
      <c r="G477">
        <v>2</v>
      </c>
      <c r="H477" t="s">
        <v>13</v>
      </c>
      <c r="I477">
        <v>704.32</v>
      </c>
    </row>
    <row r="478" spans="1:9" x14ac:dyDescent="0.25">
      <c r="A478">
        <v>645</v>
      </c>
      <c r="B478">
        <v>67</v>
      </c>
      <c r="C478" t="s">
        <v>45</v>
      </c>
      <c r="D478">
        <v>115578</v>
      </c>
      <c r="E478">
        <v>10</v>
      </c>
      <c r="F478">
        <v>1</v>
      </c>
      <c r="G478">
        <v>36</v>
      </c>
      <c r="H478" t="s">
        <v>16</v>
      </c>
      <c r="I478">
        <v>646.16</v>
      </c>
    </row>
    <row r="479" spans="1:9" x14ac:dyDescent="0.25">
      <c r="A479">
        <v>650</v>
      </c>
      <c r="B479">
        <v>47</v>
      </c>
      <c r="C479" t="s">
        <v>45</v>
      </c>
      <c r="D479">
        <v>88268</v>
      </c>
      <c r="E479">
        <v>32</v>
      </c>
      <c r="F479">
        <v>8</v>
      </c>
      <c r="G479">
        <v>27</v>
      </c>
      <c r="H479" t="s">
        <v>16</v>
      </c>
      <c r="I479">
        <v>686.5</v>
      </c>
    </row>
    <row r="480" spans="1:9" x14ac:dyDescent="0.25">
      <c r="A480">
        <v>655</v>
      </c>
      <c r="B480">
        <v>45</v>
      </c>
      <c r="C480" t="s">
        <v>45</v>
      </c>
      <c r="D480">
        <v>47989</v>
      </c>
      <c r="E480">
        <v>70</v>
      </c>
      <c r="F480">
        <v>6</v>
      </c>
      <c r="G480">
        <v>9</v>
      </c>
      <c r="H480" t="s">
        <v>16</v>
      </c>
      <c r="I480">
        <v>218.77</v>
      </c>
    </row>
    <row r="481" spans="1:9" x14ac:dyDescent="0.25">
      <c r="A481">
        <v>656</v>
      </c>
      <c r="B481">
        <v>33</v>
      </c>
      <c r="C481" t="s">
        <v>45</v>
      </c>
      <c r="D481">
        <v>65142</v>
      </c>
      <c r="E481">
        <v>45</v>
      </c>
      <c r="F481">
        <v>10</v>
      </c>
      <c r="G481">
        <v>42</v>
      </c>
      <c r="H481" t="s">
        <v>17</v>
      </c>
      <c r="I481">
        <v>132.6</v>
      </c>
    </row>
    <row r="482" spans="1:9" x14ac:dyDescent="0.25">
      <c r="A482">
        <v>659</v>
      </c>
      <c r="B482">
        <v>35</v>
      </c>
      <c r="C482" t="s">
        <v>45</v>
      </c>
      <c r="D482">
        <v>116378</v>
      </c>
      <c r="E482">
        <v>38</v>
      </c>
      <c r="F482">
        <v>10</v>
      </c>
      <c r="G482">
        <v>11</v>
      </c>
      <c r="H482" t="s">
        <v>17</v>
      </c>
      <c r="I482">
        <v>79.27</v>
      </c>
    </row>
    <row r="483" spans="1:9" x14ac:dyDescent="0.25">
      <c r="A483">
        <v>662</v>
      </c>
      <c r="B483">
        <v>66</v>
      </c>
      <c r="C483" t="s">
        <v>45</v>
      </c>
      <c r="D483">
        <v>38652</v>
      </c>
      <c r="E483">
        <v>40</v>
      </c>
      <c r="F483">
        <v>10</v>
      </c>
      <c r="G483">
        <v>7</v>
      </c>
      <c r="H483" t="s">
        <v>13</v>
      </c>
      <c r="I483">
        <v>566.59</v>
      </c>
    </row>
    <row r="484" spans="1:9" x14ac:dyDescent="0.25">
      <c r="A484">
        <v>664</v>
      </c>
      <c r="B484">
        <v>56</v>
      </c>
      <c r="C484" t="s">
        <v>45</v>
      </c>
      <c r="D484">
        <v>30492</v>
      </c>
      <c r="E484">
        <v>47</v>
      </c>
      <c r="F484">
        <v>5</v>
      </c>
      <c r="G484">
        <v>6</v>
      </c>
      <c r="H484" t="s">
        <v>16</v>
      </c>
      <c r="I484">
        <v>725.26</v>
      </c>
    </row>
    <row r="485" spans="1:9" x14ac:dyDescent="0.25">
      <c r="A485">
        <v>670</v>
      </c>
      <c r="B485">
        <v>55</v>
      </c>
      <c r="C485" t="s">
        <v>45</v>
      </c>
      <c r="D485">
        <v>59108</v>
      </c>
      <c r="E485">
        <v>36</v>
      </c>
      <c r="F485">
        <v>6</v>
      </c>
      <c r="G485">
        <v>31</v>
      </c>
      <c r="H485" t="s">
        <v>13</v>
      </c>
      <c r="I485">
        <v>900.16</v>
      </c>
    </row>
    <row r="486" spans="1:9" x14ac:dyDescent="0.25">
      <c r="A486">
        <v>678</v>
      </c>
      <c r="B486">
        <v>63</v>
      </c>
      <c r="C486" t="s">
        <v>45</v>
      </c>
      <c r="D486">
        <v>56374</v>
      </c>
      <c r="E486">
        <v>60</v>
      </c>
      <c r="F486">
        <v>4</v>
      </c>
      <c r="G486">
        <v>45</v>
      </c>
      <c r="H486" t="s">
        <v>13</v>
      </c>
      <c r="I486">
        <v>943.5</v>
      </c>
    </row>
    <row r="487" spans="1:9" x14ac:dyDescent="0.25">
      <c r="A487">
        <v>680</v>
      </c>
      <c r="B487">
        <v>36</v>
      </c>
      <c r="C487" t="s">
        <v>45</v>
      </c>
      <c r="D487">
        <v>106345</v>
      </c>
      <c r="E487">
        <v>98</v>
      </c>
      <c r="F487">
        <v>7</v>
      </c>
      <c r="G487">
        <v>49</v>
      </c>
      <c r="H487" t="s">
        <v>17</v>
      </c>
      <c r="I487">
        <v>55.21</v>
      </c>
    </row>
    <row r="488" spans="1:9" x14ac:dyDescent="0.25">
      <c r="A488">
        <v>689</v>
      </c>
      <c r="B488">
        <v>69</v>
      </c>
      <c r="C488" t="s">
        <v>45</v>
      </c>
      <c r="D488">
        <v>45024</v>
      </c>
      <c r="E488">
        <v>38</v>
      </c>
      <c r="F488">
        <v>5</v>
      </c>
      <c r="G488">
        <v>11</v>
      </c>
      <c r="H488" t="s">
        <v>17</v>
      </c>
      <c r="I488">
        <v>830.03</v>
      </c>
    </row>
    <row r="489" spans="1:9" x14ac:dyDescent="0.25">
      <c r="A489">
        <v>691</v>
      </c>
      <c r="B489">
        <v>53</v>
      </c>
      <c r="C489" t="s">
        <v>45</v>
      </c>
      <c r="D489">
        <v>84686</v>
      </c>
      <c r="E489">
        <v>93</v>
      </c>
      <c r="F489">
        <v>8</v>
      </c>
      <c r="G489">
        <v>1</v>
      </c>
      <c r="H489" t="s">
        <v>16</v>
      </c>
      <c r="I489">
        <v>109.54</v>
      </c>
    </row>
    <row r="490" spans="1:9" x14ac:dyDescent="0.25">
      <c r="A490">
        <v>699</v>
      </c>
      <c r="B490">
        <v>55</v>
      </c>
      <c r="C490" t="s">
        <v>45</v>
      </c>
      <c r="D490">
        <v>53164</v>
      </c>
      <c r="E490">
        <v>64</v>
      </c>
      <c r="F490">
        <v>2</v>
      </c>
      <c r="G490">
        <v>19</v>
      </c>
      <c r="H490" t="s">
        <v>17</v>
      </c>
      <c r="I490">
        <v>932.41</v>
      </c>
    </row>
    <row r="491" spans="1:9" x14ac:dyDescent="0.25">
      <c r="A491">
        <v>726</v>
      </c>
      <c r="B491">
        <v>40</v>
      </c>
      <c r="C491" t="s">
        <v>45</v>
      </c>
      <c r="D491">
        <v>105994</v>
      </c>
      <c r="E491">
        <v>39</v>
      </c>
      <c r="F491">
        <v>9</v>
      </c>
      <c r="G491">
        <v>17</v>
      </c>
      <c r="H491" t="s">
        <v>13</v>
      </c>
      <c r="I491">
        <v>347.21</v>
      </c>
    </row>
    <row r="492" spans="1:9" x14ac:dyDescent="0.25">
      <c r="A492">
        <v>727</v>
      </c>
      <c r="B492">
        <v>18</v>
      </c>
      <c r="C492" t="s">
        <v>45</v>
      </c>
      <c r="D492">
        <v>84764</v>
      </c>
      <c r="E492">
        <v>2</v>
      </c>
      <c r="F492">
        <v>6</v>
      </c>
      <c r="G492">
        <v>49</v>
      </c>
      <c r="H492" t="s">
        <v>13</v>
      </c>
      <c r="I492">
        <v>348.51</v>
      </c>
    </row>
    <row r="493" spans="1:9" x14ac:dyDescent="0.25">
      <c r="A493">
        <v>728</v>
      </c>
      <c r="B493">
        <v>28</v>
      </c>
      <c r="C493" t="s">
        <v>45</v>
      </c>
      <c r="D493">
        <v>53503</v>
      </c>
      <c r="E493">
        <v>39</v>
      </c>
      <c r="F493">
        <v>5</v>
      </c>
      <c r="G493">
        <v>30</v>
      </c>
      <c r="H493" t="s">
        <v>16</v>
      </c>
      <c r="I493">
        <v>591.64</v>
      </c>
    </row>
    <row r="494" spans="1:9" x14ac:dyDescent="0.25">
      <c r="A494">
        <v>735</v>
      </c>
      <c r="B494">
        <v>38</v>
      </c>
      <c r="C494" t="s">
        <v>45</v>
      </c>
      <c r="D494">
        <v>115537</v>
      </c>
      <c r="E494">
        <v>10</v>
      </c>
      <c r="F494">
        <v>7</v>
      </c>
      <c r="G494">
        <v>25</v>
      </c>
      <c r="H494" t="s">
        <v>17</v>
      </c>
      <c r="I494">
        <v>632.99</v>
      </c>
    </row>
    <row r="495" spans="1:9" x14ac:dyDescent="0.25">
      <c r="A495">
        <v>742</v>
      </c>
      <c r="B495">
        <v>45</v>
      </c>
      <c r="C495" t="s">
        <v>45</v>
      </c>
      <c r="D495">
        <v>30738</v>
      </c>
      <c r="E495">
        <v>38</v>
      </c>
      <c r="F495">
        <v>7</v>
      </c>
      <c r="G495">
        <v>5</v>
      </c>
      <c r="H495" t="s">
        <v>13</v>
      </c>
      <c r="I495">
        <v>144</v>
      </c>
    </row>
    <row r="496" spans="1:9" x14ac:dyDescent="0.25">
      <c r="A496">
        <v>759</v>
      </c>
      <c r="B496">
        <v>64</v>
      </c>
      <c r="C496" t="s">
        <v>45</v>
      </c>
      <c r="D496">
        <v>130443</v>
      </c>
      <c r="E496">
        <v>29</v>
      </c>
      <c r="F496">
        <v>1</v>
      </c>
      <c r="G496">
        <v>17</v>
      </c>
      <c r="H496" t="s">
        <v>13</v>
      </c>
      <c r="I496">
        <v>835.67</v>
      </c>
    </row>
    <row r="497" spans="1:9" x14ac:dyDescent="0.25">
      <c r="A497">
        <v>766</v>
      </c>
      <c r="B497">
        <v>41</v>
      </c>
      <c r="C497" t="s">
        <v>45</v>
      </c>
      <c r="D497">
        <v>74198</v>
      </c>
      <c r="E497">
        <v>84</v>
      </c>
      <c r="F497">
        <v>1</v>
      </c>
      <c r="G497">
        <v>50</v>
      </c>
      <c r="H497" t="s">
        <v>17</v>
      </c>
      <c r="I497">
        <v>60.51</v>
      </c>
    </row>
    <row r="498" spans="1:9" x14ac:dyDescent="0.25">
      <c r="A498">
        <v>767</v>
      </c>
      <c r="B498">
        <v>45</v>
      </c>
      <c r="C498" t="s">
        <v>45</v>
      </c>
      <c r="D498">
        <v>62582</v>
      </c>
      <c r="E498">
        <v>1</v>
      </c>
      <c r="F498">
        <v>6</v>
      </c>
      <c r="G498">
        <v>46</v>
      </c>
      <c r="H498" t="s">
        <v>17</v>
      </c>
      <c r="I498">
        <v>298.11</v>
      </c>
    </row>
    <row r="499" spans="1:9" x14ac:dyDescent="0.25">
      <c r="A499">
        <v>768</v>
      </c>
      <c r="B499">
        <v>33</v>
      </c>
      <c r="C499" t="s">
        <v>45</v>
      </c>
      <c r="D499">
        <v>92798</v>
      </c>
      <c r="E499">
        <v>80</v>
      </c>
      <c r="F499">
        <v>3</v>
      </c>
      <c r="G499">
        <v>44</v>
      </c>
      <c r="H499" t="s">
        <v>16</v>
      </c>
      <c r="I499">
        <v>367.85</v>
      </c>
    </row>
    <row r="500" spans="1:9" x14ac:dyDescent="0.25">
      <c r="A500">
        <v>771</v>
      </c>
      <c r="B500">
        <v>55</v>
      </c>
      <c r="C500" t="s">
        <v>45</v>
      </c>
      <c r="D500">
        <v>53069</v>
      </c>
      <c r="E500">
        <v>3</v>
      </c>
      <c r="F500">
        <v>10</v>
      </c>
      <c r="G500">
        <v>43</v>
      </c>
      <c r="H500" t="s">
        <v>17</v>
      </c>
      <c r="I500">
        <v>777.97</v>
      </c>
    </row>
    <row r="501" spans="1:9" x14ac:dyDescent="0.25">
      <c r="A501">
        <v>783</v>
      </c>
      <c r="B501">
        <v>39</v>
      </c>
      <c r="C501" t="s">
        <v>45</v>
      </c>
      <c r="D501">
        <v>71987</v>
      </c>
      <c r="E501">
        <v>42</v>
      </c>
      <c r="F501">
        <v>5</v>
      </c>
      <c r="G501">
        <v>35</v>
      </c>
      <c r="H501" t="s">
        <v>17</v>
      </c>
      <c r="I501">
        <v>196.61</v>
      </c>
    </row>
    <row r="502" spans="1:9" x14ac:dyDescent="0.25">
      <c r="A502">
        <v>784</v>
      </c>
      <c r="B502">
        <v>47</v>
      </c>
      <c r="C502" t="s">
        <v>45</v>
      </c>
      <c r="D502">
        <v>64229</v>
      </c>
      <c r="E502">
        <v>74</v>
      </c>
      <c r="F502">
        <v>5</v>
      </c>
      <c r="G502">
        <v>22</v>
      </c>
      <c r="H502" t="s">
        <v>16</v>
      </c>
      <c r="I502">
        <v>438.95</v>
      </c>
    </row>
    <row r="503" spans="1:9" x14ac:dyDescent="0.25">
      <c r="A503">
        <v>787</v>
      </c>
      <c r="B503">
        <v>57</v>
      </c>
      <c r="C503" t="s">
        <v>45</v>
      </c>
      <c r="D503">
        <v>56547</v>
      </c>
      <c r="E503">
        <v>65</v>
      </c>
      <c r="F503">
        <v>10</v>
      </c>
      <c r="G503">
        <v>43</v>
      </c>
      <c r="H503" t="s">
        <v>16</v>
      </c>
      <c r="I503">
        <v>686.83</v>
      </c>
    </row>
    <row r="504" spans="1:9" x14ac:dyDescent="0.25">
      <c r="A504">
        <v>812</v>
      </c>
      <c r="B504">
        <v>53</v>
      </c>
      <c r="C504" t="s">
        <v>45</v>
      </c>
      <c r="D504">
        <v>76842</v>
      </c>
      <c r="E504">
        <v>73</v>
      </c>
      <c r="F504">
        <v>6</v>
      </c>
      <c r="G504">
        <v>35</v>
      </c>
      <c r="H504" t="s">
        <v>13</v>
      </c>
      <c r="I504">
        <v>701.61</v>
      </c>
    </row>
    <row r="505" spans="1:9" x14ac:dyDescent="0.25">
      <c r="A505">
        <v>814</v>
      </c>
      <c r="B505">
        <v>56</v>
      </c>
      <c r="C505" t="s">
        <v>45</v>
      </c>
      <c r="D505">
        <v>145028</v>
      </c>
      <c r="E505">
        <v>2</v>
      </c>
      <c r="F505">
        <v>10</v>
      </c>
      <c r="G505">
        <v>32</v>
      </c>
      <c r="H505" t="s">
        <v>13</v>
      </c>
      <c r="I505">
        <v>849.56</v>
      </c>
    </row>
    <row r="506" spans="1:9" x14ac:dyDescent="0.25">
      <c r="A506">
        <v>816</v>
      </c>
      <c r="B506">
        <v>50</v>
      </c>
      <c r="C506" t="s">
        <v>45</v>
      </c>
      <c r="D506">
        <v>143612</v>
      </c>
      <c r="E506">
        <v>71</v>
      </c>
      <c r="F506">
        <v>9</v>
      </c>
      <c r="G506">
        <v>28</v>
      </c>
      <c r="H506" t="s">
        <v>16</v>
      </c>
      <c r="I506">
        <v>372.69</v>
      </c>
    </row>
    <row r="507" spans="1:9" x14ac:dyDescent="0.25">
      <c r="A507">
        <v>819</v>
      </c>
      <c r="B507">
        <v>46</v>
      </c>
      <c r="C507" t="s">
        <v>45</v>
      </c>
      <c r="D507">
        <v>58692</v>
      </c>
      <c r="E507">
        <v>2</v>
      </c>
      <c r="F507">
        <v>9</v>
      </c>
      <c r="G507">
        <v>22</v>
      </c>
      <c r="H507" t="s">
        <v>13</v>
      </c>
      <c r="I507">
        <v>230.66</v>
      </c>
    </row>
    <row r="508" spans="1:9" x14ac:dyDescent="0.25">
      <c r="A508">
        <v>821</v>
      </c>
      <c r="B508">
        <v>41</v>
      </c>
      <c r="C508" t="s">
        <v>45</v>
      </c>
      <c r="D508">
        <v>37547</v>
      </c>
      <c r="E508">
        <v>72</v>
      </c>
      <c r="F508">
        <v>3</v>
      </c>
      <c r="G508">
        <v>24</v>
      </c>
      <c r="H508" t="s">
        <v>16</v>
      </c>
      <c r="I508">
        <v>897.46</v>
      </c>
    </row>
    <row r="509" spans="1:9" x14ac:dyDescent="0.25">
      <c r="A509">
        <v>832</v>
      </c>
      <c r="B509">
        <v>69</v>
      </c>
      <c r="C509" t="s">
        <v>45</v>
      </c>
      <c r="D509">
        <v>81964</v>
      </c>
      <c r="E509">
        <v>22</v>
      </c>
      <c r="F509">
        <v>1</v>
      </c>
      <c r="G509">
        <v>3</v>
      </c>
      <c r="H509" t="s">
        <v>13</v>
      </c>
      <c r="I509">
        <v>839.2</v>
      </c>
    </row>
    <row r="510" spans="1:9" x14ac:dyDescent="0.25">
      <c r="A510">
        <v>836</v>
      </c>
      <c r="B510">
        <v>30</v>
      </c>
      <c r="C510" t="s">
        <v>45</v>
      </c>
      <c r="D510">
        <v>42089</v>
      </c>
      <c r="E510">
        <v>29</v>
      </c>
      <c r="F510">
        <v>3</v>
      </c>
      <c r="G510">
        <v>3</v>
      </c>
      <c r="H510" t="s">
        <v>13</v>
      </c>
      <c r="I510">
        <v>536.52</v>
      </c>
    </row>
    <row r="511" spans="1:9" x14ac:dyDescent="0.25">
      <c r="A511">
        <v>843</v>
      </c>
      <c r="B511">
        <v>50</v>
      </c>
      <c r="C511" t="s">
        <v>45</v>
      </c>
      <c r="D511">
        <v>149578</v>
      </c>
      <c r="E511">
        <v>28</v>
      </c>
      <c r="F511">
        <v>2</v>
      </c>
      <c r="G511">
        <v>39</v>
      </c>
      <c r="H511" t="s">
        <v>13</v>
      </c>
      <c r="I511">
        <v>839.34</v>
      </c>
    </row>
    <row r="512" spans="1:9" x14ac:dyDescent="0.25">
      <c r="A512">
        <v>848</v>
      </c>
      <c r="B512">
        <v>60</v>
      </c>
      <c r="C512" t="s">
        <v>45</v>
      </c>
      <c r="D512">
        <v>111784</v>
      </c>
      <c r="E512">
        <v>31</v>
      </c>
      <c r="F512">
        <v>1</v>
      </c>
      <c r="G512">
        <v>14</v>
      </c>
      <c r="H512" t="s">
        <v>17</v>
      </c>
      <c r="I512">
        <v>122.12</v>
      </c>
    </row>
    <row r="513" spans="1:9" x14ac:dyDescent="0.25">
      <c r="A513">
        <v>851</v>
      </c>
      <c r="B513">
        <v>51</v>
      </c>
      <c r="C513" t="s">
        <v>45</v>
      </c>
      <c r="D513">
        <v>59566</v>
      </c>
      <c r="E513">
        <v>25</v>
      </c>
      <c r="F513">
        <v>5</v>
      </c>
      <c r="G513">
        <v>22</v>
      </c>
      <c r="H513" t="s">
        <v>16</v>
      </c>
      <c r="I513">
        <v>847.03</v>
      </c>
    </row>
    <row r="514" spans="1:9" x14ac:dyDescent="0.25">
      <c r="A514">
        <v>853</v>
      </c>
      <c r="B514">
        <v>22</v>
      </c>
      <c r="C514" t="s">
        <v>45</v>
      </c>
      <c r="D514">
        <v>120644</v>
      </c>
      <c r="E514">
        <v>75</v>
      </c>
      <c r="F514">
        <v>1</v>
      </c>
      <c r="G514">
        <v>4</v>
      </c>
      <c r="H514" t="s">
        <v>17</v>
      </c>
      <c r="I514">
        <v>456.11</v>
      </c>
    </row>
    <row r="515" spans="1:9" x14ac:dyDescent="0.25">
      <c r="A515">
        <v>856</v>
      </c>
      <c r="B515">
        <v>45</v>
      </c>
      <c r="C515" t="s">
        <v>45</v>
      </c>
      <c r="D515">
        <v>135627</v>
      </c>
      <c r="E515">
        <v>67</v>
      </c>
      <c r="F515">
        <v>2</v>
      </c>
      <c r="G515">
        <v>46</v>
      </c>
      <c r="H515" t="s">
        <v>16</v>
      </c>
      <c r="I515">
        <v>524.16</v>
      </c>
    </row>
    <row r="516" spans="1:9" x14ac:dyDescent="0.25">
      <c r="A516">
        <v>861</v>
      </c>
      <c r="B516">
        <v>21</v>
      </c>
      <c r="C516" t="s">
        <v>45</v>
      </c>
      <c r="D516">
        <v>145884</v>
      </c>
      <c r="E516">
        <v>3</v>
      </c>
      <c r="F516">
        <v>4</v>
      </c>
      <c r="G516">
        <v>25</v>
      </c>
      <c r="H516" t="s">
        <v>13</v>
      </c>
      <c r="I516">
        <v>676.93</v>
      </c>
    </row>
    <row r="517" spans="1:9" x14ac:dyDescent="0.25">
      <c r="A517">
        <v>863</v>
      </c>
      <c r="B517">
        <v>42</v>
      </c>
      <c r="C517" t="s">
        <v>45</v>
      </c>
      <c r="D517">
        <v>77292</v>
      </c>
      <c r="E517">
        <v>73</v>
      </c>
      <c r="F517">
        <v>10</v>
      </c>
      <c r="G517">
        <v>43</v>
      </c>
      <c r="H517" t="s">
        <v>16</v>
      </c>
      <c r="I517">
        <v>787.66</v>
      </c>
    </row>
    <row r="518" spans="1:9" x14ac:dyDescent="0.25">
      <c r="A518">
        <v>865</v>
      </c>
      <c r="B518">
        <v>57</v>
      </c>
      <c r="C518" t="s">
        <v>45</v>
      </c>
      <c r="D518">
        <v>106632</v>
      </c>
      <c r="E518">
        <v>26</v>
      </c>
      <c r="F518">
        <v>1</v>
      </c>
      <c r="G518">
        <v>17</v>
      </c>
      <c r="H518" t="s">
        <v>16</v>
      </c>
      <c r="I518">
        <v>610.98</v>
      </c>
    </row>
    <row r="519" spans="1:9" x14ac:dyDescent="0.25">
      <c r="A519">
        <v>868</v>
      </c>
      <c r="B519">
        <v>51</v>
      </c>
      <c r="C519" t="s">
        <v>45</v>
      </c>
      <c r="D519">
        <v>83467</v>
      </c>
      <c r="E519">
        <v>83</v>
      </c>
      <c r="F519">
        <v>1</v>
      </c>
      <c r="G519">
        <v>19</v>
      </c>
      <c r="H519" t="s">
        <v>17</v>
      </c>
      <c r="I519">
        <v>30.88</v>
      </c>
    </row>
    <row r="520" spans="1:9" x14ac:dyDescent="0.25">
      <c r="A520">
        <v>870</v>
      </c>
      <c r="B520">
        <v>57</v>
      </c>
      <c r="C520" t="s">
        <v>45</v>
      </c>
      <c r="D520">
        <v>112212</v>
      </c>
      <c r="E520">
        <v>6</v>
      </c>
      <c r="F520">
        <v>6</v>
      </c>
      <c r="G520">
        <v>44</v>
      </c>
      <c r="H520" t="s">
        <v>13</v>
      </c>
      <c r="I520">
        <v>312.64</v>
      </c>
    </row>
    <row r="521" spans="1:9" x14ac:dyDescent="0.25">
      <c r="A521">
        <v>880</v>
      </c>
      <c r="B521">
        <v>59</v>
      </c>
      <c r="C521" t="s">
        <v>45</v>
      </c>
      <c r="D521">
        <v>97355</v>
      </c>
      <c r="E521">
        <v>63</v>
      </c>
      <c r="F521">
        <v>2</v>
      </c>
      <c r="G521">
        <v>22</v>
      </c>
      <c r="H521" t="s">
        <v>16</v>
      </c>
      <c r="I521">
        <v>329.18</v>
      </c>
    </row>
    <row r="522" spans="1:9" x14ac:dyDescent="0.25">
      <c r="A522">
        <v>883</v>
      </c>
      <c r="B522">
        <v>62</v>
      </c>
      <c r="C522" t="s">
        <v>45</v>
      </c>
      <c r="D522">
        <v>97909</v>
      </c>
      <c r="E522">
        <v>100</v>
      </c>
      <c r="F522">
        <v>1</v>
      </c>
      <c r="G522">
        <v>5</v>
      </c>
      <c r="H522" t="s">
        <v>13</v>
      </c>
      <c r="I522">
        <v>439.63</v>
      </c>
    </row>
    <row r="523" spans="1:9" x14ac:dyDescent="0.25">
      <c r="A523">
        <v>890</v>
      </c>
      <c r="B523">
        <v>60</v>
      </c>
      <c r="C523" t="s">
        <v>45</v>
      </c>
      <c r="D523">
        <v>73059</v>
      </c>
      <c r="E523">
        <v>77</v>
      </c>
      <c r="F523">
        <v>3</v>
      </c>
      <c r="G523">
        <v>31</v>
      </c>
      <c r="H523" t="s">
        <v>17</v>
      </c>
      <c r="I523">
        <v>581.15</v>
      </c>
    </row>
    <row r="524" spans="1:9" x14ac:dyDescent="0.25">
      <c r="A524">
        <v>898</v>
      </c>
      <c r="B524">
        <v>64</v>
      </c>
      <c r="C524" t="s">
        <v>45</v>
      </c>
      <c r="D524">
        <v>82140</v>
      </c>
      <c r="E524">
        <v>57</v>
      </c>
      <c r="F524">
        <v>3</v>
      </c>
      <c r="G524">
        <v>7</v>
      </c>
      <c r="H524" t="s">
        <v>13</v>
      </c>
      <c r="I524">
        <v>97.97</v>
      </c>
    </row>
    <row r="525" spans="1:9" x14ac:dyDescent="0.25">
      <c r="A525">
        <v>907</v>
      </c>
      <c r="B525">
        <v>62</v>
      </c>
      <c r="C525" t="s">
        <v>45</v>
      </c>
      <c r="D525">
        <v>113706</v>
      </c>
      <c r="E525">
        <v>19</v>
      </c>
      <c r="F525">
        <v>1</v>
      </c>
      <c r="G525">
        <v>13</v>
      </c>
      <c r="H525" t="s">
        <v>13</v>
      </c>
      <c r="I525">
        <v>427.68</v>
      </c>
    </row>
    <row r="526" spans="1:9" x14ac:dyDescent="0.25">
      <c r="A526">
        <v>910</v>
      </c>
      <c r="B526">
        <v>55</v>
      </c>
      <c r="C526" t="s">
        <v>45</v>
      </c>
      <c r="D526">
        <v>45562</v>
      </c>
      <c r="E526">
        <v>68</v>
      </c>
      <c r="F526">
        <v>3</v>
      </c>
      <c r="G526">
        <v>30</v>
      </c>
      <c r="H526" t="s">
        <v>16</v>
      </c>
      <c r="I526">
        <v>628.34</v>
      </c>
    </row>
    <row r="527" spans="1:9" x14ac:dyDescent="0.25">
      <c r="A527">
        <v>919</v>
      </c>
      <c r="B527">
        <v>28</v>
      </c>
      <c r="C527" t="s">
        <v>45</v>
      </c>
      <c r="D527">
        <v>57107</v>
      </c>
      <c r="E527">
        <v>82</v>
      </c>
      <c r="F527">
        <v>5</v>
      </c>
      <c r="G527">
        <v>2</v>
      </c>
      <c r="H527" t="s">
        <v>13</v>
      </c>
      <c r="I527">
        <v>271.17</v>
      </c>
    </row>
    <row r="528" spans="1:9" x14ac:dyDescent="0.25">
      <c r="A528">
        <v>925</v>
      </c>
      <c r="B528">
        <v>53</v>
      </c>
      <c r="C528" t="s">
        <v>45</v>
      </c>
      <c r="D528">
        <v>32539</v>
      </c>
      <c r="E528">
        <v>22</v>
      </c>
      <c r="F528">
        <v>6</v>
      </c>
      <c r="G528">
        <v>42</v>
      </c>
      <c r="H528" t="s">
        <v>13</v>
      </c>
      <c r="I528">
        <v>536.05999999999995</v>
      </c>
    </row>
    <row r="529" spans="1:9" x14ac:dyDescent="0.25">
      <c r="A529">
        <v>927</v>
      </c>
      <c r="B529">
        <v>46</v>
      </c>
      <c r="C529" t="s">
        <v>45</v>
      </c>
      <c r="D529">
        <v>46368</v>
      </c>
      <c r="E529">
        <v>11</v>
      </c>
      <c r="F529">
        <v>7</v>
      </c>
      <c r="G529">
        <v>17</v>
      </c>
      <c r="H529" t="s">
        <v>13</v>
      </c>
      <c r="I529">
        <v>869.05</v>
      </c>
    </row>
    <row r="530" spans="1:9" x14ac:dyDescent="0.25">
      <c r="A530">
        <v>930</v>
      </c>
      <c r="B530">
        <v>42</v>
      </c>
      <c r="C530" t="s">
        <v>45</v>
      </c>
      <c r="D530">
        <v>128064</v>
      </c>
      <c r="E530">
        <v>8</v>
      </c>
      <c r="F530">
        <v>8</v>
      </c>
      <c r="G530">
        <v>44</v>
      </c>
      <c r="H530" t="s">
        <v>16</v>
      </c>
      <c r="I530">
        <v>316.5</v>
      </c>
    </row>
    <row r="531" spans="1:9" x14ac:dyDescent="0.25">
      <c r="A531">
        <v>935</v>
      </c>
      <c r="B531">
        <v>48</v>
      </c>
      <c r="C531" t="s">
        <v>45</v>
      </c>
      <c r="D531">
        <v>129592</v>
      </c>
      <c r="E531">
        <v>2</v>
      </c>
      <c r="F531">
        <v>3</v>
      </c>
      <c r="G531">
        <v>26</v>
      </c>
      <c r="H531" t="s">
        <v>17</v>
      </c>
      <c r="I531">
        <v>748.46</v>
      </c>
    </row>
    <row r="532" spans="1:9" x14ac:dyDescent="0.25">
      <c r="A532">
        <v>938</v>
      </c>
      <c r="B532">
        <v>64</v>
      </c>
      <c r="C532" t="s">
        <v>45</v>
      </c>
      <c r="D532">
        <v>65498</v>
      </c>
      <c r="E532">
        <v>23</v>
      </c>
      <c r="F532">
        <v>5</v>
      </c>
      <c r="G532">
        <v>24</v>
      </c>
      <c r="H532" t="s">
        <v>17</v>
      </c>
      <c r="I532">
        <v>351.94</v>
      </c>
    </row>
    <row r="533" spans="1:9" x14ac:dyDescent="0.25">
      <c r="A533">
        <v>947</v>
      </c>
      <c r="B533">
        <v>60</v>
      </c>
      <c r="C533" t="s">
        <v>45</v>
      </c>
      <c r="D533">
        <v>111493</v>
      </c>
      <c r="E533">
        <v>40</v>
      </c>
      <c r="F533">
        <v>10</v>
      </c>
      <c r="G533">
        <v>8</v>
      </c>
      <c r="H533" t="s">
        <v>16</v>
      </c>
      <c r="I533">
        <v>190.34</v>
      </c>
    </row>
    <row r="534" spans="1:9" x14ac:dyDescent="0.25">
      <c r="A534">
        <v>950</v>
      </c>
      <c r="B534">
        <v>45</v>
      </c>
      <c r="C534" t="s">
        <v>45</v>
      </c>
      <c r="D534">
        <v>114390</v>
      </c>
      <c r="E534">
        <v>38</v>
      </c>
      <c r="F534">
        <v>3</v>
      </c>
      <c r="G534">
        <v>9</v>
      </c>
      <c r="H534" t="s">
        <v>16</v>
      </c>
      <c r="I534">
        <v>663.25</v>
      </c>
    </row>
    <row r="535" spans="1:9" x14ac:dyDescent="0.25">
      <c r="A535">
        <v>956</v>
      </c>
      <c r="B535">
        <v>60</v>
      </c>
      <c r="C535" t="s">
        <v>45</v>
      </c>
      <c r="D535">
        <v>48802</v>
      </c>
      <c r="E535">
        <v>68</v>
      </c>
      <c r="F535">
        <v>1</v>
      </c>
      <c r="G535">
        <v>40</v>
      </c>
      <c r="H535" t="s">
        <v>16</v>
      </c>
      <c r="I535">
        <v>296.76</v>
      </c>
    </row>
    <row r="536" spans="1:9" x14ac:dyDescent="0.25">
      <c r="A536">
        <v>966</v>
      </c>
      <c r="B536">
        <v>58</v>
      </c>
      <c r="C536" t="s">
        <v>45</v>
      </c>
      <c r="D536">
        <v>133888</v>
      </c>
      <c r="E536">
        <v>92</v>
      </c>
      <c r="F536">
        <v>10</v>
      </c>
      <c r="G536">
        <v>14</v>
      </c>
      <c r="H536" t="s">
        <v>13</v>
      </c>
      <c r="I536">
        <v>628.29999999999995</v>
      </c>
    </row>
    <row r="537" spans="1:9" x14ac:dyDescent="0.25">
      <c r="A537">
        <v>982</v>
      </c>
      <c r="B537">
        <v>59</v>
      </c>
      <c r="C537" t="s">
        <v>45</v>
      </c>
      <c r="D537">
        <v>87884</v>
      </c>
      <c r="E537">
        <v>79</v>
      </c>
      <c r="F537">
        <v>9</v>
      </c>
      <c r="G537">
        <v>28</v>
      </c>
      <c r="H537" t="s">
        <v>16</v>
      </c>
      <c r="I537">
        <v>491.55</v>
      </c>
    </row>
    <row r="538" spans="1:9" x14ac:dyDescent="0.25">
      <c r="A538">
        <v>986</v>
      </c>
      <c r="B538">
        <v>66</v>
      </c>
      <c r="C538" t="s">
        <v>45</v>
      </c>
      <c r="D538">
        <v>78149</v>
      </c>
      <c r="E538">
        <v>2</v>
      </c>
      <c r="F538">
        <v>10</v>
      </c>
      <c r="G538">
        <v>9</v>
      </c>
      <c r="H538" t="s">
        <v>13</v>
      </c>
      <c r="I538">
        <v>579.27</v>
      </c>
    </row>
    <row r="539" spans="1:9" x14ac:dyDescent="0.25">
      <c r="A539">
        <v>997</v>
      </c>
      <c r="B539">
        <v>23</v>
      </c>
      <c r="C539" t="s">
        <v>45</v>
      </c>
      <c r="D539">
        <v>65337</v>
      </c>
      <c r="E539">
        <v>76</v>
      </c>
      <c r="F539">
        <v>10</v>
      </c>
      <c r="G539">
        <v>23</v>
      </c>
      <c r="H539" t="s">
        <v>16</v>
      </c>
      <c r="I539">
        <v>632.83000000000004</v>
      </c>
    </row>
    <row r="540" spans="1:9" x14ac:dyDescent="0.25">
      <c r="A540">
        <v>14</v>
      </c>
      <c r="B540">
        <v>64</v>
      </c>
      <c r="C540" t="s">
        <v>45</v>
      </c>
      <c r="D540">
        <v>33018</v>
      </c>
      <c r="E540">
        <v>46</v>
      </c>
      <c r="F540">
        <v>4</v>
      </c>
      <c r="G540">
        <v>3</v>
      </c>
      <c r="H540" t="s">
        <v>15</v>
      </c>
      <c r="I540">
        <v>221.35</v>
      </c>
    </row>
    <row r="541" spans="1:9" x14ac:dyDescent="0.25">
      <c r="A541">
        <v>23</v>
      </c>
      <c r="B541">
        <v>36</v>
      </c>
      <c r="C541" t="s">
        <v>45</v>
      </c>
      <c r="D541">
        <v>85473</v>
      </c>
      <c r="E541">
        <v>68</v>
      </c>
      <c r="F541">
        <v>1</v>
      </c>
      <c r="G541">
        <v>16</v>
      </c>
      <c r="H541" t="s">
        <v>15</v>
      </c>
      <c r="I541">
        <v>806.55</v>
      </c>
    </row>
    <row r="542" spans="1:9" x14ac:dyDescent="0.25">
      <c r="A542">
        <v>35</v>
      </c>
      <c r="B542">
        <v>45</v>
      </c>
      <c r="C542" t="s">
        <v>45</v>
      </c>
      <c r="D542">
        <v>43138</v>
      </c>
      <c r="E542">
        <v>54</v>
      </c>
      <c r="F542">
        <v>10</v>
      </c>
      <c r="G542">
        <v>48</v>
      </c>
      <c r="H542" t="s">
        <v>15</v>
      </c>
      <c r="I542">
        <v>639.22</v>
      </c>
    </row>
    <row r="543" spans="1:9" x14ac:dyDescent="0.25">
      <c r="A543">
        <v>49</v>
      </c>
      <c r="B543">
        <v>19</v>
      </c>
      <c r="C543" t="s">
        <v>45</v>
      </c>
      <c r="D543">
        <v>85309</v>
      </c>
      <c r="E543">
        <v>65</v>
      </c>
      <c r="F543">
        <v>5</v>
      </c>
      <c r="G543">
        <v>10</v>
      </c>
      <c r="H543" t="s">
        <v>15</v>
      </c>
      <c r="I543">
        <v>28.55</v>
      </c>
    </row>
    <row r="544" spans="1:9" x14ac:dyDescent="0.25">
      <c r="A544">
        <v>56</v>
      </c>
      <c r="B544">
        <v>42</v>
      </c>
      <c r="C544" t="s">
        <v>45</v>
      </c>
      <c r="D544">
        <v>73466</v>
      </c>
      <c r="E544">
        <v>50</v>
      </c>
      <c r="F544">
        <v>4</v>
      </c>
      <c r="G544">
        <v>13</v>
      </c>
      <c r="H544" t="s">
        <v>15</v>
      </c>
      <c r="I544">
        <v>903.07</v>
      </c>
    </row>
    <row r="545" spans="1:9" x14ac:dyDescent="0.25">
      <c r="A545">
        <v>65</v>
      </c>
      <c r="B545">
        <v>27</v>
      </c>
      <c r="C545" t="s">
        <v>45</v>
      </c>
      <c r="D545">
        <v>90557</v>
      </c>
      <c r="E545">
        <v>36</v>
      </c>
      <c r="F545">
        <v>2</v>
      </c>
      <c r="G545">
        <v>2</v>
      </c>
      <c r="H545" t="s">
        <v>15</v>
      </c>
      <c r="I545">
        <v>494.55</v>
      </c>
    </row>
    <row r="546" spans="1:9" x14ac:dyDescent="0.25">
      <c r="A546">
        <v>70</v>
      </c>
      <c r="B546">
        <v>49</v>
      </c>
      <c r="C546" t="s">
        <v>45</v>
      </c>
      <c r="D546">
        <v>40936</v>
      </c>
      <c r="E546">
        <v>32</v>
      </c>
      <c r="F546">
        <v>9</v>
      </c>
      <c r="G546">
        <v>49</v>
      </c>
      <c r="H546" t="s">
        <v>15</v>
      </c>
      <c r="I546">
        <v>495.62</v>
      </c>
    </row>
    <row r="547" spans="1:9" x14ac:dyDescent="0.25">
      <c r="A547">
        <v>95</v>
      </c>
      <c r="B547">
        <v>30</v>
      </c>
      <c r="C547" t="s">
        <v>45</v>
      </c>
      <c r="D547">
        <v>75926</v>
      </c>
      <c r="E547">
        <v>97</v>
      </c>
      <c r="F547">
        <v>10</v>
      </c>
      <c r="G547">
        <v>19</v>
      </c>
      <c r="H547" t="s">
        <v>15</v>
      </c>
      <c r="I547">
        <v>670.87</v>
      </c>
    </row>
    <row r="548" spans="1:9" x14ac:dyDescent="0.25">
      <c r="A548">
        <v>99</v>
      </c>
      <c r="B548">
        <v>21</v>
      </c>
      <c r="C548" t="s">
        <v>45</v>
      </c>
      <c r="D548">
        <v>105024</v>
      </c>
      <c r="E548">
        <v>45</v>
      </c>
      <c r="F548">
        <v>3</v>
      </c>
      <c r="G548">
        <v>32</v>
      </c>
      <c r="H548" t="s">
        <v>15</v>
      </c>
      <c r="I548">
        <v>795.84</v>
      </c>
    </row>
    <row r="549" spans="1:9" x14ac:dyDescent="0.25">
      <c r="A549">
        <v>107</v>
      </c>
      <c r="B549">
        <v>19</v>
      </c>
      <c r="C549" t="s">
        <v>45</v>
      </c>
      <c r="D549">
        <v>37993</v>
      </c>
      <c r="E549">
        <v>59</v>
      </c>
      <c r="F549">
        <v>6</v>
      </c>
      <c r="G549">
        <v>30</v>
      </c>
      <c r="H549" t="s">
        <v>15</v>
      </c>
      <c r="I549">
        <v>873.8</v>
      </c>
    </row>
    <row r="550" spans="1:9" x14ac:dyDescent="0.25">
      <c r="A550">
        <v>123</v>
      </c>
      <c r="B550">
        <v>26</v>
      </c>
      <c r="C550" t="s">
        <v>45</v>
      </c>
      <c r="D550">
        <v>55515</v>
      </c>
      <c r="E550">
        <v>29</v>
      </c>
      <c r="F550">
        <v>9</v>
      </c>
      <c r="G550">
        <v>37</v>
      </c>
      <c r="H550" t="s">
        <v>15</v>
      </c>
      <c r="I550">
        <v>50.57</v>
      </c>
    </row>
    <row r="551" spans="1:9" x14ac:dyDescent="0.25">
      <c r="A551">
        <v>129</v>
      </c>
      <c r="B551">
        <v>67</v>
      </c>
      <c r="C551" t="s">
        <v>45</v>
      </c>
      <c r="D551">
        <v>40385</v>
      </c>
      <c r="E551">
        <v>64</v>
      </c>
      <c r="F551">
        <v>1</v>
      </c>
      <c r="G551">
        <v>17</v>
      </c>
      <c r="H551" t="s">
        <v>15</v>
      </c>
      <c r="I551">
        <v>957.06</v>
      </c>
    </row>
    <row r="552" spans="1:9" x14ac:dyDescent="0.25">
      <c r="A552">
        <v>162</v>
      </c>
      <c r="B552">
        <v>64</v>
      </c>
      <c r="C552" t="s">
        <v>45</v>
      </c>
      <c r="D552">
        <v>122472</v>
      </c>
      <c r="E552">
        <v>75</v>
      </c>
      <c r="F552">
        <v>1</v>
      </c>
      <c r="G552">
        <v>17</v>
      </c>
      <c r="H552" t="s">
        <v>15</v>
      </c>
      <c r="I552">
        <v>771.33</v>
      </c>
    </row>
    <row r="553" spans="1:9" x14ac:dyDescent="0.25">
      <c r="A553">
        <v>164</v>
      </c>
      <c r="B553">
        <v>60</v>
      </c>
      <c r="C553" t="s">
        <v>45</v>
      </c>
      <c r="D553">
        <v>98771</v>
      </c>
      <c r="E553">
        <v>37</v>
      </c>
      <c r="F553">
        <v>8</v>
      </c>
      <c r="G553">
        <v>42</v>
      </c>
      <c r="H553" t="s">
        <v>15</v>
      </c>
      <c r="I553">
        <v>520.37</v>
      </c>
    </row>
    <row r="554" spans="1:9" x14ac:dyDescent="0.25">
      <c r="A554">
        <v>236</v>
      </c>
      <c r="B554">
        <v>42</v>
      </c>
      <c r="C554" t="s">
        <v>45</v>
      </c>
      <c r="D554">
        <v>66495</v>
      </c>
      <c r="E554">
        <v>79</v>
      </c>
      <c r="F554">
        <v>9</v>
      </c>
      <c r="G554">
        <v>31</v>
      </c>
      <c r="H554" t="s">
        <v>15</v>
      </c>
      <c r="I554">
        <v>537.66</v>
      </c>
    </row>
    <row r="555" spans="1:9" x14ac:dyDescent="0.25">
      <c r="A555">
        <v>247</v>
      </c>
      <c r="B555">
        <v>54</v>
      </c>
      <c r="C555" t="s">
        <v>45</v>
      </c>
      <c r="D555">
        <v>48896</v>
      </c>
      <c r="E555">
        <v>28</v>
      </c>
      <c r="F555">
        <v>9</v>
      </c>
      <c r="G555">
        <v>25</v>
      </c>
      <c r="H555" t="s">
        <v>15</v>
      </c>
      <c r="I555">
        <v>244.79</v>
      </c>
    </row>
    <row r="556" spans="1:9" x14ac:dyDescent="0.25">
      <c r="A556">
        <v>248</v>
      </c>
      <c r="B556">
        <v>28</v>
      </c>
      <c r="C556" t="s">
        <v>45</v>
      </c>
      <c r="D556">
        <v>48383</v>
      </c>
      <c r="E556">
        <v>57</v>
      </c>
      <c r="F556">
        <v>8</v>
      </c>
      <c r="G556">
        <v>35</v>
      </c>
      <c r="H556" t="s">
        <v>15</v>
      </c>
      <c r="I556">
        <v>17.97</v>
      </c>
    </row>
    <row r="557" spans="1:9" x14ac:dyDescent="0.25">
      <c r="A557">
        <v>261</v>
      </c>
      <c r="B557">
        <v>39</v>
      </c>
      <c r="C557" t="s">
        <v>45</v>
      </c>
      <c r="D557">
        <v>117432</v>
      </c>
      <c r="E557">
        <v>96</v>
      </c>
      <c r="F557">
        <v>7</v>
      </c>
      <c r="G557">
        <v>41</v>
      </c>
      <c r="H557" t="s">
        <v>15</v>
      </c>
      <c r="I557">
        <v>25.44</v>
      </c>
    </row>
    <row r="558" spans="1:9" x14ac:dyDescent="0.25">
      <c r="A558">
        <v>293</v>
      </c>
      <c r="B558">
        <v>45</v>
      </c>
      <c r="C558" t="s">
        <v>45</v>
      </c>
      <c r="D558">
        <v>54819</v>
      </c>
      <c r="E558">
        <v>72</v>
      </c>
      <c r="F558">
        <v>3</v>
      </c>
      <c r="G558">
        <v>47</v>
      </c>
      <c r="H558" t="s">
        <v>15</v>
      </c>
      <c r="I558">
        <v>553.44000000000005</v>
      </c>
    </row>
    <row r="559" spans="1:9" x14ac:dyDescent="0.25">
      <c r="A559">
        <v>296</v>
      </c>
      <c r="B559">
        <v>56</v>
      </c>
      <c r="C559" t="s">
        <v>45</v>
      </c>
      <c r="D559">
        <v>129611</v>
      </c>
      <c r="E559">
        <v>23</v>
      </c>
      <c r="F559">
        <v>3</v>
      </c>
      <c r="G559">
        <v>48</v>
      </c>
      <c r="H559" t="s">
        <v>15</v>
      </c>
      <c r="I559">
        <v>98.85</v>
      </c>
    </row>
    <row r="560" spans="1:9" x14ac:dyDescent="0.25">
      <c r="A560">
        <v>332</v>
      </c>
      <c r="B560">
        <v>38</v>
      </c>
      <c r="C560" t="s">
        <v>45</v>
      </c>
      <c r="D560">
        <v>50518</v>
      </c>
      <c r="E560">
        <v>70</v>
      </c>
      <c r="F560">
        <v>1</v>
      </c>
      <c r="G560">
        <v>38</v>
      </c>
      <c r="H560" t="s">
        <v>15</v>
      </c>
      <c r="I560">
        <v>816.09</v>
      </c>
    </row>
    <row r="561" spans="1:9" x14ac:dyDescent="0.25">
      <c r="A561">
        <v>333</v>
      </c>
      <c r="B561">
        <v>21</v>
      </c>
      <c r="C561" t="s">
        <v>45</v>
      </c>
      <c r="D561">
        <v>126598</v>
      </c>
      <c r="E561">
        <v>14</v>
      </c>
      <c r="F561">
        <v>3</v>
      </c>
      <c r="G561">
        <v>1</v>
      </c>
      <c r="H561" t="s">
        <v>15</v>
      </c>
      <c r="I561">
        <v>505.98</v>
      </c>
    </row>
    <row r="562" spans="1:9" x14ac:dyDescent="0.25">
      <c r="A562">
        <v>354</v>
      </c>
      <c r="B562">
        <v>63</v>
      </c>
      <c r="C562" t="s">
        <v>45</v>
      </c>
      <c r="D562">
        <v>37003</v>
      </c>
      <c r="E562">
        <v>57</v>
      </c>
      <c r="F562">
        <v>4</v>
      </c>
      <c r="G562">
        <v>25</v>
      </c>
      <c r="H562" t="s">
        <v>15</v>
      </c>
      <c r="I562">
        <v>857.68</v>
      </c>
    </row>
    <row r="563" spans="1:9" x14ac:dyDescent="0.25">
      <c r="A563">
        <v>355</v>
      </c>
      <c r="B563">
        <v>38</v>
      </c>
      <c r="C563" t="s">
        <v>45</v>
      </c>
      <c r="D563">
        <v>81837</v>
      </c>
      <c r="E563">
        <v>68</v>
      </c>
      <c r="F563">
        <v>5</v>
      </c>
      <c r="G563">
        <v>6</v>
      </c>
      <c r="H563" t="s">
        <v>15</v>
      </c>
      <c r="I563">
        <v>349.35</v>
      </c>
    </row>
    <row r="564" spans="1:9" x14ac:dyDescent="0.25">
      <c r="A564">
        <v>364</v>
      </c>
      <c r="B564">
        <v>63</v>
      </c>
      <c r="C564" t="s">
        <v>45</v>
      </c>
      <c r="D564">
        <v>145117</v>
      </c>
      <c r="E564">
        <v>66</v>
      </c>
      <c r="F564">
        <v>7</v>
      </c>
      <c r="G564">
        <v>12</v>
      </c>
      <c r="H564" t="s">
        <v>15</v>
      </c>
      <c r="I564">
        <v>971.02</v>
      </c>
    </row>
    <row r="565" spans="1:9" x14ac:dyDescent="0.25">
      <c r="A565">
        <v>369</v>
      </c>
      <c r="B565">
        <v>63</v>
      </c>
      <c r="C565" t="s">
        <v>45</v>
      </c>
      <c r="D565">
        <v>77411</v>
      </c>
      <c r="E565">
        <v>20</v>
      </c>
      <c r="F565">
        <v>2</v>
      </c>
      <c r="G565">
        <v>37</v>
      </c>
      <c r="H565" t="s">
        <v>15</v>
      </c>
      <c r="I565">
        <v>648.38</v>
      </c>
    </row>
    <row r="566" spans="1:9" x14ac:dyDescent="0.25">
      <c r="A566">
        <v>374</v>
      </c>
      <c r="B566">
        <v>64</v>
      </c>
      <c r="C566" t="s">
        <v>45</v>
      </c>
      <c r="D566">
        <v>84380</v>
      </c>
      <c r="E566">
        <v>69</v>
      </c>
      <c r="F566">
        <v>10</v>
      </c>
      <c r="G566">
        <v>28</v>
      </c>
      <c r="H566" t="s">
        <v>15</v>
      </c>
      <c r="I566">
        <v>212.08</v>
      </c>
    </row>
    <row r="567" spans="1:9" x14ac:dyDescent="0.25">
      <c r="A567">
        <v>380</v>
      </c>
      <c r="B567">
        <v>59</v>
      </c>
      <c r="C567" t="s">
        <v>45</v>
      </c>
      <c r="D567">
        <v>140349</v>
      </c>
      <c r="E567">
        <v>75</v>
      </c>
      <c r="F567">
        <v>2</v>
      </c>
      <c r="G567">
        <v>6</v>
      </c>
      <c r="H567" t="s">
        <v>15</v>
      </c>
      <c r="I567">
        <v>383.64</v>
      </c>
    </row>
    <row r="568" spans="1:9" x14ac:dyDescent="0.25">
      <c r="A568">
        <v>389</v>
      </c>
      <c r="B568">
        <v>34</v>
      </c>
      <c r="C568" t="s">
        <v>45</v>
      </c>
      <c r="D568">
        <v>118622</v>
      </c>
      <c r="E568">
        <v>99</v>
      </c>
      <c r="F568">
        <v>4</v>
      </c>
      <c r="G568">
        <v>47</v>
      </c>
      <c r="H568" t="s">
        <v>15</v>
      </c>
      <c r="I568">
        <v>122.21</v>
      </c>
    </row>
    <row r="569" spans="1:9" x14ac:dyDescent="0.25">
      <c r="A569">
        <v>416</v>
      </c>
      <c r="B569">
        <v>38</v>
      </c>
      <c r="C569" t="s">
        <v>45</v>
      </c>
      <c r="D569">
        <v>51327</v>
      </c>
      <c r="E569">
        <v>62</v>
      </c>
      <c r="F569">
        <v>5</v>
      </c>
      <c r="G569">
        <v>24</v>
      </c>
      <c r="H569" t="s">
        <v>15</v>
      </c>
      <c r="I569">
        <v>645.42999999999995</v>
      </c>
    </row>
    <row r="570" spans="1:9" x14ac:dyDescent="0.25">
      <c r="A570">
        <v>436</v>
      </c>
      <c r="B570">
        <v>52</v>
      </c>
      <c r="C570" t="s">
        <v>45</v>
      </c>
      <c r="D570">
        <v>136827</v>
      </c>
      <c r="E570">
        <v>87</v>
      </c>
      <c r="F570">
        <v>5</v>
      </c>
      <c r="G570">
        <v>20</v>
      </c>
      <c r="H570" t="s">
        <v>15</v>
      </c>
      <c r="I570">
        <v>322.29000000000002</v>
      </c>
    </row>
    <row r="571" spans="1:9" x14ac:dyDescent="0.25">
      <c r="A571">
        <v>508</v>
      </c>
      <c r="B571">
        <v>48</v>
      </c>
      <c r="C571" t="s">
        <v>45</v>
      </c>
      <c r="D571">
        <v>72108</v>
      </c>
      <c r="E571">
        <v>85</v>
      </c>
      <c r="F571">
        <v>8</v>
      </c>
      <c r="G571">
        <v>13</v>
      </c>
      <c r="H571" t="s">
        <v>15</v>
      </c>
      <c r="I571">
        <v>486.58</v>
      </c>
    </row>
    <row r="572" spans="1:9" x14ac:dyDescent="0.25">
      <c r="A572">
        <v>509</v>
      </c>
      <c r="B572">
        <v>68</v>
      </c>
      <c r="C572" t="s">
        <v>45</v>
      </c>
      <c r="D572">
        <v>113760</v>
      </c>
      <c r="E572">
        <v>64</v>
      </c>
      <c r="F572">
        <v>2</v>
      </c>
      <c r="G572">
        <v>37</v>
      </c>
      <c r="H572" t="s">
        <v>15</v>
      </c>
      <c r="I572">
        <v>462.62</v>
      </c>
    </row>
    <row r="573" spans="1:9" x14ac:dyDescent="0.25">
      <c r="A573">
        <v>511</v>
      </c>
      <c r="B573">
        <v>24</v>
      </c>
      <c r="C573" t="s">
        <v>45</v>
      </c>
      <c r="D573">
        <v>109039</v>
      </c>
      <c r="E573">
        <v>71</v>
      </c>
      <c r="F573">
        <v>9</v>
      </c>
      <c r="G573">
        <v>41</v>
      </c>
      <c r="H573" t="s">
        <v>15</v>
      </c>
      <c r="I573">
        <v>606.17999999999995</v>
      </c>
    </row>
    <row r="574" spans="1:9" x14ac:dyDescent="0.25">
      <c r="A574">
        <v>533</v>
      </c>
      <c r="B574">
        <v>36</v>
      </c>
      <c r="C574" t="s">
        <v>45</v>
      </c>
      <c r="D574">
        <v>113794</v>
      </c>
      <c r="E574">
        <v>74</v>
      </c>
      <c r="F574">
        <v>1</v>
      </c>
      <c r="G574">
        <v>27</v>
      </c>
      <c r="H574" t="s">
        <v>15</v>
      </c>
      <c r="I574">
        <v>377.75</v>
      </c>
    </row>
    <row r="575" spans="1:9" x14ac:dyDescent="0.25">
      <c r="A575">
        <v>535</v>
      </c>
      <c r="B575">
        <v>46</v>
      </c>
      <c r="C575" t="s">
        <v>45</v>
      </c>
      <c r="D575">
        <v>61090</v>
      </c>
      <c r="E575">
        <v>3</v>
      </c>
      <c r="F575">
        <v>4</v>
      </c>
      <c r="G575">
        <v>3</v>
      </c>
      <c r="H575" t="s">
        <v>15</v>
      </c>
      <c r="I575">
        <v>213.68</v>
      </c>
    </row>
    <row r="576" spans="1:9" x14ac:dyDescent="0.25">
      <c r="A576">
        <v>555</v>
      </c>
      <c r="B576">
        <v>66</v>
      </c>
      <c r="C576" t="s">
        <v>45</v>
      </c>
      <c r="D576">
        <v>53345</v>
      </c>
      <c r="E576">
        <v>100</v>
      </c>
      <c r="F576">
        <v>4</v>
      </c>
      <c r="G576">
        <v>22</v>
      </c>
      <c r="H576" t="s">
        <v>15</v>
      </c>
      <c r="I576">
        <v>221.75</v>
      </c>
    </row>
    <row r="577" spans="1:9" x14ac:dyDescent="0.25">
      <c r="A577">
        <v>594</v>
      </c>
      <c r="B577">
        <v>29</v>
      </c>
      <c r="C577" t="s">
        <v>45</v>
      </c>
      <c r="D577">
        <v>98150</v>
      </c>
      <c r="E577">
        <v>42</v>
      </c>
      <c r="F577">
        <v>9</v>
      </c>
      <c r="G577">
        <v>34</v>
      </c>
      <c r="H577" t="s">
        <v>15</v>
      </c>
      <c r="I577">
        <v>324.11</v>
      </c>
    </row>
    <row r="578" spans="1:9" x14ac:dyDescent="0.25">
      <c r="A578">
        <v>618</v>
      </c>
      <c r="B578">
        <v>53</v>
      </c>
      <c r="C578" t="s">
        <v>45</v>
      </c>
      <c r="D578">
        <v>62024</v>
      </c>
      <c r="E578">
        <v>13</v>
      </c>
      <c r="F578">
        <v>2</v>
      </c>
      <c r="G578">
        <v>39</v>
      </c>
      <c r="H578" t="s">
        <v>15</v>
      </c>
      <c r="I578">
        <v>66.599999999999994</v>
      </c>
    </row>
    <row r="579" spans="1:9" x14ac:dyDescent="0.25">
      <c r="A579">
        <v>620</v>
      </c>
      <c r="B579">
        <v>53</v>
      </c>
      <c r="C579" t="s">
        <v>45</v>
      </c>
      <c r="D579">
        <v>50215</v>
      </c>
      <c r="E579">
        <v>92</v>
      </c>
      <c r="F579">
        <v>6</v>
      </c>
      <c r="G579">
        <v>48</v>
      </c>
      <c r="H579" t="s">
        <v>15</v>
      </c>
      <c r="I579">
        <v>814.52</v>
      </c>
    </row>
    <row r="580" spans="1:9" x14ac:dyDescent="0.25">
      <c r="A580">
        <v>622</v>
      </c>
      <c r="B580">
        <v>33</v>
      </c>
      <c r="C580" t="s">
        <v>45</v>
      </c>
      <c r="D580">
        <v>102269</v>
      </c>
      <c r="E580">
        <v>26</v>
      </c>
      <c r="F580">
        <v>8</v>
      </c>
      <c r="G580">
        <v>47</v>
      </c>
      <c r="H580" t="s">
        <v>15</v>
      </c>
      <c r="I580">
        <v>356.67</v>
      </c>
    </row>
    <row r="581" spans="1:9" x14ac:dyDescent="0.25">
      <c r="A581">
        <v>628</v>
      </c>
      <c r="B581">
        <v>39</v>
      </c>
      <c r="C581" t="s">
        <v>45</v>
      </c>
      <c r="D581">
        <v>108744</v>
      </c>
      <c r="E581">
        <v>63</v>
      </c>
      <c r="F581">
        <v>2</v>
      </c>
      <c r="G581">
        <v>23</v>
      </c>
      <c r="H581" t="s">
        <v>15</v>
      </c>
      <c r="I581">
        <v>411.86</v>
      </c>
    </row>
    <row r="582" spans="1:9" x14ac:dyDescent="0.25">
      <c r="A582">
        <v>641</v>
      </c>
      <c r="B582">
        <v>59</v>
      </c>
      <c r="C582" t="s">
        <v>45</v>
      </c>
      <c r="D582">
        <v>141667</v>
      </c>
      <c r="E582">
        <v>28</v>
      </c>
      <c r="F582">
        <v>4</v>
      </c>
      <c r="G582">
        <v>5</v>
      </c>
      <c r="H582" t="s">
        <v>15</v>
      </c>
      <c r="I582">
        <v>204.25</v>
      </c>
    </row>
    <row r="583" spans="1:9" x14ac:dyDescent="0.25">
      <c r="A583">
        <v>666</v>
      </c>
      <c r="B583">
        <v>31</v>
      </c>
      <c r="C583" t="s">
        <v>45</v>
      </c>
      <c r="D583">
        <v>85972</v>
      </c>
      <c r="E583">
        <v>62</v>
      </c>
      <c r="F583">
        <v>9</v>
      </c>
      <c r="G583">
        <v>25</v>
      </c>
      <c r="H583" t="s">
        <v>15</v>
      </c>
      <c r="I583">
        <v>914.63</v>
      </c>
    </row>
    <row r="584" spans="1:9" x14ac:dyDescent="0.25">
      <c r="A584">
        <v>711</v>
      </c>
      <c r="B584">
        <v>43</v>
      </c>
      <c r="C584" t="s">
        <v>45</v>
      </c>
      <c r="D584">
        <v>51398</v>
      </c>
      <c r="E584">
        <v>12</v>
      </c>
      <c r="F584">
        <v>4</v>
      </c>
      <c r="G584">
        <v>26</v>
      </c>
      <c r="H584" t="s">
        <v>15</v>
      </c>
      <c r="I584">
        <v>117.85</v>
      </c>
    </row>
    <row r="585" spans="1:9" x14ac:dyDescent="0.25">
      <c r="A585">
        <v>724</v>
      </c>
      <c r="B585">
        <v>21</v>
      </c>
      <c r="C585" t="s">
        <v>45</v>
      </c>
      <c r="D585">
        <v>114762</v>
      </c>
      <c r="E585">
        <v>28</v>
      </c>
      <c r="F585">
        <v>3</v>
      </c>
      <c r="G585">
        <v>7</v>
      </c>
      <c r="H585" t="s">
        <v>15</v>
      </c>
      <c r="I585">
        <v>397.54</v>
      </c>
    </row>
    <row r="586" spans="1:9" x14ac:dyDescent="0.25">
      <c r="A586">
        <v>777</v>
      </c>
      <c r="B586">
        <v>19</v>
      </c>
      <c r="C586" t="s">
        <v>45</v>
      </c>
      <c r="D586">
        <v>45781</v>
      </c>
      <c r="E586">
        <v>93</v>
      </c>
      <c r="F586">
        <v>6</v>
      </c>
      <c r="G586">
        <v>43</v>
      </c>
      <c r="H586" t="s">
        <v>15</v>
      </c>
      <c r="I586">
        <v>412.99</v>
      </c>
    </row>
    <row r="587" spans="1:9" x14ac:dyDescent="0.25">
      <c r="A587">
        <v>780</v>
      </c>
      <c r="B587">
        <v>65</v>
      </c>
      <c r="C587" t="s">
        <v>45</v>
      </c>
      <c r="D587">
        <v>80686</v>
      </c>
      <c r="E587">
        <v>2</v>
      </c>
      <c r="F587">
        <v>8</v>
      </c>
      <c r="G587">
        <v>30</v>
      </c>
      <c r="H587" t="s">
        <v>15</v>
      </c>
      <c r="I587">
        <v>491.8</v>
      </c>
    </row>
    <row r="588" spans="1:9" x14ac:dyDescent="0.25">
      <c r="A588">
        <v>792</v>
      </c>
      <c r="B588">
        <v>18</v>
      </c>
      <c r="C588" t="s">
        <v>45</v>
      </c>
      <c r="D588">
        <v>140475</v>
      </c>
      <c r="E588">
        <v>38</v>
      </c>
      <c r="F588">
        <v>8</v>
      </c>
      <c r="G588">
        <v>7</v>
      </c>
      <c r="H588" t="s">
        <v>15</v>
      </c>
      <c r="I588">
        <v>442.42</v>
      </c>
    </row>
    <row r="589" spans="1:9" x14ac:dyDescent="0.25">
      <c r="A589">
        <v>798</v>
      </c>
      <c r="B589">
        <v>68</v>
      </c>
      <c r="C589" t="s">
        <v>45</v>
      </c>
      <c r="D589">
        <v>44597</v>
      </c>
      <c r="E589">
        <v>3</v>
      </c>
      <c r="F589">
        <v>1</v>
      </c>
      <c r="G589">
        <v>36</v>
      </c>
      <c r="H589" t="s">
        <v>15</v>
      </c>
      <c r="I589">
        <v>743.73</v>
      </c>
    </row>
    <row r="590" spans="1:9" x14ac:dyDescent="0.25">
      <c r="A590">
        <v>800</v>
      </c>
      <c r="B590">
        <v>35</v>
      </c>
      <c r="C590" t="s">
        <v>45</v>
      </c>
      <c r="D590">
        <v>114874</v>
      </c>
      <c r="E590">
        <v>40</v>
      </c>
      <c r="F590">
        <v>3</v>
      </c>
      <c r="G590">
        <v>15</v>
      </c>
      <c r="H590" t="s">
        <v>15</v>
      </c>
      <c r="I590">
        <v>333.55</v>
      </c>
    </row>
    <row r="591" spans="1:9" x14ac:dyDescent="0.25">
      <c r="A591">
        <v>801</v>
      </c>
      <c r="B591">
        <v>61</v>
      </c>
      <c r="C591" t="s">
        <v>45</v>
      </c>
      <c r="D591">
        <v>69791</v>
      </c>
      <c r="E591">
        <v>33</v>
      </c>
      <c r="F591">
        <v>8</v>
      </c>
      <c r="G591">
        <v>1</v>
      </c>
      <c r="H591" t="s">
        <v>15</v>
      </c>
      <c r="I591">
        <v>165.39</v>
      </c>
    </row>
    <row r="592" spans="1:9" x14ac:dyDescent="0.25">
      <c r="A592">
        <v>820</v>
      </c>
      <c r="B592">
        <v>52</v>
      </c>
      <c r="C592" t="s">
        <v>45</v>
      </c>
      <c r="D592">
        <v>73723</v>
      </c>
      <c r="E592">
        <v>69</v>
      </c>
      <c r="F592">
        <v>10</v>
      </c>
      <c r="G592">
        <v>19</v>
      </c>
      <c r="H592" t="s">
        <v>15</v>
      </c>
      <c r="I592">
        <v>321.92</v>
      </c>
    </row>
    <row r="593" spans="1:9" x14ac:dyDescent="0.25">
      <c r="A593">
        <v>827</v>
      </c>
      <c r="B593">
        <v>62</v>
      </c>
      <c r="C593" t="s">
        <v>45</v>
      </c>
      <c r="D593">
        <v>88975</v>
      </c>
      <c r="E593">
        <v>58</v>
      </c>
      <c r="F593">
        <v>6</v>
      </c>
      <c r="G593">
        <v>24</v>
      </c>
      <c r="H593" t="s">
        <v>15</v>
      </c>
      <c r="I593">
        <v>921.21</v>
      </c>
    </row>
    <row r="594" spans="1:9" x14ac:dyDescent="0.25">
      <c r="A594">
        <v>867</v>
      </c>
      <c r="B594">
        <v>68</v>
      </c>
      <c r="C594" t="s">
        <v>45</v>
      </c>
      <c r="D594">
        <v>35122</v>
      </c>
      <c r="E594">
        <v>72</v>
      </c>
      <c r="F594">
        <v>6</v>
      </c>
      <c r="G594">
        <v>33</v>
      </c>
      <c r="H594" t="s">
        <v>15</v>
      </c>
      <c r="I594">
        <v>983.84</v>
      </c>
    </row>
    <row r="595" spans="1:9" x14ac:dyDescent="0.25">
      <c r="A595">
        <v>876</v>
      </c>
      <c r="B595">
        <v>60</v>
      </c>
      <c r="C595" t="s">
        <v>45</v>
      </c>
      <c r="D595">
        <v>120195</v>
      </c>
      <c r="E595">
        <v>68</v>
      </c>
      <c r="F595">
        <v>9</v>
      </c>
      <c r="G595">
        <v>26</v>
      </c>
      <c r="H595" t="s">
        <v>15</v>
      </c>
      <c r="I595">
        <v>600.21</v>
      </c>
    </row>
    <row r="596" spans="1:9" x14ac:dyDescent="0.25">
      <c r="A596">
        <v>886</v>
      </c>
      <c r="B596">
        <v>26</v>
      </c>
      <c r="C596" t="s">
        <v>45</v>
      </c>
      <c r="D596">
        <v>113532</v>
      </c>
      <c r="E596">
        <v>70</v>
      </c>
      <c r="F596">
        <v>7</v>
      </c>
      <c r="G596">
        <v>28</v>
      </c>
      <c r="H596" t="s">
        <v>15</v>
      </c>
      <c r="I596">
        <v>679.69</v>
      </c>
    </row>
    <row r="597" spans="1:9" x14ac:dyDescent="0.25">
      <c r="A597">
        <v>889</v>
      </c>
      <c r="B597">
        <v>33</v>
      </c>
      <c r="C597" t="s">
        <v>45</v>
      </c>
      <c r="D597">
        <v>146269</v>
      </c>
      <c r="E597">
        <v>92</v>
      </c>
      <c r="F597">
        <v>6</v>
      </c>
      <c r="G597">
        <v>10</v>
      </c>
      <c r="H597" t="s">
        <v>15</v>
      </c>
      <c r="I597">
        <v>486.86</v>
      </c>
    </row>
    <row r="598" spans="1:9" x14ac:dyDescent="0.25">
      <c r="A598">
        <v>891</v>
      </c>
      <c r="B598">
        <v>22</v>
      </c>
      <c r="C598" t="s">
        <v>45</v>
      </c>
      <c r="D598">
        <v>87909</v>
      </c>
      <c r="E598">
        <v>19</v>
      </c>
      <c r="F598">
        <v>7</v>
      </c>
      <c r="G598">
        <v>39</v>
      </c>
      <c r="H598" t="s">
        <v>15</v>
      </c>
      <c r="I598">
        <v>20.52</v>
      </c>
    </row>
    <row r="599" spans="1:9" x14ac:dyDescent="0.25">
      <c r="A599">
        <v>892</v>
      </c>
      <c r="B599">
        <v>66</v>
      </c>
      <c r="C599" t="s">
        <v>45</v>
      </c>
      <c r="D599">
        <v>40932</v>
      </c>
      <c r="E599">
        <v>5</v>
      </c>
      <c r="F599">
        <v>1</v>
      </c>
      <c r="G599">
        <v>48</v>
      </c>
      <c r="H599" t="s">
        <v>15</v>
      </c>
      <c r="I599">
        <v>546.05999999999995</v>
      </c>
    </row>
    <row r="600" spans="1:9" x14ac:dyDescent="0.25">
      <c r="A600">
        <v>894</v>
      </c>
      <c r="B600">
        <v>63</v>
      </c>
      <c r="C600" t="s">
        <v>45</v>
      </c>
      <c r="D600">
        <v>119492</v>
      </c>
      <c r="E600">
        <v>25</v>
      </c>
      <c r="F600">
        <v>8</v>
      </c>
      <c r="G600">
        <v>40</v>
      </c>
      <c r="H600" t="s">
        <v>15</v>
      </c>
      <c r="I600">
        <v>758.1</v>
      </c>
    </row>
    <row r="601" spans="1:9" x14ac:dyDescent="0.25">
      <c r="A601">
        <v>903</v>
      </c>
      <c r="B601">
        <v>33</v>
      </c>
      <c r="C601" t="s">
        <v>45</v>
      </c>
      <c r="D601">
        <v>106771</v>
      </c>
      <c r="E601">
        <v>23</v>
      </c>
      <c r="F601">
        <v>7</v>
      </c>
      <c r="G601">
        <v>3</v>
      </c>
      <c r="H601" t="s">
        <v>15</v>
      </c>
      <c r="I601">
        <v>609.79999999999995</v>
      </c>
    </row>
    <row r="602" spans="1:9" x14ac:dyDescent="0.25">
      <c r="A602">
        <v>908</v>
      </c>
      <c r="B602">
        <v>59</v>
      </c>
      <c r="C602" t="s">
        <v>45</v>
      </c>
      <c r="D602">
        <v>141567</v>
      </c>
      <c r="E602">
        <v>27</v>
      </c>
      <c r="F602">
        <v>8</v>
      </c>
      <c r="G602">
        <v>30</v>
      </c>
      <c r="H602" t="s">
        <v>15</v>
      </c>
      <c r="I602">
        <v>95.96</v>
      </c>
    </row>
    <row r="603" spans="1:9" x14ac:dyDescent="0.25">
      <c r="A603">
        <v>915</v>
      </c>
      <c r="B603">
        <v>18</v>
      </c>
      <c r="C603" t="s">
        <v>45</v>
      </c>
      <c r="D603">
        <v>69502</v>
      </c>
      <c r="E603">
        <v>83</v>
      </c>
      <c r="F603">
        <v>6</v>
      </c>
      <c r="G603">
        <v>32</v>
      </c>
      <c r="H603" t="s">
        <v>15</v>
      </c>
      <c r="I603">
        <v>236.83</v>
      </c>
    </row>
    <row r="604" spans="1:9" x14ac:dyDescent="0.25">
      <c r="A604">
        <v>932</v>
      </c>
      <c r="B604">
        <v>31</v>
      </c>
      <c r="C604" t="s">
        <v>45</v>
      </c>
      <c r="D604">
        <v>30969</v>
      </c>
      <c r="E604">
        <v>32</v>
      </c>
      <c r="F604">
        <v>9</v>
      </c>
      <c r="G604">
        <v>11</v>
      </c>
      <c r="H604" t="s">
        <v>15</v>
      </c>
      <c r="I604">
        <v>562.47</v>
      </c>
    </row>
    <row r="605" spans="1:9" x14ac:dyDescent="0.25">
      <c r="A605">
        <v>948</v>
      </c>
      <c r="B605">
        <v>21</v>
      </c>
      <c r="C605" t="s">
        <v>45</v>
      </c>
      <c r="D605">
        <v>117520</v>
      </c>
      <c r="E605">
        <v>34</v>
      </c>
      <c r="F605">
        <v>3</v>
      </c>
      <c r="G605">
        <v>32</v>
      </c>
      <c r="H605" t="s">
        <v>15</v>
      </c>
      <c r="I605">
        <v>256.98</v>
      </c>
    </row>
    <row r="606" spans="1:9" x14ac:dyDescent="0.25">
      <c r="A606">
        <v>949</v>
      </c>
      <c r="B606">
        <v>62</v>
      </c>
      <c r="C606" t="s">
        <v>45</v>
      </c>
      <c r="D606">
        <v>128667</v>
      </c>
      <c r="E606">
        <v>37</v>
      </c>
      <c r="F606">
        <v>5</v>
      </c>
      <c r="G606">
        <v>17</v>
      </c>
      <c r="H606" t="s">
        <v>15</v>
      </c>
      <c r="I606">
        <v>150.62</v>
      </c>
    </row>
    <row r="607" spans="1:9" x14ac:dyDescent="0.25">
      <c r="A607">
        <v>964</v>
      </c>
      <c r="B607">
        <v>26</v>
      </c>
      <c r="C607" t="s">
        <v>45</v>
      </c>
      <c r="D607">
        <v>109221</v>
      </c>
      <c r="E607">
        <v>91</v>
      </c>
      <c r="F607">
        <v>2</v>
      </c>
      <c r="G607">
        <v>44</v>
      </c>
      <c r="H607" t="s">
        <v>15</v>
      </c>
      <c r="I607">
        <v>660.05</v>
      </c>
    </row>
    <row r="608" spans="1:9" x14ac:dyDescent="0.25">
      <c r="A608">
        <v>969</v>
      </c>
      <c r="B608">
        <v>61</v>
      </c>
      <c r="C608" t="s">
        <v>45</v>
      </c>
      <c r="D608">
        <v>38209</v>
      </c>
      <c r="E608">
        <v>79</v>
      </c>
      <c r="F608">
        <v>8</v>
      </c>
      <c r="G608">
        <v>40</v>
      </c>
      <c r="H608" t="s">
        <v>15</v>
      </c>
      <c r="I608">
        <v>724.23</v>
      </c>
    </row>
    <row r="609" spans="1:9" x14ac:dyDescent="0.25">
      <c r="A609">
        <v>985</v>
      </c>
      <c r="B609">
        <v>35</v>
      </c>
      <c r="C609" t="s">
        <v>45</v>
      </c>
      <c r="D609">
        <v>82057</v>
      </c>
      <c r="E609">
        <v>66</v>
      </c>
      <c r="F609">
        <v>4</v>
      </c>
      <c r="G609">
        <v>9</v>
      </c>
      <c r="H609" t="s">
        <v>15</v>
      </c>
      <c r="I609">
        <v>683.93</v>
      </c>
    </row>
    <row r="610" spans="1:9" x14ac:dyDescent="0.25">
      <c r="A610">
        <v>991</v>
      </c>
      <c r="B610">
        <v>21</v>
      </c>
      <c r="C610" t="s">
        <v>45</v>
      </c>
      <c r="D610">
        <v>80264</v>
      </c>
      <c r="E610">
        <v>41</v>
      </c>
      <c r="F610">
        <v>4</v>
      </c>
      <c r="G610">
        <v>26</v>
      </c>
      <c r="H610" t="s">
        <v>15</v>
      </c>
      <c r="I610">
        <v>458.93</v>
      </c>
    </row>
    <row r="611" spans="1:9" x14ac:dyDescent="0.25">
      <c r="A611">
        <v>992</v>
      </c>
      <c r="B611">
        <v>53</v>
      </c>
      <c r="C611" t="s">
        <v>45</v>
      </c>
      <c r="D611">
        <v>83578</v>
      </c>
      <c r="E611">
        <v>97</v>
      </c>
      <c r="F611">
        <v>5</v>
      </c>
      <c r="G611">
        <v>50</v>
      </c>
      <c r="H611" t="s">
        <v>15</v>
      </c>
      <c r="I611">
        <v>917.08</v>
      </c>
    </row>
    <row r="612" spans="1:9" x14ac:dyDescent="0.25">
      <c r="A612">
        <v>38</v>
      </c>
      <c r="B612">
        <v>48</v>
      </c>
      <c r="C612" t="s">
        <v>45</v>
      </c>
      <c r="D612">
        <v>81794</v>
      </c>
      <c r="E612">
        <v>89</v>
      </c>
      <c r="F612">
        <v>7</v>
      </c>
      <c r="G612">
        <v>50</v>
      </c>
      <c r="H612" t="s">
        <v>14</v>
      </c>
      <c r="I612">
        <v>967.99</v>
      </c>
    </row>
    <row r="613" spans="1:9" x14ac:dyDescent="0.25">
      <c r="A613">
        <v>57</v>
      </c>
      <c r="B613">
        <v>63</v>
      </c>
      <c r="C613" t="s">
        <v>45</v>
      </c>
      <c r="D613">
        <v>49607</v>
      </c>
      <c r="E613">
        <v>7</v>
      </c>
      <c r="F613">
        <v>9</v>
      </c>
      <c r="G613">
        <v>20</v>
      </c>
      <c r="H613" t="s">
        <v>14</v>
      </c>
      <c r="I613">
        <v>195.34</v>
      </c>
    </row>
    <row r="614" spans="1:9" x14ac:dyDescent="0.25">
      <c r="A614">
        <v>80</v>
      </c>
      <c r="B614">
        <v>68</v>
      </c>
      <c r="C614" t="s">
        <v>45</v>
      </c>
      <c r="D614">
        <v>45092</v>
      </c>
      <c r="E614">
        <v>54</v>
      </c>
      <c r="F614">
        <v>4</v>
      </c>
      <c r="G614">
        <v>40</v>
      </c>
      <c r="H614" t="s">
        <v>14</v>
      </c>
      <c r="I614">
        <v>738.6</v>
      </c>
    </row>
    <row r="615" spans="1:9" x14ac:dyDescent="0.25">
      <c r="A615">
        <v>81</v>
      </c>
      <c r="B615">
        <v>65</v>
      </c>
      <c r="C615" t="s">
        <v>45</v>
      </c>
      <c r="D615">
        <v>117157</v>
      </c>
      <c r="E615">
        <v>90</v>
      </c>
      <c r="F615">
        <v>9</v>
      </c>
      <c r="G615">
        <v>39</v>
      </c>
      <c r="H615" t="s">
        <v>14</v>
      </c>
      <c r="I615">
        <v>812.36</v>
      </c>
    </row>
    <row r="616" spans="1:9" x14ac:dyDescent="0.25">
      <c r="A616">
        <v>97</v>
      </c>
      <c r="B616">
        <v>63</v>
      </c>
      <c r="C616" t="s">
        <v>45</v>
      </c>
      <c r="D616">
        <v>102834</v>
      </c>
      <c r="E616">
        <v>31</v>
      </c>
      <c r="F616">
        <v>7</v>
      </c>
      <c r="G616">
        <v>20</v>
      </c>
      <c r="H616" t="s">
        <v>14</v>
      </c>
      <c r="I616">
        <v>582.57000000000005</v>
      </c>
    </row>
    <row r="617" spans="1:9" x14ac:dyDescent="0.25">
      <c r="A617">
        <v>128</v>
      </c>
      <c r="B617">
        <v>40</v>
      </c>
      <c r="C617" t="s">
        <v>45</v>
      </c>
      <c r="D617">
        <v>81037</v>
      </c>
      <c r="E617">
        <v>70</v>
      </c>
      <c r="F617">
        <v>10</v>
      </c>
      <c r="G617">
        <v>45</v>
      </c>
      <c r="H617" t="s">
        <v>14</v>
      </c>
      <c r="I617">
        <v>370.75</v>
      </c>
    </row>
    <row r="618" spans="1:9" x14ac:dyDescent="0.25">
      <c r="A618">
        <v>141</v>
      </c>
      <c r="B618">
        <v>23</v>
      </c>
      <c r="C618" t="s">
        <v>45</v>
      </c>
      <c r="D618">
        <v>67237</v>
      </c>
      <c r="E618">
        <v>85</v>
      </c>
      <c r="F618">
        <v>9</v>
      </c>
      <c r="G618">
        <v>40</v>
      </c>
      <c r="H618" t="s">
        <v>14</v>
      </c>
      <c r="I618">
        <v>673.02</v>
      </c>
    </row>
    <row r="619" spans="1:9" x14ac:dyDescent="0.25">
      <c r="A619">
        <v>145</v>
      </c>
      <c r="B619">
        <v>44</v>
      </c>
      <c r="C619" t="s">
        <v>45</v>
      </c>
      <c r="D619">
        <v>122987</v>
      </c>
      <c r="E619">
        <v>29</v>
      </c>
      <c r="F619">
        <v>10</v>
      </c>
      <c r="G619">
        <v>25</v>
      </c>
      <c r="H619" t="s">
        <v>14</v>
      </c>
      <c r="I619">
        <v>898.68</v>
      </c>
    </row>
    <row r="620" spans="1:9" x14ac:dyDescent="0.25">
      <c r="A620">
        <v>146</v>
      </c>
      <c r="B620">
        <v>58</v>
      </c>
      <c r="C620" t="s">
        <v>45</v>
      </c>
      <c r="D620">
        <v>90389</v>
      </c>
      <c r="E620">
        <v>17</v>
      </c>
      <c r="F620">
        <v>5</v>
      </c>
      <c r="G620">
        <v>12</v>
      </c>
      <c r="H620" t="s">
        <v>14</v>
      </c>
      <c r="I620">
        <v>855.21</v>
      </c>
    </row>
    <row r="621" spans="1:9" x14ac:dyDescent="0.25">
      <c r="A621">
        <v>151</v>
      </c>
      <c r="B621">
        <v>55</v>
      </c>
      <c r="C621" t="s">
        <v>45</v>
      </c>
      <c r="D621">
        <v>138064</v>
      </c>
      <c r="E621">
        <v>86</v>
      </c>
      <c r="F621">
        <v>5</v>
      </c>
      <c r="G621">
        <v>22</v>
      </c>
      <c r="H621" t="s">
        <v>14</v>
      </c>
      <c r="I621">
        <v>368.75</v>
      </c>
    </row>
    <row r="622" spans="1:9" x14ac:dyDescent="0.25">
      <c r="A622">
        <v>154</v>
      </c>
      <c r="B622">
        <v>30</v>
      </c>
      <c r="C622" t="s">
        <v>45</v>
      </c>
      <c r="D622">
        <v>78653</v>
      </c>
      <c r="E622">
        <v>43</v>
      </c>
      <c r="F622">
        <v>4</v>
      </c>
      <c r="G622">
        <v>2</v>
      </c>
      <c r="H622" t="s">
        <v>14</v>
      </c>
      <c r="I622">
        <v>933.73</v>
      </c>
    </row>
    <row r="623" spans="1:9" x14ac:dyDescent="0.25">
      <c r="A623">
        <v>155</v>
      </c>
      <c r="B623">
        <v>53</v>
      </c>
      <c r="C623" t="s">
        <v>45</v>
      </c>
      <c r="D623">
        <v>146312</v>
      </c>
      <c r="E623">
        <v>58</v>
      </c>
      <c r="F623">
        <v>2</v>
      </c>
      <c r="G623">
        <v>32</v>
      </c>
      <c r="H623" t="s">
        <v>14</v>
      </c>
      <c r="I623">
        <v>880.78</v>
      </c>
    </row>
    <row r="624" spans="1:9" x14ac:dyDescent="0.25">
      <c r="A624">
        <v>177</v>
      </c>
      <c r="B624">
        <v>65</v>
      </c>
      <c r="C624" t="s">
        <v>45</v>
      </c>
      <c r="D624">
        <v>123680</v>
      </c>
      <c r="E624">
        <v>30</v>
      </c>
      <c r="F624">
        <v>2</v>
      </c>
      <c r="G624">
        <v>35</v>
      </c>
      <c r="H624" t="s">
        <v>14</v>
      </c>
      <c r="I624">
        <v>218.74</v>
      </c>
    </row>
    <row r="625" spans="1:9" x14ac:dyDescent="0.25">
      <c r="A625">
        <v>190</v>
      </c>
      <c r="B625">
        <v>41</v>
      </c>
      <c r="C625" t="s">
        <v>45</v>
      </c>
      <c r="D625">
        <v>59408</v>
      </c>
      <c r="E625">
        <v>68</v>
      </c>
      <c r="F625">
        <v>1</v>
      </c>
      <c r="G625">
        <v>16</v>
      </c>
      <c r="H625" t="s">
        <v>14</v>
      </c>
      <c r="I625">
        <v>504.16</v>
      </c>
    </row>
    <row r="626" spans="1:9" x14ac:dyDescent="0.25">
      <c r="A626">
        <v>192</v>
      </c>
      <c r="B626">
        <v>63</v>
      </c>
      <c r="C626" t="s">
        <v>45</v>
      </c>
      <c r="D626">
        <v>109506</v>
      </c>
      <c r="E626">
        <v>48</v>
      </c>
      <c r="F626">
        <v>10</v>
      </c>
      <c r="G626">
        <v>50</v>
      </c>
      <c r="H626" t="s">
        <v>14</v>
      </c>
      <c r="I626">
        <v>26.85</v>
      </c>
    </row>
    <row r="627" spans="1:9" x14ac:dyDescent="0.25">
      <c r="A627">
        <v>195</v>
      </c>
      <c r="B627">
        <v>67</v>
      </c>
      <c r="C627" t="s">
        <v>45</v>
      </c>
      <c r="D627">
        <v>31806</v>
      </c>
      <c r="E627">
        <v>79</v>
      </c>
      <c r="F627">
        <v>8</v>
      </c>
      <c r="G627">
        <v>13</v>
      </c>
      <c r="H627" t="s">
        <v>14</v>
      </c>
      <c r="I627">
        <v>261.07</v>
      </c>
    </row>
    <row r="628" spans="1:9" x14ac:dyDescent="0.25">
      <c r="A628">
        <v>210</v>
      </c>
      <c r="B628">
        <v>47</v>
      </c>
      <c r="C628" t="s">
        <v>45</v>
      </c>
      <c r="D628">
        <v>93783</v>
      </c>
      <c r="E628">
        <v>24</v>
      </c>
      <c r="F628">
        <v>10</v>
      </c>
      <c r="G628">
        <v>3</v>
      </c>
      <c r="H628" t="s">
        <v>14</v>
      </c>
      <c r="I628">
        <v>406.56</v>
      </c>
    </row>
    <row r="629" spans="1:9" x14ac:dyDescent="0.25">
      <c r="A629">
        <v>215</v>
      </c>
      <c r="B629">
        <v>69</v>
      </c>
      <c r="C629" t="s">
        <v>45</v>
      </c>
      <c r="D629">
        <v>127086</v>
      </c>
      <c r="E629">
        <v>93</v>
      </c>
      <c r="F629">
        <v>4</v>
      </c>
      <c r="G629">
        <v>45</v>
      </c>
      <c r="H629" t="s">
        <v>14</v>
      </c>
      <c r="I629">
        <v>339.9</v>
      </c>
    </row>
    <row r="630" spans="1:9" x14ac:dyDescent="0.25">
      <c r="A630">
        <v>216</v>
      </c>
      <c r="B630">
        <v>26</v>
      </c>
      <c r="C630" t="s">
        <v>45</v>
      </c>
      <c r="D630">
        <v>133538</v>
      </c>
      <c r="E630">
        <v>27</v>
      </c>
      <c r="F630">
        <v>5</v>
      </c>
      <c r="G630">
        <v>46</v>
      </c>
      <c r="H630" t="s">
        <v>14</v>
      </c>
      <c r="I630">
        <v>761.08</v>
      </c>
    </row>
    <row r="631" spans="1:9" x14ac:dyDescent="0.25">
      <c r="A631">
        <v>237</v>
      </c>
      <c r="B631">
        <v>62</v>
      </c>
      <c r="C631" t="s">
        <v>45</v>
      </c>
      <c r="D631">
        <v>52480</v>
      </c>
      <c r="E631">
        <v>22</v>
      </c>
      <c r="F631">
        <v>3</v>
      </c>
      <c r="G631">
        <v>14</v>
      </c>
      <c r="H631" t="s">
        <v>14</v>
      </c>
      <c r="I631">
        <v>821.42</v>
      </c>
    </row>
    <row r="632" spans="1:9" x14ac:dyDescent="0.25">
      <c r="A632">
        <v>243</v>
      </c>
      <c r="B632">
        <v>25</v>
      </c>
      <c r="C632" t="s">
        <v>45</v>
      </c>
      <c r="D632">
        <v>109583</v>
      </c>
      <c r="E632">
        <v>6</v>
      </c>
      <c r="F632">
        <v>4</v>
      </c>
      <c r="G632">
        <v>30</v>
      </c>
      <c r="H632" t="s">
        <v>14</v>
      </c>
      <c r="I632">
        <v>923.64</v>
      </c>
    </row>
    <row r="633" spans="1:9" x14ac:dyDescent="0.25">
      <c r="A633">
        <v>258</v>
      </c>
      <c r="B633">
        <v>37</v>
      </c>
      <c r="C633" t="s">
        <v>45</v>
      </c>
      <c r="D633">
        <v>86856</v>
      </c>
      <c r="E633">
        <v>74</v>
      </c>
      <c r="F633">
        <v>3</v>
      </c>
      <c r="G633">
        <v>10</v>
      </c>
      <c r="H633" t="s">
        <v>14</v>
      </c>
      <c r="I633">
        <v>624.29</v>
      </c>
    </row>
    <row r="634" spans="1:9" x14ac:dyDescent="0.25">
      <c r="A634">
        <v>262</v>
      </c>
      <c r="B634">
        <v>60</v>
      </c>
      <c r="C634" t="s">
        <v>45</v>
      </c>
      <c r="D634">
        <v>45827</v>
      </c>
      <c r="E634">
        <v>18</v>
      </c>
      <c r="F634">
        <v>2</v>
      </c>
      <c r="G634">
        <v>47</v>
      </c>
      <c r="H634" t="s">
        <v>14</v>
      </c>
      <c r="I634">
        <v>599.66</v>
      </c>
    </row>
    <row r="635" spans="1:9" x14ac:dyDescent="0.25">
      <c r="A635">
        <v>263</v>
      </c>
      <c r="B635">
        <v>64</v>
      </c>
      <c r="C635" t="s">
        <v>45</v>
      </c>
      <c r="D635">
        <v>115366</v>
      </c>
      <c r="E635">
        <v>68</v>
      </c>
      <c r="F635">
        <v>9</v>
      </c>
      <c r="G635">
        <v>28</v>
      </c>
      <c r="H635" t="s">
        <v>14</v>
      </c>
      <c r="I635">
        <v>934.88</v>
      </c>
    </row>
    <row r="636" spans="1:9" x14ac:dyDescent="0.25">
      <c r="A636">
        <v>279</v>
      </c>
      <c r="B636">
        <v>47</v>
      </c>
      <c r="C636" t="s">
        <v>45</v>
      </c>
      <c r="D636">
        <v>95656</v>
      </c>
      <c r="E636">
        <v>63</v>
      </c>
      <c r="F636">
        <v>2</v>
      </c>
      <c r="G636">
        <v>30</v>
      </c>
      <c r="H636" t="s">
        <v>14</v>
      </c>
      <c r="I636">
        <v>634.19000000000005</v>
      </c>
    </row>
    <row r="637" spans="1:9" x14ac:dyDescent="0.25">
      <c r="A637">
        <v>295</v>
      </c>
      <c r="B637">
        <v>18</v>
      </c>
      <c r="C637" t="s">
        <v>45</v>
      </c>
      <c r="D637">
        <v>135713</v>
      </c>
      <c r="E637">
        <v>79</v>
      </c>
      <c r="F637">
        <v>7</v>
      </c>
      <c r="G637">
        <v>18</v>
      </c>
      <c r="H637" t="s">
        <v>14</v>
      </c>
      <c r="I637">
        <v>871.12</v>
      </c>
    </row>
    <row r="638" spans="1:9" x14ac:dyDescent="0.25">
      <c r="A638">
        <v>313</v>
      </c>
      <c r="B638">
        <v>69</v>
      </c>
      <c r="C638" t="s">
        <v>45</v>
      </c>
      <c r="D638">
        <v>35218</v>
      </c>
      <c r="E638">
        <v>47</v>
      </c>
      <c r="F638">
        <v>4</v>
      </c>
      <c r="G638">
        <v>33</v>
      </c>
      <c r="H638" t="s">
        <v>14</v>
      </c>
      <c r="I638">
        <v>315.49</v>
      </c>
    </row>
    <row r="639" spans="1:9" x14ac:dyDescent="0.25">
      <c r="A639">
        <v>317</v>
      </c>
      <c r="B639">
        <v>18</v>
      </c>
      <c r="C639" t="s">
        <v>45</v>
      </c>
      <c r="D639">
        <v>92363</v>
      </c>
      <c r="E639">
        <v>84</v>
      </c>
      <c r="F639">
        <v>1</v>
      </c>
      <c r="G639">
        <v>10</v>
      </c>
      <c r="H639" t="s">
        <v>14</v>
      </c>
      <c r="I639">
        <v>539.74</v>
      </c>
    </row>
    <row r="640" spans="1:9" x14ac:dyDescent="0.25">
      <c r="A640">
        <v>318</v>
      </c>
      <c r="B640">
        <v>23</v>
      </c>
      <c r="C640" t="s">
        <v>45</v>
      </c>
      <c r="D640">
        <v>84664</v>
      </c>
      <c r="E640">
        <v>45</v>
      </c>
      <c r="F640">
        <v>5</v>
      </c>
      <c r="G640">
        <v>12</v>
      </c>
      <c r="H640" t="s">
        <v>14</v>
      </c>
      <c r="I640">
        <v>592.72</v>
      </c>
    </row>
    <row r="641" spans="1:9" x14ac:dyDescent="0.25">
      <c r="A641">
        <v>341</v>
      </c>
      <c r="B641">
        <v>31</v>
      </c>
      <c r="C641" t="s">
        <v>45</v>
      </c>
      <c r="D641">
        <v>35406</v>
      </c>
      <c r="E641">
        <v>45</v>
      </c>
      <c r="F641">
        <v>10</v>
      </c>
      <c r="G641">
        <v>9</v>
      </c>
      <c r="H641" t="s">
        <v>14</v>
      </c>
      <c r="I641">
        <v>637.02</v>
      </c>
    </row>
    <row r="642" spans="1:9" x14ac:dyDescent="0.25">
      <c r="A642">
        <v>373</v>
      </c>
      <c r="B642">
        <v>30</v>
      </c>
      <c r="C642" t="s">
        <v>45</v>
      </c>
      <c r="D642">
        <v>80320</v>
      </c>
      <c r="E642">
        <v>91</v>
      </c>
      <c r="F642">
        <v>1</v>
      </c>
      <c r="G642">
        <v>31</v>
      </c>
      <c r="H642" t="s">
        <v>14</v>
      </c>
      <c r="I642">
        <v>930.97</v>
      </c>
    </row>
    <row r="643" spans="1:9" x14ac:dyDescent="0.25">
      <c r="A643">
        <v>382</v>
      </c>
      <c r="B643">
        <v>68</v>
      </c>
      <c r="C643" t="s">
        <v>45</v>
      </c>
      <c r="D643">
        <v>93926</v>
      </c>
      <c r="E643">
        <v>45</v>
      </c>
      <c r="F643">
        <v>5</v>
      </c>
      <c r="G643">
        <v>22</v>
      </c>
      <c r="H643" t="s">
        <v>14</v>
      </c>
      <c r="I643">
        <v>19.14</v>
      </c>
    </row>
    <row r="644" spans="1:9" x14ac:dyDescent="0.25">
      <c r="A644">
        <v>397</v>
      </c>
      <c r="B644">
        <v>23</v>
      </c>
      <c r="C644" t="s">
        <v>45</v>
      </c>
      <c r="D644">
        <v>37713</v>
      </c>
      <c r="E644">
        <v>11</v>
      </c>
      <c r="F644">
        <v>8</v>
      </c>
      <c r="G644">
        <v>31</v>
      </c>
      <c r="H644" t="s">
        <v>14</v>
      </c>
      <c r="I644">
        <v>481.24</v>
      </c>
    </row>
    <row r="645" spans="1:9" x14ac:dyDescent="0.25">
      <c r="A645">
        <v>401</v>
      </c>
      <c r="B645">
        <v>32</v>
      </c>
      <c r="C645" t="s">
        <v>45</v>
      </c>
      <c r="D645">
        <v>86268</v>
      </c>
      <c r="E645">
        <v>96</v>
      </c>
      <c r="F645">
        <v>3</v>
      </c>
      <c r="G645">
        <v>21</v>
      </c>
      <c r="H645" t="s">
        <v>14</v>
      </c>
      <c r="I645">
        <v>643.36</v>
      </c>
    </row>
    <row r="646" spans="1:9" x14ac:dyDescent="0.25">
      <c r="A646">
        <v>426</v>
      </c>
      <c r="B646">
        <v>40</v>
      </c>
      <c r="C646" t="s">
        <v>45</v>
      </c>
      <c r="D646">
        <v>142251</v>
      </c>
      <c r="E646">
        <v>90</v>
      </c>
      <c r="F646">
        <v>10</v>
      </c>
      <c r="G646">
        <v>14</v>
      </c>
      <c r="H646" t="s">
        <v>14</v>
      </c>
      <c r="I646">
        <v>866.52</v>
      </c>
    </row>
    <row r="647" spans="1:9" x14ac:dyDescent="0.25">
      <c r="A647">
        <v>443</v>
      </c>
      <c r="B647">
        <v>47</v>
      </c>
      <c r="C647" t="s">
        <v>45</v>
      </c>
      <c r="D647">
        <v>138199</v>
      </c>
      <c r="E647">
        <v>79</v>
      </c>
      <c r="F647">
        <v>10</v>
      </c>
      <c r="G647">
        <v>43</v>
      </c>
      <c r="H647" t="s">
        <v>14</v>
      </c>
      <c r="I647">
        <v>171.38</v>
      </c>
    </row>
    <row r="648" spans="1:9" x14ac:dyDescent="0.25">
      <c r="A648">
        <v>455</v>
      </c>
      <c r="B648">
        <v>28</v>
      </c>
      <c r="C648" t="s">
        <v>45</v>
      </c>
      <c r="D648">
        <v>126571</v>
      </c>
      <c r="E648">
        <v>82</v>
      </c>
      <c r="F648">
        <v>10</v>
      </c>
      <c r="G648">
        <v>8</v>
      </c>
      <c r="H648" t="s">
        <v>14</v>
      </c>
      <c r="I648">
        <v>26.12</v>
      </c>
    </row>
    <row r="649" spans="1:9" x14ac:dyDescent="0.25">
      <c r="A649">
        <v>457</v>
      </c>
      <c r="B649">
        <v>30</v>
      </c>
      <c r="C649" t="s">
        <v>45</v>
      </c>
      <c r="D649">
        <v>120083</v>
      </c>
      <c r="E649">
        <v>47</v>
      </c>
      <c r="F649">
        <v>1</v>
      </c>
      <c r="G649">
        <v>49</v>
      </c>
      <c r="H649" t="s">
        <v>14</v>
      </c>
      <c r="I649">
        <v>443.12</v>
      </c>
    </row>
    <row r="650" spans="1:9" x14ac:dyDescent="0.25">
      <c r="A650">
        <v>472</v>
      </c>
      <c r="B650">
        <v>35</v>
      </c>
      <c r="C650" t="s">
        <v>45</v>
      </c>
      <c r="D650">
        <v>42390</v>
      </c>
      <c r="E650">
        <v>27</v>
      </c>
      <c r="F650">
        <v>3</v>
      </c>
      <c r="G650">
        <v>41</v>
      </c>
      <c r="H650" t="s">
        <v>14</v>
      </c>
      <c r="I650">
        <v>781.31</v>
      </c>
    </row>
    <row r="651" spans="1:9" x14ac:dyDescent="0.25">
      <c r="A651">
        <v>504</v>
      </c>
      <c r="B651">
        <v>18</v>
      </c>
      <c r="C651" t="s">
        <v>45</v>
      </c>
      <c r="D651">
        <v>142641</v>
      </c>
      <c r="E651">
        <v>40</v>
      </c>
      <c r="F651">
        <v>7</v>
      </c>
      <c r="G651">
        <v>31</v>
      </c>
      <c r="H651" t="s">
        <v>14</v>
      </c>
      <c r="I651">
        <v>240.64</v>
      </c>
    </row>
    <row r="652" spans="1:9" x14ac:dyDescent="0.25">
      <c r="A652">
        <v>516</v>
      </c>
      <c r="B652">
        <v>32</v>
      </c>
      <c r="C652" t="s">
        <v>45</v>
      </c>
      <c r="D652">
        <v>137280</v>
      </c>
      <c r="E652">
        <v>95</v>
      </c>
      <c r="F652">
        <v>6</v>
      </c>
      <c r="G652">
        <v>3</v>
      </c>
      <c r="H652" t="s">
        <v>14</v>
      </c>
      <c r="I652">
        <v>31.72</v>
      </c>
    </row>
    <row r="653" spans="1:9" x14ac:dyDescent="0.25">
      <c r="A653">
        <v>524</v>
      </c>
      <c r="B653">
        <v>47</v>
      </c>
      <c r="C653" t="s">
        <v>45</v>
      </c>
      <c r="D653">
        <v>100338</v>
      </c>
      <c r="E653">
        <v>13</v>
      </c>
      <c r="F653">
        <v>9</v>
      </c>
      <c r="G653">
        <v>40</v>
      </c>
      <c r="H653" t="s">
        <v>14</v>
      </c>
      <c r="I653">
        <v>48.65</v>
      </c>
    </row>
    <row r="654" spans="1:9" x14ac:dyDescent="0.25">
      <c r="A654">
        <v>547</v>
      </c>
      <c r="B654">
        <v>60</v>
      </c>
      <c r="C654" t="s">
        <v>45</v>
      </c>
      <c r="D654">
        <v>108533</v>
      </c>
      <c r="E654">
        <v>23</v>
      </c>
      <c r="F654">
        <v>9</v>
      </c>
      <c r="G654">
        <v>24</v>
      </c>
      <c r="H654" t="s">
        <v>14</v>
      </c>
      <c r="I654">
        <v>506.98</v>
      </c>
    </row>
    <row r="655" spans="1:9" x14ac:dyDescent="0.25">
      <c r="A655">
        <v>564</v>
      </c>
      <c r="B655">
        <v>56</v>
      </c>
      <c r="C655" t="s">
        <v>45</v>
      </c>
      <c r="D655">
        <v>134923</v>
      </c>
      <c r="E655">
        <v>18</v>
      </c>
      <c r="F655">
        <v>3</v>
      </c>
      <c r="G655">
        <v>31</v>
      </c>
      <c r="H655" t="s">
        <v>14</v>
      </c>
      <c r="I655">
        <v>515.16</v>
      </c>
    </row>
    <row r="656" spans="1:9" x14ac:dyDescent="0.25">
      <c r="A656">
        <v>565</v>
      </c>
      <c r="B656">
        <v>68</v>
      </c>
      <c r="C656" t="s">
        <v>45</v>
      </c>
      <c r="D656">
        <v>106635</v>
      </c>
      <c r="E656">
        <v>85</v>
      </c>
      <c r="F656">
        <v>10</v>
      </c>
      <c r="G656">
        <v>30</v>
      </c>
      <c r="H656" t="s">
        <v>14</v>
      </c>
      <c r="I656">
        <v>854.95</v>
      </c>
    </row>
    <row r="657" spans="1:9" x14ac:dyDescent="0.25">
      <c r="A657">
        <v>567</v>
      </c>
      <c r="B657">
        <v>22</v>
      </c>
      <c r="C657" t="s">
        <v>45</v>
      </c>
      <c r="D657">
        <v>92601</v>
      </c>
      <c r="E657">
        <v>75</v>
      </c>
      <c r="F657">
        <v>7</v>
      </c>
      <c r="G657">
        <v>49</v>
      </c>
      <c r="H657" t="s">
        <v>14</v>
      </c>
      <c r="I657">
        <v>120.76</v>
      </c>
    </row>
    <row r="658" spans="1:9" x14ac:dyDescent="0.25">
      <c r="A658">
        <v>586</v>
      </c>
      <c r="B658">
        <v>62</v>
      </c>
      <c r="C658" t="s">
        <v>45</v>
      </c>
      <c r="D658">
        <v>147903</v>
      </c>
      <c r="E658">
        <v>79</v>
      </c>
      <c r="F658">
        <v>5</v>
      </c>
      <c r="G658">
        <v>22</v>
      </c>
      <c r="H658" t="s">
        <v>14</v>
      </c>
      <c r="I658">
        <v>203.15</v>
      </c>
    </row>
    <row r="659" spans="1:9" x14ac:dyDescent="0.25">
      <c r="A659">
        <v>598</v>
      </c>
      <c r="B659">
        <v>56</v>
      </c>
      <c r="C659" t="s">
        <v>45</v>
      </c>
      <c r="D659">
        <v>55695</v>
      </c>
      <c r="E659">
        <v>58</v>
      </c>
      <c r="F659">
        <v>7</v>
      </c>
      <c r="G659">
        <v>30</v>
      </c>
      <c r="H659" t="s">
        <v>14</v>
      </c>
      <c r="I659">
        <v>435.76</v>
      </c>
    </row>
    <row r="660" spans="1:9" x14ac:dyDescent="0.25">
      <c r="A660">
        <v>609</v>
      </c>
      <c r="B660">
        <v>53</v>
      </c>
      <c r="C660" t="s">
        <v>45</v>
      </c>
      <c r="D660">
        <v>96499</v>
      </c>
      <c r="E660">
        <v>29</v>
      </c>
      <c r="F660">
        <v>4</v>
      </c>
      <c r="G660">
        <v>5</v>
      </c>
      <c r="H660" t="s">
        <v>14</v>
      </c>
      <c r="I660">
        <v>744.11</v>
      </c>
    </row>
    <row r="661" spans="1:9" x14ac:dyDescent="0.25">
      <c r="A661">
        <v>634</v>
      </c>
      <c r="B661">
        <v>51</v>
      </c>
      <c r="C661" t="s">
        <v>45</v>
      </c>
      <c r="D661">
        <v>143678</v>
      </c>
      <c r="E661">
        <v>50</v>
      </c>
      <c r="F661">
        <v>8</v>
      </c>
      <c r="G661">
        <v>23</v>
      </c>
      <c r="H661" t="s">
        <v>14</v>
      </c>
      <c r="I661">
        <v>916.04</v>
      </c>
    </row>
    <row r="662" spans="1:9" x14ac:dyDescent="0.25">
      <c r="A662">
        <v>647</v>
      </c>
      <c r="B662">
        <v>24</v>
      </c>
      <c r="C662" t="s">
        <v>45</v>
      </c>
      <c r="D662">
        <v>122371</v>
      </c>
      <c r="E662">
        <v>11</v>
      </c>
      <c r="F662">
        <v>2</v>
      </c>
      <c r="G662">
        <v>4</v>
      </c>
      <c r="H662" t="s">
        <v>14</v>
      </c>
      <c r="I662">
        <v>838.19</v>
      </c>
    </row>
    <row r="663" spans="1:9" x14ac:dyDescent="0.25">
      <c r="A663">
        <v>652</v>
      </c>
      <c r="B663">
        <v>32</v>
      </c>
      <c r="C663" t="s">
        <v>45</v>
      </c>
      <c r="D663">
        <v>95862</v>
      </c>
      <c r="E663">
        <v>34</v>
      </c>
      <c r="F663">
        <v>6</v>
      </c>
      <c r="G663">
        <v>41</v>
      </c>
      <c r="H663" t="s">
        <v>14</v>
      </c>
      <c r="I663">
        <v>65.150000000000006</v>
      </c>
    </row>
    <row r="664" spans="1:9" x14ac:dyDescent="0.25">
      <c r="A664">
        <v>674</v>
      </c>
      <c r="B664">
        <v>32</v>
      </c>
      <c r="C664" t="s">
        <v>45</v>
      </c>
      <c r="D664">
        <v>41072</v>
      </c>
      <c r="E664">
        <v>14</v>
      </c>
      <c r="F664">
        <v>5</v>
      </c>
      <c r="G664">
        <v>39</v>
      </c>
      <c r="H664" t="s">
        <v>14</v>
      </c>
      <c r="I664">
        <v>981.04</v>
      </c>
    </row>
    <row r="665" spans="1:9" x14ac:dyDescent="0.25">
      <c r="A665">
        <v>681</v>
      </c>
      <c r="B665">
        <v>49</v>
      </c>
      <c r="C665" t="s">
        <v>45</v>
      </c>
      <c r="D665">
        <v>115974</v>
      </c>
      <c r="E665">
        <v>95</v>
      </c>
      <c r="F665">
        <v>8</v>
      </c>
      <c r="G665">
        <v>22</v>
      </c>
      <c r="H665" t="s">
        <v>14</v>
      </c>
      <c r="I665">
        <v>143</v>
      </c>
    </row>
    <row r="666" spans="1:9" x14ac:dyDescent="0.25">
      <c r="A666">
        <v>698</v>
      </c>
      <c r="B666">
        <v>33</v>
      </c>
      <c r="C666" t="s">
        <v>45</v>
      </c>
      <c r="D666">
        <v>36577</v>
      </c>
      <c r="E666">
        <v>28</v>
      </c>
      <c r="F666">
        <v>4</v>
      </c>
      <c r="G666">
        <v>1</v>
      </c>
      <c r="H666" t="s">
        <v>14</v>
      </c>
      <c r="I666">
        <v>612.54</v>
      </c>
    </row>
    <row r="667" spans="1:9" x14ac:dyDescent="0.25">
      <c r="A667">
        <v>715</v>
      </c>
      <c r="B667">
        <v>43</v>
      </c>
      <c r="C667" t="s">
        <v>45</v>
      </c>
      <c r="D667">
        <v>67912</v>
      </c>
      <c r="E667">
        <v>71</v>
      </c>
      <c r="F667">
        <v>10</v>
      </c>
      <c r="G667">
        <v>35</v>
      </c>
      <c r="H667" t="s">
        <v>14</v>
      </c>
      <c r="I667">
        <v>698.03</v>
      </c>
    </row>
    <row r="668" spans="1:9" x14ac:dyDescent="0.25">
      <c r="A668">
        <v>720</v>
      </c>
      <c r="B668">
        <v>69</v>
      </c>
      <c r="C668" t="s">
        <v>45</v>
      </c>
      <c r="D668">
        <v>72651</v>
      </c>
      <c r="E668">
        <v>58</v>
      </c>
      <c r="F668">
        <v>5</v>
      </c>
      <c r="G668">
        <v>30</v>
      </c>
      <c r="H668" t="s">
        <v>14</v>
      </c>
      <c r="I668">
        <v>103.11</v>
      </c>
    </row>
    <row r="669" spans="1:9" x14ac:dyDescent="0.25">
      <c r="A669">
        <v>732</v>
      </c>
      <c r="B669">
        <v>29</v>
      </c>
      <c r="C669" t="s">
        <v>45</v>
      </c>
      <c r="D669">
        <v>66264</v>
      </c>
      <c r="E669">
        <v>85</v>
      </c>
      <c r="F669">
        <v>2</v>
      </c>
      <c r="G669">
        <v>8</v>
      </c>
      <c r="H669" t="s">
        <v>14</v>
      </c>
      <c r="I669">
        <v>743.3</v>
      </c>
    </row>
    <row r="670" spans="1:9" x14ac:dyDescent="0.25">
      <c r="A670">
        <v>734</v>
      </c>
      <c r="B670">
        <v>23</v>
      </c>
      <c r="C670" t="s">
        <v>45</v>
      </c>
      <c r="D670">
        <v>66886</v>
      </c>
      <c r="E670">
        <v>7</v>
      </c>
      <c r="F670">
        <v>6</v>
      </c>
      <c r="G670">
        <v>40</v>
      </c>
      <c r="H670" t="s">
        <v>14</v>
      </c>
      <c r="I670">
        <v>322.64</v>
      </c>
    </row>
    <row r="671" spans="1:9" x14ac:dyDescent="0.25">
      <c r="A671">
        <v>750</v>
      </c>
      <c r="B671">
        <v>41</v>
      </c>
      <c r="C671" t="s">
        <v>45</v>
      </c>
      <c r="D671">
        <v>74985</v>
      </c>
      <c r="E671">
        <v>68</v>
      </c>
      <c r="F671">
        <v>8</v>
      </c>
      <c r="G671">
        <v>21</v>
      </c>
      <c r="H671" t="s">
        <v>14</v>
      </c>
      <c r="I671">
        <v>123.96</v>
      </c>
    </row>
    <row r="672" spans="1:9" x14ac:dyDescent="0.25">
      <c r="A672">
        <v>753</v>
      </c>
      <c r="B672">
        <v>28</v>
      </c>
      <c r="C672" t="s">
        <v>45</v>
      </c>
      <c r="D672">
        <v>129367</v>
      </c>
      <c r="E672">
        <v>4</v>
      </c>
      <c r="F672">
        <v>1</v>
      </c>
      <c r="G672">
        <v>44</v>
      </c>
      <c r="H672" t="s">
        <v>14</v>
      </c>
      <c r="I672">
        <v>559.61</v>
      </c>
    </row>
    <row r="673" spans="1:9" x14ac:dyDescent="0.25">
      <c r="A673">
        <v>765</v>
      </c>
      <c r="B673">
        <v>40</v>
      </c>
      <c r="C673" t="s">
        <v>45</v>
      </c>
      <c r="D673">
        <v>108344</v>
      </c>
      <c r="E673">
        <v>87</v>
      </c>
      <c r="F673">
        <v>2</v>
      </c>
      <c r="G673">
        <v>13</v>
      </c>
      <c r="H673" t="s">
        <v>14</v>
      </c>
      <c r="I673">
        <v>892.28</v>
      </c>
    </row>
    <row r="674" spans="1:9" x14ac:dyDescent="0.25">
      <c r="A674">
        <v>779</v>
      </c>
      <c r="B674">
        <v>56</v>
      </c>
      <c r="C674" t="s">
        <v>45</v>
      </c>
      <c r="D674">
        <v>43031</v>
      </c>
      <c r="E674">
        <v>56</v>
      </c>
      <c r="F674">
        <v>2</v>
      </c>
      <c r="G674">
        <v>15</v>
      </c>
      <c r="H674" t="s">
        <v>14</v>
      </c>
      <c r="I674">
        <v>830.79</v>
      </c>
    </row>
    <row r="675" spans="1:9" x14ac:dyDescent="0.25">
      <c r="A675">
        <v>809</v>
      </c>
      <c r="B675">
        <v>46</v>
      </c>
      <c r="C675" t="s">
        <v>45</v>
      </c>
      <c r="D675">
        <v>91845</v>
      </c>
      <c r="E675">
        <v>35</v>
      </c>
      <c r="F675">
        <v>8</v>
      </c>
      <c r="G675">
        <v>49</v>
      </c>
      <c r="H675" t="s">
        <v>14</v>
      </c>
      <c r="I675">
        <v>537.23</v>
      </c>
    </row>
    <row r="676" spans="1:9" x14ac:dyDescent="0.25">
      <c r="A676">
        <v>846</v>
      </c>
      <c r="B676">
        <v>60</v>
      </c>
      <c r="C676" t="s">
        <v>45</v>
      </c>
      <c r="D676">
        <v>61376</v>
      </c>
      <c r="E676">
        <v>97</v>
      </c>
      <c r="F676">
        <v>8</v>
      </c>
      <c r="G676">
        <v>9</v>
      </c>
      <c r="H676" t="s">
        <v>14</v>
      </c>
      <c r="I676">
        <v>793.84</v>
      </c>
    </row>
    <row r="677" spans="1:9" x14ac:dyDescent="0.25">
      <c r="A677">
        <v>885</v>
      </c>
      <c r="B677">
        <v>58</v>
      </c>
      <c r="C677" t="s">
        <v>45</v>
      </c>
      <c r="D677">
        <v>149723</v>
      </c>
      <c r="E677">
        <v>70</v>
      </c>
      <c r="F677">
        <v>9</v>
      </c>
      <c r="G677">
        <v>23</v>
      </c>
      <c r="H677" t="s">
        <v>14</v>
      </c>
      <c r="I677">
        <v>374.59</v>
      </c>
    </row>
    <row r="678" spans="1:9" x14ac:dyDescent="0.25">
      <c r="A678">
        <v>917</v>
      </c>
      <c r="B678">
        <v>49</v>
      </c>
      <c r="C678" t="s">
        <v>45</v>
      </c>
      <c r="D678">
        <v>30523</v>
      </c>
      <c r="E678">
        <v>83</v>
      </c>
      <c r="F678">
        <v>4</v>
      </c>
      <c r="G678">
        <v>38</v>
      </c>
      <c r="H678" t="s">
        <v>14</v>
      </c>
      <c r="I678">
        <v>564.48</v>
      </c>
    </row>
    <row r="679" spans="1:9" x14ac:dyDescent="0.25">
      <c r="A679">
        <v>920</v>
      </c>
      <c r="B679">
        <v>60</v>
      </c>
      <c r="C679" t="s">
        <v>45</v>
      </c>
      <c r="D679">
        <v>44555</v>
      </c>
      <c r="E679">
        <v>84</v>
      </c>
      <c r="F679">
        <v>7</v>
      </c>
      <c r="G679">
        <v>28</v>
      </c>
      <c r="H679" t="s">
        <v>14</v>
      </c>
      <c r="I679">
        <v>678.42</v>
      </c>
    </row>
    <row r="680" spans="1:9" x14ac:dyDescent="0.25">
      <c r="A680">
        <v>944</v>
      </c>
      <c r="B680">
        <v>47</v>
      </c>
      <c r="C680" t="s">
        <v>45</v>
      </c>
      <c r="D680">
        <v>37014</v>
      </c>
      <c r="E680">
        <v>76</v>
      </c>
      <c r="F680">
        <v>5</v>
      </c>
      <c r="G680">
        <v>34</v>
      </c>
      <c r="H680" t="s">
        <v>14</v>
      </c>
      <c r="I680">
        <v>880.18</v>
      </c>
    </row>
    <row r="681" spans="1:9" x14ac:dyDescent="0.25">
      <c r="A681">
        <v>951</v>
      </c>
      <c r="B681">
        <v>41</v>
      </c>
      <c r="C681" t="s">
        <v>45</v>
      </c>
      <c r="D681">
        <v>134487</v>
      </c>
      <c r="E681">
        <v>7</v>
      </c>
      <c r="F681">
        <v>10</v>
      </c>
      <c r="G681">
        <v>50</v>
      </c>
      <c r="H681" t="s">
        <v>14</v>
      </c>
      <c r="I681">
        <v>556.1</v>
      </c>
    </row>
    <row r="682" spans="1:9" x14ac:dyDescent="0.25">
      <c r="A682">
        <v>965</v>
      </c>
      <c r="B682">
        <v>49</v>
      </c>
      <c r="C682" t="s">
        <v>45</v>
      </c>
      <c r="D682">
        <v>94218</v>
      </c>
      <c r="E682">
        <v>4</v>
      </c>
      <c r="F682">
        <v>10</v>
      </c>
      <c r="G682">
        <v>5</v>
      </c>
      <c r="H682" t="s">
        <v>14</v>
      </c>
      <c r="I682">
        <v>287.36</v>
      </c>
    </row>
    <row r="683" spans="1:9" x14ac:dyDescent="0.25">
      <c r="A683">
        <v>974</v>
      </c>
      <c r="B683">
        <v>48</v>
      </c>
      <c r="C683" t="s">
        <v>45</v>
      </c>
      <c r="D683">
        <v>75118</v>
      </c>
      <c r="E683">
        <v>84</v>
      </c>
      <c r="F683">
        <v>6</v>
      </c>
      <c r="G683">
        <v>41</v>
      </c>
      <c r="H683" t="s">
        <v>14</v>
      </c>
      <c r="I683">
        <v>711.37</v>
      </c>
    </row>
    <row r="684" spans="1:9" x14ac:dyDescent="0.25">
      <c r="A684">
        <v>984</v>
      </c>
      <c r="B684">
        <v>51</v>
      </c>
      <c r="C684" t="s">
        <v>45</v>
      </c>
      <c r="D684">
        <v>91682</v>
      </c>
      <c r="E684">
        <v>27</v>
      </c>
      <c r="F684">
        <v>9</v>
      </c>
      <c r="G684">
        <v>49</v>
      </c>
      <c r="H684" t="s">
        <v>14</v>
      </c>
      <c r="I684">
        <v>990.87</v>
      </c>
    </row>
    <row r="685" spans="1:9" x14ac:dyDescent="0.25">
      <c r="A685">
        <v>990</v>
      </c>
      <c r="B685">
        <v>31</v>
      </c>
      <c r="C685" t="s">
        <v>45</v>
      </c>
      <c r="D685">
        <v>45695</v>
      </c>
      <c r="E685">
        <v>36</v>
      </c>
      <c r="F685">
        <v>2</v>
      </c>
      <c r="G685">
        <v>31</v>
      </c>
      <c r="H685" t="s">
        <v>14</v>
      </c>
      <c r="I685">
        <v>864.67</v>
      </c>
    </row>
    <row r="686" spans="1:9" x14ac:dyDescent="0.25">
      <c r="A686">
        <v>13</v>
      </c>
      <c r="B686">
        <v>29</v>
      </c>
      <c r="C686" t="s">
        <v>18</v>
      </c>
      <c r="D686">
        <v>87461</v>
      </c>
      <c r="E686">
        <v>81</v>
      </c>
      <c r="F686">
        <v>3</v>
      </c>
      <c r="G686">
        <v>27</v>
      </c>
      <c r="H686" t="s">
        <v>13</v>
      </c>
      <c r="I686">
        <v>101.07</v>
      </c>
    </row>
    <row r="687" spans="1:9" x14ac:dyDescent="0.25">
      <c r="A687">
        <v>21</v>
      </c>
      <c r="B687">
        <v>19</v>
      </c>
      <c r="C687" t="s">
        <v>18</v>
      </c>
      <c r="D687">
        <v>82519</v>
      </c>
      <c r="E687">
        <v>13</v>
      </c>
      <c r="F687">
        <v>4</v>
      </c>
      <c r="G687">
        <v>4</v>
      </c>
      <c r="H687" t="s">
        <v>13</v>
      </c>
      <c r="I687">
        <v>742.39</v>
      </c>
    </row>
    <row r="688" spans="1:9" x14ac:dyDescent="0.25">
      <c r="A688">
        <v>29</v>
      </c>
      <c r="B688">
        <v>18</v>
      </c>
      <c r="C688" t="s">
        <v>18</v>
      </c>
      <c r="D688">
        <v>70721</v>
      </c>
      <c r="E688">
        <v>78</v>
      </c>
      <c r="F688">
        <v>7</v>
      </c>
      <c r="G688">
        <v>1</v>
      </c>
      <c r="H688" t="s">
        <v>13</v>
      </c>
      <c r="I688">
        <v>191.9</v>
      </c>
    </row>
    <row r="689" spans="1:9" x14ac:dyDescent="0.25">
      <c r="A689">
        <v>54</v>
      </c>
      <c r="B689">
        <v>33</v>
      </c>
      <c r="C689" t="s">
        <v>18</v>
      </c>
      <c r="D689">
        <v>45136</v>
      </c>
      <c r="E689">
        <v>84</v>
      </c>
      <c r="F689">
        <v>9</v>
      </c>
      <c r="G689">
        <v>38</v>
      </c>
      <c r="H689" t="s">
        <v>13</v>
      </c>
      <c r="I689">
        <v>332.34</v>
      </c>
    </row>
    <row r="690" spans="1:9" x14ac:dyDescent="0.25">
      <c r="A690">
        <v>74</v>
      </c>
      <c r="B690">
        <v>38</v>
      </c>
      <c r="C690" t="s">
        <v>18</v>
      </c>
      <c r="D690">
        <v>102944</v>
      </c>
      <c r="E690">
        <v>63</v>
      </c>
      <c r="F690">
        <v>8</v>
      </c>
      <c r="G690">
        <v>9</v>
      </c>
      <c r="H690" t="s">
        <v>13</v>
      </c>
      <c r="I690">
        <v>92.69</v>
      </c>
    </row>
    <row r="691" spans="1:9" x14ac:dyDescent="0.25">
      <c r="A691">
        <v>76</v>
      </c>
      <c r="B691">
        <v>60</v>
      </c>
      <c r="C691" t="s">
        <v>18</v>
      </c>
      <c r="D691">
        <v>131101</v>
      </c>
      <c r="E691">
        <v>68</v>
      </c>
      <c r="F691">
        <v>8</v>
      </c>
      <c r="G691">
        <v>28</v>
      </c>
      <c r="H691" t="s">
        <v>13</v>
      </c>
      <c r="I691">
        <v>522.95000000000005</v>
      </c>
    </row>
    <row r="692" spans="1:9" x14ac:dyDescent="0.25">
      <c r="A692">
        <v>110</v>
      </c>
      <c r="B692">
        <v>56</v>
      </c>
      <c r="C692" t="s">
        <v>18</v>
      </c>
      <c r="D692">
        <v>40676</v>
      </c>
      <c r="E692">
        <v>86</v>
      </c>
      <c r="F692">
        <v>7</v>
      </c>
      <c r="G692">
        <v>38</v>
      </c>
      <c r="H692" t="s">
        <v>13</v>
      </c>
      <c r="I692">
        <v>627.65</v>
      </c>
    </row>
    <row r="693" spans="1:9" x14ac:dyDescent="0.25">
      <c r="A693">
        <v>132</v>
      </c>
      <c r="B693">
        <v>67</v>
      </c>
      <c r="C693" t="s">
        <v>18</v>
      </c>
      <c r="D693">
        <v>116124</v>
      </c>
      <c r="E693">
        <v>78</v>
      </c>
      <c r="F693">
        <v>10</v>
      </c>
      <c r="G693">
        <v>28</v>
      </c>
      <c r="H693" t="s">
        <v>13</v>
      </c>
      <c r="I693">
        <v>11.29</v>
      </c>
    </row>
    <row r="694" spans="1:9" x14ac:dyDescent="0.25">
      <c r="A694">
        <v>144</v>
      </c>
      <c r="B694">
        <v>41</v>
      </c>
      <c r="C694" t="s">
        <v>18</v>
      </c>
      <c r="D694">
        <v>82613</v>
      </c>
      <c r="E694">
        <v>49</v>
      </c>
      <c r="F694">
        <v>3</v>
      </c>
      <c r="G694">
        <v>10</v>
      </c>
      <c r="H694" t="s">
        <v>13</v>
      </c>
      <c r="I694">
        <v>421.24</v>
      </c>
    </row>
    <row r="695" spans="1:9" x14ac:dyDescent="0.25">
      <c r="A695">
        <v>148</v>
      </c>
      <c r="B695">
        <v>47</v>
      </c>
      <c r="C695" t="s">
        <v>18</v>
      </c>
      <c r="D695">
        <v>104517</v>
      </c>
      <c r="E695">
        <v>91</v>
      </c>
      <c r="F695">
        <v>2</v>
      </c>
      <c r="G695">
        <v>6</v>
      </c>
      <c r="H695" t="s">
        <v>13</v>
      </c>
      <c r="I695">
        <v>979.41</v>
      </c>
    </row>
    <row r="696" spans="1:9" x14ac:dyDescent="0.25">
      <c r="A696">
        <v>152</v>
      </c>
      <c r="B696">
        <v>45</v>
      </c>
      <c r="C696" t="s">
        <v>18</v>
      </c>
      <c r="D696">
        <v>79721</v>
      </c>
      <c r="E696">
        <v>20</v>
      </c>
      <c r="F696">
        <v>1</v>
      </c>
      <c r="G696">
        <v>1</v>
      </c>
      <c r="H696" t="s">
        <v>13</v>
      </c>
      <c r="I696">
        <v>215.41</v>
      </c>
    </row>
    <row r="697" spans="1:9" x14ac:dyDescent="0.25">
      <c r="A697">
        <v>156</v>
      </c>
      <c r="B697">
        <v>24</v>
      </c>
      <c r="C697" t="s">
        <v>18</v>
      </c>
      <c r="D697">
        <v>103766</v>
      </c>
      <c r="E697">
        <v>77</v>
      </c>
      <c r="F697">
        <v>4</v>
      </c>
      <c r="G697">
        <v>25</v>
      </c>
      <c r="H697" t="s">
        <v>13</v>
      </c>
      <c r="I697">
        <v>663.21</v>
      </c>
    </row>
    <row r="698" spans="1:9" x14ac:dyDescent="0.25">
      <c r="A698">
        <v>173</v>
      </c>
      <c r="B698">
        <v>56</v>
      </c>
      <c r="C698" t="s">
        <v>18</v>
      </c>
      <c r="D698">
        <v>111754</v>
      </c>
      <c r="E698">
        <v>96</v>
      </c>
      <c r="F698">
        <v>8</v>
      </c>
      <c r="G698">
        <v>38</v>
      </c>
      <c r="H698" t="s">
        <v>13</v>
      </c>
      <c r="I698">
        <v>631.05999999999995</v>
      </c>
    </row>
    <row r="699" spans="1:9" x14ac:dyDescent="0.25">
      <c r="A699">
        <v>183</v>
      </c>
      <c r="B699">
        <v>43</v>
      </c>
      <c r="C699" t="s">
        <v>18</v>
      </c>
      <c r="D699">
        <v>32512</v>
      </c>
      <c r="E699">
        <v>95</v>
      </c>
      <c r="F699">
        <v>4</v>
      </c>
      <c r="G699">
        <v>49</v>
      </c>
      <c r="H699" t="s">
        <v>13</v>
      </c>
      <c r="I699">
        <v>223.39</v>
      </c>
    </row>
    <row r="700" spans="1:9" x14ac:dyDescent="0.25">
      <c r="A700">
        <v>185</v>
      </c>
      <c r="B700">
        <v>41</v>
      </c>
      <c r="C700" t="s">
        <v>18</v>
      </c>
      <c r="D700">
        <v>104337</v>
      </c>
      <c r="E700">
        <v>91</v>
      </c>
      <c r="F700">
        <v>6</v>
      </c>
      <c r="G700">
        <v>27</v>
      </c>
      <c r="H700" t="s">
        <v>13</v>
      </c>
      <c r="I700">
        <v>401.63</v>
      </c>
    </row>
    <row r="701" spans="1:9" x14ac:dyDescent="0.25">
      <c r="A701">
        <v>197</v>
      </c>
      <c r="B701">
        <v>34</v>
      </c>
      <c r="C701" t="s">
        <v>18</v>
      </c>
      <c r="D701">
        <v>56125</v>
      </c>
      <c r="E701">
        <v>66</v>
      </c>
      <c r="F701">
        <v>10</v>
      </c>
      <c r="G701">
        <v>26</v>
      </c>
      <c r="H701" t="s">
        <v>13</v>
      </c>
      <c r="I701">
        <v>610.66</v>
      </c>
    </row>
    <row r="702" spans="1:9" x14ac:dyDescent="0.25">
      <c r="A702">
        <v>209</v>
      </c>
      <c r="B702">
        <v>60</v>
      </c>
      <c r="C702" t="s">
        <v>18</v>
      </c>
      <c r="D702">
        <v>124416</v>
      </c>
      <c r="E702">
        <v>24</v>
      </c>
      <c r="F702">
        <v>5</v>
      </c>
      <c r="G702">
        <v>39</v>
      </c>
      <c r="H702" t="s">
        <v>13</v>
      </c>
      <c r="I702">
        <v>544.04</v>
      </c>
    </row>
    <row r="703" spans="1:9" x14ac:dyDescent="0.25">
      <c r="A703">
        <v>226</v>
      </c>
      <c r="B703">
        <v>19</v>
      </c>
      <c r="C703" t="s">
        <v>18</v>
      </c>
      <c r="D703">
        <v>51355</v>
      </c>
      <c r="E703">
        <v>48</v>
      </c>
      <c r="F703">
        <v>8</v>
      </c>
      <c r="G703">
        <v>28</v>
      </c>
      <c r="H703" t="s">
        <v>13</v>
      </c>
      <c r="I703">
        <v>278.20999999999998</v>
      </c>
    </row>
    <row r="704" spans="1:9" x14ac:dyDescent="0.25">
      <c r="A704">
        <v>244</v>
      </c>
      <c r="B704">
        <v>47</v>
      </c>
      <c r="C704" t="s">
        <v>18</v>
      </c>
      <c r="D704">
        <v>108356</v>
      </c>
      <c r="E704">
        <v>84</v>
      </c>
      <c r="F704">
        <v>6</v>
      </c>
      <c r="G704">
        <v>19</v>
      </c>
      <c r="H704" t="s">
        <v>13</v>
      </c>
      <c r="I704">
        <v>911</v>
      </c>
    </row>
    <row r="705" spans="1:9" x14ac:dyDescent="0.25">
      <c r="A705">
        <v>267</v>
      </c>
      <c r="B705">
        <v>57</v>
      </c>
      <c r="C705" t="s">
        <v>18</v>
      </c>
      <c r="D705">
        <v>114972</v>
      </c>
      <c r="E705">
        <v>42</v>
      </c>
      <c r="F705">
        <v>9</v>
      </c>
      <c r="G705">
        <v>12</v>
      </c>
      <c r="H705" t="s">
        <v>13</v>
      </c>
      <c r="I705">
        <v>999.74</v>
      </c>
    </row>
    <row r="706" spans="1:9" x14ac:dyDescent="0.25">
      <c r="A706">
        <v>348</v>
      </c>
      <c r="B706">
        <v>39</v>
      </c>
      <c r="C706" t="s">
        <v>18</v>
      </c>
      <c r="D706">
        <v>136141</v>
      </c>
      <c r="E706">
        <v>58</v>
      </c>
      <c r="F706">
        <v>6</v>
      </c>
      <c r="G706">
        <v>30</v>
      </c>
      <c r="H706" t="s">
        <v>13</v>
      </c>
      <c r="I706">
        <v>211.56</v>
      </c>
    </row>
    <row r="707" spans="1:9" x14ac:dyDescent="0.25">
      <c r="A707">
        <v>368</v>
      </c>
      <c r="B707">
        <v>53</v>
      </c>
      <c r="C707" t="s">
        <v>18</v>
      </c>
      <c r="D707">
        <v>130474</v>
      </c>
      <c r="E707">
        <v>74</v>
      </c>
      <c r="F707">
        <v>10</v>
      </c>
      <c r="G707">
        <v>39</v>
      </c>
      <c r="H707" t="s">
        <v>13</v>
      </c>
      <c r="I707">
        <v>217.92</v>
      </c>
    </row>
    <row r="708" spans="1:9" x14ac:dyDescent="0.25">
      <c r="A708">
        <v>378</v>
      </c>
      <c r="B708">
        <v>45</v>
      </c>
      <c r="C708" t="s">
        <v>18</v>
      </c>
      <c r="D708">
        <v>110174</v>
      </c>
      <c r="E708">
        <v>87</v>
      </c>
      <c r="F708">
        <v>5</v>
      </c>
      <c r="G708">
        <v>32</v>
      </c>
      <c r="H708" t="s">
        <v>13</v>
      </c>
      <c r="I708">
        <v>388.15</v>
      </c>
    </row>
    <row r="709" spans="1:9" x14ac:dyDescent="0.25">
      <c r="A709">
        <v>395</v>
      </c>
      <c r="B709">
        <v>69</v>
      </c>
      <c r="C709" t="s">
        <v>18</v>
      </c>
      <c r="D709">
        <v>119075</v>
      </c>
      <c r="E709">
        <v>40</v>
      </c>
      <c r="F709">
        <v>8</v>
      </c>
      <c r="G709">
        <v>44</v>
      </c>
      <c r="H709" t="s">
        <v>13</v>
      </c>
      <c r="I709">
        <v>866.72</v>
      </c>
    </row>
    <row r="710" spans="1:9" x14ac:dyDescent="0.25">
      <c r="A710">
        <v>409</v>
      </c>
      <c r="B710">
        <v>63</v>
      </c>
      <c r="C710" t="s">
        <v>18</v>
      </c>
      <c r="D710">
        <v>70967</v>
      </c>
      <c r="E710">
        <v>59</v>
      </c>
      <c r="F710">
        <v>6</v>
      </c>
      <c r="G710">
        <v>10</v>
      </c>
      <c r="H710" t="s">
        <v>13</v>
      </c>
      <c r="I710">
        <v>954.05</v>
      </c>
    </row>
    <row r="711" spans="1:9" x14ac:dyDescent="0.25">
      <c r="A711">
        <v>410</v>
      </c>
      <c r="B711">
        <v>20</v>
      </c>
      <c r="C711" t="s">
        <v>18</v>
      </c>
      <c r="D711">
        <v>98213</v>
      </c>
      <c r="E711">
        <v>12</v>
      </c>
      <c r="F711">
        <v>5</v>
      </c>
      <c r="G711">
        <v>37</v>
      </c>
      <c r="H711" t="s">
        <v>13</v>
      </c>
      <c r="I711">
        <v>902.24</v>
      </c>
    </row>
    <row r="712" spans="1:9" x14ac:dyDescent="0.25">
      <c r="A712">
        <v>413</v>
      </c>
      <c r="B712">
        <v>19</v>
      </c>
      <c r="C712" t="s">
        <v>18</v>
      </c>
      <c r="D712">
        <v>105731</v>
      </c>
      <c r="E712">
        <v>9</v>
      </c>
      <c r="F712">
        <v>7</v>
      </c>
      <c r="G712">
        <v>10</v>
      </c>
      <c r="H712" t="s">
        <v>13</v>
      </c>
      <c r="I712">
        <v>421.08</v>
      </c>
    </row>
    <row r="713" spans="1:9" x14ac:dyDescent="0.25">
      <c r="A713">
        <v>435</v>
      </c>
      <c r="B713">
        <v>32</v>
      </c>
      <c r="C713" t="s">
        <v>18</v>
      </c>
      <c r="D713">
        <v>69782</v>
      </c>
      <c r="E713">
        <v>76</v>
      </c>
      <c r="F713">
        <v>1</v>
      </c>
      <c r="G713">
        <v>9</v>
      </c>
      <c r="H713" t="s">
        <v>13</v>
      </c>
      <c r="I713">
        <v>803.28</v>
      </c>
    </row>
    <row r="714" spans="1:9" x14ac:dyDescent="0.25">
      <c r="A714">
        <v>473</v>
      </c>
      <c r="B714">
        <v>53</v>
      </c>
      <c r="C714" t="s">
        <v>18</v>
      </c>
      <c r="D714">
        <v>104435</v>
      </c>
      <c r="E714">
        <v>42</v>
      </c>
      <c r="F714">
        <v>4</v>
      </c>
      <c r="G714">
        <v>34</v>
      </c>
      <c r="H714" t="s">
        <v>13</v>
      </c>
      <c r="I714">
        <v>795.81</v>
      </c>
    </row>
    <row r="715" spans="1:9" x14ac:dyDescent="0.25">
      <c r="A715">
        <v>487</v>
      </c>
      <c r="B715">
        <v>22</v>
      </c>
      <c r="C715" t="s">
        <v>18</v>
      </c>
      <c r="D715">
        <v>104781</v>
      </c>
      <c r="E715">
        <v>64</v>
      </c>
      <c r="F715">
        <v>8</v>
      </c>
      <c r="G715">
        <v>38</v>
      </c>
      <c r="H715" t="s">
        <v>13</v>
      </c>
      <c r="I715">
        <v>151.47999999999999</v>
      </c>
    </row>
    <row r="716" spans="1:9" x14ac:dyDescent="0.25">
      <c r="A716">
        <v>489</v>
      </c>
      <c r="B716">
        <v>26</v>
      </c>
      <c r="C716" t="s">
        <v>18</v>
      </c>
      <c r="D716">
        <v>96845</v>
      </c>
      <c r="E716">
        <v>19</v>
      </c>
      <c r="F716">
        <v>1</v>
      </c>
      <c r="G716">
        <v>5</v>
      </c>
      <c r="H716" t="s">
        <v>13</v>
      </c>
      <c r="I716">
        <v>154.88999999999999</v>
      </c>
    </row>
    <row r="717" spans="1:9" x14ac:dyDescent="0.25">
      <c r="A717">
        <v>514</v>
      </c>
      <c r="B717">
        <v>69</v>
      </c>
      <c r="C717" t="s">
        <v>18</v>
      </c>
      <c r="D717">
        <v>58668</v>
      </c>
      <c r="E717">
        <v>40</v>
      </c>
      <c r="F717">
        <v>2</v>
      </c>
      <c r="G717">
        <v>15</v>
      </c>
      <c r="H717" t="s">
        <v>13</v>
      </c>
      <c r="I717">
        <v>626.35</v>
      </c>
    </row>
    <row r="718" spans="1:9" x14ac:dyDescent="0.25">
      <c r="A718">
        <v>522</v>
      </c>
      <c r="B718">
        <v>29</v>
      </c>
      <c r="C718" t="s">
        <v>18</v>
      </c>
      <c r="D718">
        <v>51471</v>
      </c>
      <c r="E718">
        <v>96</v>
      </c>
      <c r="F718">
        <v>3</v>
      </c>
      <c r="G718">
        <v>13</v>
      </c>
      <c r="H718" t="s">
        <v>13</v>
      </c>
      <c r="I718">
        <v>668.21</v>
      </c>
    </row>
    <row r="719" spans="1:9" x14ac:dyDescent="0.25">
      <c r="A719">
        <v>537</v>
      </c>
      <c r="B719">
        <v>48</v>
      </c>
      <c r="C719" t="s">
        <v>18</v>
      </c>
      <c r="D719">
        <v>57932</v>
      </c>
      <c r="E719">
        <v>70</v>
      </c>
      <c r="F719">
        <v>9</v>
      </c>
      <c r="G719">
        <v>44</v>
      </c>
      <c r="H719" t="s">
        <v>13</v>
      </c>
      <c r="I719">
        <v>192.46</v>
      </c>
    </row>
    <row r="720" spans="1:9" x14ac:dyDescent="0.25">
      <c r="A720">
        <v>548</v>
      </c>
      <c r="B720">
        <v>22</v>
      </c>
      <c r="C720" t="s">
        <v>18</v>
      </c>
      <c r="D720">
        <v>93861</v>
      </c>
      <c r="E720">
        <v>42</v>
      </c>
      <c r="F720">
        <v>6</v>
      </c>
      <c r="G720">
        <v>6</v>
      </c>
      <c r="H720" t="s">
        <v>13</v>
      </c>
      <c r="I720">
        <v>73.13</v>
      </c>
    </row>
    <row r="721" spans="1:9" x14ac:dyDescent="0.25">
      <c r="A721">
        <v>554</v>
      </c>
      <c r="B721">
        <v>61</v>
      </c>
      <c r="C721" t="s">
        <v>18</v>
      </c>
      <c r="D721">
        <v>54256</v>
      </c>
      <c r="E721">
        <v>78</v>
      </c>
      <c r="F721">
        <v>3</v>
      </c>
      <c r="G721">
        <v>3</v>
      </c>
      <c r="H721" t="s">
        <v>13</v>
      </c>
      <c r="I721">
        <v>886.44</v>
      </c>
    </row>
    <row r="722" spans="1:9" x14ac:dyDescent="0.25">
      <c r="A722">
        <v>568</v>
      </c>
      <c r="B722">
        <v>45</v>
      </c>
      <c r="C722" t="s">
        <v>18</v>
      </c>
      <c r="D722">
        <v>41917</v>
      </c>
      <c r="E722">
        <v>58</v>
      </c>
      <c r="F722">
        <v>8</v>
      </c>
      <c r="G722">
        <v>5</v>
      </c>
      <c r="H722" t="s">
        <v>13</v>
      </c>
      <c r="I722">
        <v>870.38</v>
      </c>
    </row>
    <row r="723" spans="1:9" x14ac:dyDescent="0.25">
      <c r="A723">
        <v>610</v>
      </c>
      <c r="B723">
        <v>23</v>
      </c>
      <c r="C723" t="s">
        <v>18</v>
      </c>
      <c r="D723">
        <v>83912</v>
      </c>
      <c r="E723">
        <v>28</v>
      </c>
      <c r="F723">
        <v>6</v>
      </c>
      <c r="G723">
        <v>31</v>
      </c>
      <c r="H723" t="s">
        <v>13</v>
      </c>
      <c r="I723">
        <v>98.32</v>
      </c>
    </row>
    <row r="724" spans="1:9" x14ac:dyDescent="0.25">
      <c r="A724">
        <v>611</v>
      </c>
      <c r="B724">
        <v>42</v>
      </c>
      <c r="C724" t="s">
        <v>18</v>
      </c>
      <c r="D724">
        <v>63444</v>
      </c>
      <c r="E724">
        <v>72</v>
      </c>
      <c r="F724">
        <v>4</v>
      </c>
      <c r="G724">
        <v>40</v>
      </c>
      <c r="H724" t="s">
        <v>13</v>
      </c>
      <c r="I724">
        <v>166.45</v>
      </c>
    </row>
    <row r="725" spans="1:9" x14ac:dyDescent="0.25">
      <c r="A725">
        <v>630</v>
      </c>
      <c r="B725">
        <v>64</v>
      </c>
      <c r="C725" t="s">
        <v>18</v>
      </c>
      <c r="D725">
        <v>145746</v>
      </c>
      <c r="E725">
        <v>76</v>
      </c>
      <c r="F725">
        <v>2</v>
      </c>
      <c r="G725">
        <v>48</v>
      </c>
      <c r="H725" t="s">
        <v>13</v>
      </c>
      <c r="I725">
        <v>49.06</v>
      </c>
    </row>
    <row r="726" spans="1:9" x14ac:dyDescent="0.25">
      <c r="A726">
        <v>638</v>
      </c>
      <c r="B726">
        <v>34</v>
      </c>
      <c r="C726" t="s">
        <v>18</v>
      </c>
      <c r="D726">
        <v>60489</v>
      </c>
      <c r="E726">
        <v>95</v>
      </c>
      <c r="F726">
        <v>3</v>
      </c>
      <c r="G726">
        <v>38</v>
      </c>
      <c r="H726" t="s">
        <v>13</v>
      </c>
      <c r="I726">
        <v>304.86</v>
      </c>
    </row>
    <row r="727" spans="1:9" x14ac:dyDescent="0.25">
      <c r="A727">
        <v>675</v>
      </c>
      <c r="B727">
        <v>64</v>
      </c>
      <c r="C727" t="s">
        <v>18</v>
      </c>
      <c r="D727">
        <v>67704</v>
      </c>
      <c r="E727">
        <v>12</v>
      </c>
      <c r="F727">
        <v>6</v>
      </c>
      <c r="G727">
        <v>17</v>
      </c>
      <c r="H727" t="s">
        <v>13</v>
      </c>
      <c r="I727">
        <v>126.15</v>
      </c>
    </row>
    <row r="728" spans="1:9" x14ac:dyDescent="0.25">
      <c r="A728">
        <v>683</v>
      </c>
      <c r="B728">
        <v>27</v>
      </c>
      <c r="C728" t="s">
        <v>18</v>
      </c>
      <c r="D728">
        <v>89855</v>
      </c>
      <c r="E728">
        <v>54</v>
      </c>
      <c r="F728">
        <v>10</v>
      </c>
      <c r="G728">
        <v>37</v>
      </c>
      <c r="H728" t="s">
        <v>13</v>
      </c>
      <c r="I728">
        <v>750.51</v>
      </c>
    </row>
    <row r="729" spans="1:9" x14ac:dyDescent="0.25">
      <c r="A729">
        <v>703</v>
      </c>
      <c r="B729">
        <v>26</v>
      </c>
      <c r="C729" t="s">
        <v>18</v>
      </c>
      <c r="D729">
        <v>56466</v>
      </c>
      <c r="E729">
        <v>61</v>
      </c>
      <c r="F729">
        <v>3</v>
      </c>
      <c r="G729">
        <v>12</v>
      </c>
      <c r="H729" t="s">
        <v>13</v>
      </c>
      <c r="I729">
        <v>358.22</v>
      </c>
    </row>
    <row r="730" spans="1:9" x14ac:dyDescent="0.25">
      <c r="A730">
        <v>718</v>
      </c>
      <c r="B730">
        <v>57</v>
      </c>
      <c r="C730" t="s">
        <v>18</v>
      </c>
      <c r="D730">
        <v>108833</v>
      </c>
      <c r="E730">
        <v>77</v>
      </c>
      <c r="F730">
        <v>3</v>
      </c>
      <c r="G730">
        <v>37</v>
      </c>
      <c r="H730" t="s">
        <v>13</v>
      </c>
      <c r="I730">
        <v>623.78</v>
      </c>
    </row>
    <row r="731" spans="1:9" x14ac:dyDescent="0.25">
      <c r="A731">
        <v>757</v>
      </c>
      <c r="B731">
        <v>19</v>
      </c>
      <c r="C731" t="s">
        <v>18</v>
      </c>
      <c r="D731">
        <v>129687</v>
      </c>
      <c r="E731">
        <v>78</v>
      </c>
      <c r="F731">
        <v>3</v>
      </c>
      <c r="G731">
        <v>43</v>
      </c>
      <c r="H731" t="s">
        <v>13</v>
      </c>
      <c r="I731">
        <v>679.67</v>
      </c>
    </row>
    <row r="732" spans="1:9" x14ac:dyDescent="0.25">
      <c r="A732">
        <v>791</v>
      </c>
      <c r="B732">
        <v>59</v>
      </c>
      <c r="C732" t="s">
        <v>18</v>
      </c>
      <c r="D732">
        <v>97756</v>
      </c>
      <c r="E732">
        <v>89</v>
      </c>
      <c r="F732">
        <v>6</v>
      </c>
      <c r="G732">
        <v>3</v>
      </c>
      <c r="H732" t="s">
        <v>13</v>
      </c>
      <c r="I732">
        <v>318.74</v>
      </c>
    </row>
    <row r="733" spans="1:9" x14ac:dyDescent="0.25">
      <c r="A733">
        <v>793</v>
      </c>
      <c r="B733">
        <v>63</v>
      </c>
      <c r="C733" t="s">
        <v>18</v>
      </c>
      <c r="D733">
        <v>123481</v>
      </c>
      <c r="E733">
        <v>26</v>
      </c>
      <c r="F733">
        <v>1</v>
      </c>
      <c r="G733">
        <v>26</v>
      </c>
      <c r="H733" t="s">
        <v>13</v>
      </c>
      <c r="I733">
        <v>386.51</v>
      </c>
    </row>
    <row r="734" spans="1:9" x14ac:dyDescent="0.25">
      <c r="A734">
        <v>811</v>
      </c>
      <c r="B734">
        <v>27</v>
      </c>
      <c r="C734" t="s">
        <v>18</v>
      </c>
      <c r="D734">
        <v>78001</v>
      </c>
      <c r="E734">
        <v>50</v>
      </c>
      <c r="F734">
        <v>5</v>
      </c>
      <c r="G734">
        <v>17</v>
      </c>
      <c r="H734" t="s">
        <v>13</v>
      </c>
      <c r="I734">
        <v>117.03</v>
      </c>
    </row>
    <row r="735" spans="1:9" x14ac:dyDescent="0.25">
      <c r="A735">
        <v>815</v>
      </c>
      <c r="B735">
        <v>53</v>
      </c>
      <c r="C735" t="s">
        <v>18</v>
      </c>
      <c r="D735">
        <v>58486</v>
      </c>
      <c r="E735">
        <v>87</v>
      </c>
      <c r="F735">
        <v>8</v>
      </c>
      <c r="G735">
        <v>23</v>
      </c>
      <c r="H735" t="s">
        <v>13</v>
      </c>
      <c r="I735">
        <v>409.35</v>
      </c>
    </row>
    <row r="736" spans="1:9" x14ac:dyDescent="0.25">
      <c r="A736">
        <v>824</v>
      </c>
      <c r="B736">
        <v>38</v>
      </c>
      <c r="C736" t="s">
        <v>18</v>
      </c>
      <c r="D736">
        <v>81244</v>
      </c>
      <c r="E736">
        <v>57</v>
      </c>
      <c r="F736">
        <v>5</v>
      </c>
      <c r="G736">
        <v>3</v>
      </c>
      <c r="H736" t="s">
        <v>13</v>
      </c>
      <c r="I736">
        <v>301.58999999999997</v>
      </c>
    </row>
    <row r="737" spans="1:9" x14ac:dyDescent="0.25">
      <c r="A737">
        <v>831</v>
      </c>
      <c r="B737">
        <v>43</v>
      </c>
      <c r="C737" t="s">
        <v>18</v>
      </c>
      <c r="D737">
        <v>76811</v>
      </c>
      <c r="E737">
        <v>26</v>
      </c>
      <c r="F737">
        <v>1</v>
      </c>
      <c r="G737">
        <v>33</v>
      </c>
      <c r="H737" t="s">
        <v>13</v>
      </c>
      <c r="I737">
        <v>836.5</v>
      </c>
    </row>
    <row r="738" spans="1:9" x14ac:dyDescent="0.25">
      <c r="A738">
        <v>857</v>
      </c>
      <c r="B738">
        <v>19</v>
      </c>
      <c r="C738" t="s">
        <v>18</v>
      </c>
      <c r="D738">
        <v>90561</v>
      </c>
      <c r="E738">
        <v>75</v>
      </c>
      <c r="F738">
        <v>10</v>
      </c>
      <c r="G738">
        <v>23</v>
      </c>
      <c r="H738" t="s">
        <v>13</v>
      </c>
      <c r="I738">
        <v>866.23</v>
      </c>
    </row>
    <row r="739" spans="1:9" x14ac:dyDescent="0.25">
      <c r="A739">
        <v>869</v>
      </c>
      <c r="B739">
        <v>49</v>
      </c>
      <c r="C739" t="s">
        <v>18</v>
      </c>
      <c r="D739">
        <v>61376</v>
      </c>
      <c r="E739">
        <v>47</v>
      </c>
      <c r="F739">
        <v>5</v>
      </c>
      <c r="G739">
        <v>16</v>
      </c>
      <c r="H739" t="s">
        <v>13</v>
      </c>
      <c r="I739">
        <v>241.25</v>
      </c>
    </row>
    <row r="740" spans="1:9" x14ac:dyDescent="0.25">
      <c r="A740">
        <v>871</v>
      </c>
      <c r="B740">
        <v>57</v>
      </c>
      <c r="C740" t="s">
        <v>18</v>
      </c>
      <c r="D740">
        <v>128481</v>
      </c>
      <c r="E740">
        <v>86</v>
      </c>
      <c r="F740">
        <v>10</v>
      </c>
      <c r="G740">
        <v>40</v>
      </c>
      <c r="H740" t="s">
        <v>13</v>
      </c>
      <c r="I740">
        <v>727.15</v>
      </c>
    </row>
    <row r="741" spans="1:9" x14ac:dyDescent="0.25">
      <c r="A741">
        <v>875</v>
      </c>
      <c r="B741">
        <v>25</v>
      </c>
      <c r="C741" t="s">
        <v>18</v>
      </c>
      <c r="D741">
        <v>76606</v>
      </c>
      <c r="E741">
        <v>99</v>
      </c>
      <c r="F741">
        <v>10</v>
      </c>
      <c r="G741">
        <v>32</v>
      </c>
      <c r="H741" t="s">
        <v>13</v>
      </c>
      <c r="I741">
        <v>472.4</v>
      </c>
    </row>
    <row r="742" spans="1:9" x14ac:dyDescent="0.25">
      <c r="A742">
        <v>877</v>
      </c>
      <c r="B742">
        <v>51</v>
      </c>
      <c r="C742" t="s">
        <v>18</v>
      </c>
      <c r="D742">
        <v>127950</v>
      </c>
      <c r="E742">
        <v>27</v>
      </c>
      <c r="F742">
        <v>3</v>
      </c>
      <c r="G742">
        <v>45</v>
      </c>
      <c r="H742" t="s">
        <v>13</v>
      </c>
      <c r="I742">
        <v>412.76</v>
      </c>
    </row>
    <row r="743" spans="1:9" x14ac:dyDescent="0.25">
      <c r="A743">
        <v>878</v>
      </c>
      <c r="B743">
        <v>45</v>
      </c>
      <c r="C743" t="s">
        <v>18</v>
      </c>
      <c r="D743">
        <v>51646</v>
      </c>
      <c r="E743">
        <v>61</v>
      </c>
      <c r="F743">
        <v>5</v>
      </c>
      <c r="G743">
        <v>41</v>
      </c>
      <c r="H743" t="s">
        <v>13</v>
      </c>
      <c r="I743">
        <v>246.41</v>
      </c>
    </row>
    <row r="744" spans="1:9" x14ac:dyDescent="0.25">
      <c r="A744">
        <v>893</v>
      </c>
      <c r="B744">
        <v>24</v>
      </c>
      <c r="C744" t="s">
        <v>18</v>
      </c>
      <c r="D744">
        <v>60763</v>
      </c>
      <c r="E744">
        <v>92</v>
      </c>
      <c r="F744">
        <v>5</v>
      </c>
      <c r="G744">
        <v>29</v>
      </c>
      <c r="H744" t="s">
        <v>13</v>
      </c>
      <c r="I744">
        <v>320.7</v>
      </c>
    </row>
    <row r="745" spans="1:9" x14ac:dyDescent="0.25">
      <c r="A745">
        <v>900</v>
      </c>
      <c r="B745">
        <v>52</v>
      </c>
      <c r="C745" t="s">
        <v>18</v>
      </c>
      <c r="D745">
        <v>41544</v>
      </c>
      <c r="E745">
        <v>1</v>
      </c>
      <c r="F745">
        <v>10</v>
      </c>
      <c r="G745">
        <v>46</v>
      </c>
      <c r="H745" t="s">
        <v>13</v>
      </c>
      <c r="I745">
        <v>720.52</v>
      </c>
    </row>
    <row r="746" spans="1:9" x14ac:dyDescent="0.25">
      <c r="A746">
        <v>901</v>
      </c>
      <c r="B746">
        <v>57</v>
      </c>
      <c r="C746" t="s">
        <v>18</v>
      </c>
      <c r="D746">
        <v>135440</v>
      </c>
      <c r="E746">
        <v>46</v>
      </c>
      <c r="F746">
        <v>8</v>
      </c>
      <c r="G746">
        <v>3</v>
      </c>
      <c r="H746" t="s">
        <v>13</v>
      </c>
      <c r="I746">
        <v>442.46</v>
      </c>
    </row>
    <row r="747" spans="1:9" x14ac:dyDescent="0.25">
      <c r="A747">
        <v>902</v>
      </c>
      <c r="B747">
        <v>55</v>
      </c>
      <c r="C747" t="s">
        <v>18</v>
      </c>
      <c r="D747">
        <v>72193</v>
      </c>
      <c r="E747">
        <v>39</v>
      </c>
      <c r="F747">
        <v>2</v>
      </c>
      <c r="G747">
        <v>6</v>
      </c>
      <c r="H747" t="s">
        <v>13</v>
      </c>
      <c r="I747">
        <v>207.44</v>
      </c>
    </row>
    <row r="748" spans="1:9" x14ac:dyDescent="0.25">
      <c r="A748">
        <v>937</v>
      </c>
      <c r="B748">
        <v>43</v>
      </c>
      <c r="C748" t="s">
        <v>18</v>
      </c>
      <c r="D748">
        <v>42201</v>
      </c>
      <c r="E748">
        <v>76</v>
      </c>
      <c r="F748">
        <v>1</v>
      </c>
      <c r="G748">
        <v>50</v>
      </c>
      <c r="H748" t="s">
        <v>13</v>
      </c>
      <c r="I748">
        <v>106.48</v>
      </c>
    </row>
    <row r="749" spans="1:9" x14ac:dyDescent="0.25">
      <c r="A749">
        <v>940</v>
      </c>
      <c r="B749">
        <v>56</v>
      </c>
      <c r="C749" t="s">
        <v>18</v>
      </c>
      <c r="D749">
        <v>51736</v>
      </c>
      <c r="E749">
        <v>3</v>
      </c>
      <c r="F749">
        <v>9</v>
      </c>
      <c r="G749">
        <v>25</v>
      </c>
      <c r="H749" t="s">
        <v>13</v>
      </c>
      <c r="I749">
        <v>666.01</v>
      </c>
    </row>
    <row r="750" spans="1:9" x14ac:dyDescent="0.25">
      <c r="A750">
        <v>961</v>
      </c>
      <c r="B750">
        <v>23</v>
      </c>
      <c r="C750" t="s">
        <v>18</v>
      </c>
      <c r="D750">
        <v>60808</v>
      </c>
      <c r="E750">
        <v>96</v>
      </c>
      <c r="F750">
        <v>2</v>
      </c>
      <c r="G750">
        <v>12</v>
      </c>
      <c r="H750" t="s">
        <v>13</v>
      </c>
      <c r="I750">
        <v>231.03</v>
      </c>
    </row>
    <row r="751" spans="1:9" x14ac:dyDescent="0.25">
      <c r="A751">
        <v>971</v>
      </c>
      <c r="B751">
        <v>58</v>
      </c>
      <c r="C751" t="s">
        <v>18</v>
      </c>
      <c r="D751">
        <v>51913</v>
      </c>
      <c r="E751">
        <v>14</v>
      </c>
      <c r="F751">
        <v>4</v>
      </c>
      <c r="G751">
        <v>21</v>
      </c>
      <c r="H751" t="s">
        <v>13</v>
      </c>
      <c r="I751">
        <v>733.63</v>
      </c>
    </row>
    <row r="752" spans="1:9" x14ac:dyDescent="0.25">
      <c r="A752">
        <v>975</v>
      </c>
      <c r="B752">
        <v>49</v>
      </c>
      <c r="C752" t="s">
        <v>18</v>
      </c>
      <c r="D752">
        <v>79546</v>
      </c>
      <c r="E752">
        <v>26</v>
      </c>
      <c r="F752">
        <v>5</v>
      </c>
      <c r="G752">
        <v>12</v>
      </c>
      <c r="H752" t="s">
        <v>13</v>
      </c>
      <c r="I752">
        <v>935.73</v>
      </c>
    </row>
    <row r="753" spans="1:9" x14ac:dyDescent="0.25">
      <c r="A753">
        <v>993</v>
      </c>
      <c r="B753">
        <v>22</v>
      </c>
      <c r="C753" t="s">
        <v>18</v>
      </c>
      <c r="D753">
        <v>125479</v>
      </c>
      <c r="E753">
        <v>57</v>
      </c>
      <c r="F753">
        <v>8</v>
      </c>
      <c r="G753">
        <v>27</v>
      </c>
      <c r="H753" t="s">
        <v>13</v>
      </c>
      <c r="I753">
        <v>139.75</v>
      </c>
    </row>
    <row r="754" spans="1:9" x14ac:dyDescent="0.25">
      <c r="A754">
        <v>1</v>
      </c>
      <c r="B754">
        <v>38</v>
      </c>
      <c r="C754" t="s">
        <v>18</v>
      </c>
      <c r="D754">
        <v>99342</v>
      </c>
      <c r="E754">
        <v>90</v>
      </c>
      <c r="F754">
        <v>3</v>
      </c>
      <c r="G754">
        <v>24</v>
      </c>
      <c r="H754" t="s">
        <v>16</v>
      </c>
      <c r="I754">
        <v>113.53</v>
      </c>
    </row>
    <row r="755" spans="1:9" x14ac:dyDescent="0.25">
      <c r="A755">
        <v>50</v>
      </c>
      <c r="B755">
        <v>68</v>
      </c>
      <c r="C755" t="s">
        <v>18</v>
      </c>
      <c r="D755">
        <v>146519</v>
      </c>
      <c r="E755">
        <v>96</v>
      </c>
      <c r="F755">
        <v>2</v>
      </c>
      <c r="G755">
        <v>18</v>
      </c>
      <c r="H755" t="s">
        <v>16</v>
      </c>
      <c r="I755">
        <v>673.79</v>
      </c>
    </row>
    <row r="756" spans="1:9" x14ac:dyDescent="0.25">
      <c r="A756">
        <v>73</v>
      </c>
      <c r="B756">
        <v>31</v>
      </c>
      <c r="C756" t="s">
        <v>18</v>
      </c>
      <c r="D756">
        <v>112452</v>
      </c>
      <c r="E756">
        <v>21</v>
      </c>
      <c r="F756">
        <v>1</v>
      </c>
      <c r="G756">
        <v>5</v>
      </c>
      <c r="H756" t="s">
        <v>16</v>
      </c>
      <c r="I756">
        <v>552.21</v>
      </c>
    </row>
    <row r="757" spans="1:9" x14ac:dyDescent="0.25">
      <c r="A757">
        <v>82</v>
      </c>
      <c r="B757">
        <v>36</v>
      </c>
      <c r="C757" t="s">
        <v>18</v>
      </c>
      <c r="D757">
        <v>148542</v>
      </c>
      <c r="E757">
        <v>60</v>
      </c>
      <c r="F757">
        <v>1</v>
      </c>
      <c r="G757">
        <v>17</v>
      </c>
      <c r="H757" t="s">
        <v>16</v>
      </c>
      <c r="I757">
        <v>15.66</v>
      </c>
    </row>
    <row r="758" spans="1:9" x14ac:dyDescent="0.25">
      <c r="A758">
        <v>101</v>
      </c>
      <c r="B758">
        <v>40</v>
      </c>
      <c r="C758" t="s">
        <v>18</v>
      </c>
      <c r="D758">
        <v>115569</v>
      </c>
      <c r="E758">
        <v>1</v>
      </c>
      <c r="F758">
        <v>2</v>
      </c>
      <c r="G758">
        <v>5</v>
      </c>
      <c r="H758" t="s">
        <v>16</v>
      </c>
      <c r="I758">
        <v>241.91</v>
      </c>
    </row>
    <row r="759" spans="1:9" x14ac:dyDescent="0.25">
      <c r="A759">
        <v>121</v>
      </c>
      <c r="B759">
        <v>47</v>
      </c>
      <c r="C759" t="s">
        <v>18</v>
      </c>
      <c r="D759">
        <v>112072</v>
      </c>
      <c r="E759">
        <v>50</v>
      </c>
      <c r="F759">
        <v>5</v>
      </c>
      <c r="G759">
        <v>21</v>
      </c>
      <c r="H759" t="s">
        <v>16</v>
      </c>
      <c r="I759">
        <v>884.19</v>
      </c>
    </row>
    <row r="760" spans="1:9" x14ac:dyDescent="0.25">
      <c r="A760">
        <v>139</v>
      </c>
      <c r="B760">
        <v>18</v>
      </c>
      <c r="C760" t="s">
        <v>18</v>
      </c>
      <c r="D760">
        <v>99638</v>
      </c>
      <c r="E760">
        <v>33</v>
      </c>
      <c r="F760">
        <v>8</v>
      </c>
      <c r="G760">
        <v>23</v>
      </c>
      <c r="H760" t="s">
        <v>16</v>
      </c>
      <c r="I760">
        <v>316.27</v>
      </c>
    </row>
    <row r="761" spans="1:9" x14ac:dyDescent="0.25">
      <c r="A761">
        <v>166</v>
      </c>
      <c r="B761">
        <v>41</v>
      </c>
      <c r="C761" t="s">
        <v>18</v>
      </c>
      <c r="D761">
        <v>48155</v>
      </c>
      <c r="E761">
        <v>19</v>
      </c>
      <c r="F761">
        <v>10</v>
      </c>
      <c r="G761">
        <v>36</v>
      </c>
      <c r="H761" t="s">
        <v>16</v>
      </c>
      <c r="I761">
        <v>566.65</v>
      </c>
    </row>
    <row r="762" spans="1:9" x14ac:dyDescent="0.25">
      <c r="A762">
        <v>179</v>
      </c>
      <c r="B762">
        <v>45</v>
      </c>
      <c r="C762" t="s">
        <v>18</v>
      </c>
      <c r="D762">
        <v>102050</v>
      </c>
      <c r="E762">
        <v>57</v>
      </c>
      <c r="F762">
        <v>8</v>
      </c>
      <c r="G762">
        <v>39</v>
      </c>
      <c r="H762" t="s">
        <v>16</v>
      </c>
      <c r="I762">
        <v>263.93</v>
      </c>
    </row>
    <row r="763" spans="1:9" x14ac:dyDescent="0.25">
      <c r="A763">
        <v>193</v>
      </c>
      <c r="B763">
        <v>69</v>
      </c>
      <c r="C763" t="s">
        <v>18</v>
      </c>
      <c r="D763">
        <v>39509</v>
      </c>
      <c r="E763">
        <v>10</v>
      </c>
      <c r="F763">
        <v>6</v>
      </c>
      <c r="G763">
        <v>27</v>
      </c>
      <c r="H763" t="s">
        <v>16</v>
      </c>
      <c r="I763">
        <v>377.66</v>
      </c>
    </row>
    <row r="764" spans="1:9" x14ac:dyDescent="0.25">
      <c r="A764">
        <v>199</v>
      </c>
      <c r="B764">
        <v>45</v>
      </c>
      <c r="C764" t="s">
        <v>18</v>
      </c>
      <c r="D764">
        <v>82014</v>
      </c>
      <c r="E764">
        <v>30</v>
      </c>
      <c r="F764">
        <v>10</v>
      </c>
      <c r="G764">
        <v>15</v>
      </c>
      <c r="H764" t="s">
        <v>16</v>
      </c>
      <c r="I764">
        <v>81.91</v>
      </c>
    </row>
    <row r="765" spans="1:9" x14ac:dyDescent="0.25">
      <c r="A765">
        <v>224</v>
      </c>
      <c r="B765">
        <v>51</v>
      </c>
      <c r="C765" t="s">
        <v>18</v>
      </c>
      <c r="D765">
        <v>33665</v>
      </c>
      <c r="E765">
        <v>12</v>
      </c>
      <c r="F765">
        <v>2</v>
      </c>
      <c r="G765">
        <v>2</v>
      </c>
      <c r="H765" t="s">
        <v>16</v>
      </c>
      <c r="I765">
        <v>139.07</v>
      </c>
    </row>
    <row r="766" spans="1:9" x14ac:dyDescent="0.25">
      <c r="A766">
        <v>233</v>
      </c>
      <c r="B766">
        <v>41</v>
      </c>
      <c r="C766" t="s">
        <v>18</v>
      </c>
      <c r="D766">
        <v>88312</v>
      </c>
      <c r="E766">
        <v>22</v>
      </c>
      <c r="F766">
        <v>6</v>
      </c>
      <c r="G766">
        <v>31</v>
      </c>
      <c r="H766" t="s">
        <v>16</v>
      </c>
      <c r="I766">
        <v>212.53</v>
      </c>
    </row>
    <row r="767" spans="1:9" x14ac:dyDescent="0.25">
      <c r="A767">
        <v>235</v>
      </c>
      <c r="B767">
        <v>19</v>
      </c>
      <c r="C767" t="s">
        <v>18</v>
      </c>
      <c r="D767">
        <v>41542</v>
      </c>
      <c r="E767">
        <v>21</v>
      </c>
      <c r="F767">
        <v>1</v>
      </c>
      <c r="G767">
        <v>22</v>
      </c>
      <c r="H767" t="s">
        <v>16</v>
      </c>
      <c r="I767">
        <v>132.88</v>
      </c>
    </row>
    <row r="768" spans="1:9" x14ac:dyDescent="0.25">
      <c r="A768">
        <v>239</v>
      </c>
      <c r="B768">
        <v>64</v>
      </c>
      <c r="C768" t="s">
        <v>18</v>
      </c>
      <c r="D768">
        <v>124599</v>
      </c>
      <c r="E768">
        <v>41</v>
      </c>
      <c r="F768">
        <v>9</v>
      </c>
      <c r="G768">
        <v>41</v>
      </c>
      <c r="H768" t="s">
        <v>16</v>
      </c>
      <c r="I768">
        <v>924.18</v>
      </c>
    </row>
    <row r="769" spans="1:9" x14ac:dyDescent="0.25">
      <c r="A769">
        <v>240</v>
      </c>
      <c r="B769">
        <v>44</v>
      </c>
      <c r="C769" t="s">
        <v>18</v>
      </c>
      <c r="D769">
        <v>121975</v>
      </c>
      <c r="E769">
        <v>33</v>
      </c>
      <c r="F769">
        <v>6</v>
      </c>
      <c r="G769">
        <v>27</v>
      </c>
      <c r="H769" t="s">
        <v>16</v>
      </c>
      <c r="I769">
        <v>640.96</v>
      </c>
    </row>
    <row r="770" spans="1:9" x14ac:dyDescent="0.25">
      <c r="A770">
        <v>276</v>
      </c>
      <c r="B770">
        <v>39</v>
      </c>
      <c r="C770" t="s">
        <v>18</v>
      </c>
      <c r="D770">
        <v>39931</v>
      </c>
      <c r="E770">
        <v>43</v>
      </c>
      <c r="F770">
        <v>1</v>
      </c>
      <c r="G770">
        <v>28</v>
      </c>
      <c r="H770" t="s">
        <v>16</v>
      </c>
      <c r="I770">
        <v>261.36</v>
      </c>
    </row>
    <row r="771" spans="1:9" x14ac:dyDescent="0.25">
      <c r="A771">
        <v>301</v>
      </c>
      <c r="B771">
        <v>52</v>
      </c>
      <c r="C771" t="s">
        <v>18</v>
      </c>
      <c r="D771">
        <v>106147</v>
      </c>
      <c r="E771">
        <v>2</v>
      </c>
      <c r="F771">
        <v>6</v>
      </c>
      <c r="G771">
        <v>19</v>
      </c>
      <c r="H771" t="s">
        <v>16</v>
      </c>
      <c r="I771">
        <v>412.65</v>
      </c>
    </row>
    <row r="772" spans="1:9" x14ac:dyDescent="0.25">
      <c r="A772">
        <v>309</v>
      </c>
      <c r="B772">
        <v>64</v>
      </c>
      <c r="C772" t="s">
        <v>18</v>
      </c>
      <c r="D772">
        <v>96182</v>
      </c>
      <c r="E772">
        <v>44</v>
      </c>
      <c r="F772">
        <v>4</v>
      </c>
      <c r="G772">
        <v>8</v>
      </c>
      <c r="H772" t="s">
        <v>16</v>
      </c>
      <c r="I772">
        <v>509.31</v>
      </c>
    </row>
    <row r="773" spans="1:9" x14ac:dyDescent="0.25">
      <c r="A773">
        <v>328</v>
      </c>
      <c r="B773">
        <v>41</v>
      </c>
      <c r="C773" t="s">
        <v>18</v>
      </c>
      <c r="D773">
        <v>64634</v>
      </c>
      <c r="E773">
        <v>55</v>
      </c>
      <c r="F773">
        <v>9</v>
      </c>
      <c r="G773">
        <v>44</v>
      </c>
      <c r="H773" t="s">
        <v>16</v>
      </c>
      <c r="I773">
        <v>488.07</v>
      </c>
    </row>
    <row r="774" spans="1:9" x14ac:dyDescent="0.25">
      <c r="A774">
        <v>375</v>
      </c>
      <c r="B774">
        <v>33</v>
      </c>
      <c r="C774" t="s">
        <v>18</v>
      </c>
      <c r="D774">
        <v>58367</v>
      </c>
      <c r="E774">
        <v>11</v>
      </c>
      <c r="F774">
        <v>4</v>
      </c>
      <c r="G774">
        <v>29</v>
      </c>
      <c r="H774" t="s">
        <v>16</v>
      </c>
      <c r="I774">
        <v>826.87</v>
      </c>
    </row>
    <row r="775" spans="1:9" x14ac:dyDescent="0.25">
      <c r="A775">
        <v>399</v>
      </c>
      <c r="B775">
        <v>19</v>
      </c>
      <c r="C775" t="s">
        <v>18</v>
      </c>
      <c r="D775">
        <v>69790</v>
      </c>
      <c r="E775">
        <v>3</v>
      </c>
      <c r="F775">
        <v>9</v>
      </c>
      <c r="G775">
        <v>38</v>
      </c>
      <c r="H775" t="s">
        <v>16</v>
      </c>
      <c r="I775">
        <v>596.63</v>
      </c>
    </row>
    <row r="776" spans="1:9" x14ac:dyDescent="0.25">
      <c r="A776">
        <v>414</v>
      </c>
      <c r="B776">
        <v>69</v>
      </c>
      <c r="C776" t="s">
        <v>18</v>
      </c>
      <c r="D776">
        <v>117737</v>
      </c>
      <c r="E776">
        <v>6</v>
      </c>
      <c r="F776">
        <v>4</v>
      </c>
      <c r="G776">
        <v>9</v>
      </c>
      <c r="H776" t="s">
        <v>16</v>
      </c>
      <c r="I776">
        <v>877.51</v>
      </c>
    </row>
    <row r="777" spans="1:9" x14ac:dyDescent="0.25">
      <c r="A777">
        <v>445</v>
      </c>
      <c r="B777">
        <v>62</v>
      </c>
      <c r="C777" t="s">
        <v>18</v>
      </c>
      <c r="D777">
        <v>75974</v>
      </c>
      <c r="E777">
        <v>68</v>
      </c>
      <c r="F777">
        <v>4</v>
      </c>
      <c r="G777">
        <v>46</v>
      </c>
      <c r="H777" t="s">
        <v>16</v>
      </c>
      <c r="I777">
        <v>180.09</v>
      </c>
    </row>
    <row r="778" spans="1:9" x14ac:dyDescent="0.25">
      <c r="A778">
        <v>474</v>
      </c>
      <c r="B778">
        <v>54</v>
      </c>
      <c r="C778" t="s">
        <v>18</v>
      </c>
      <c r="D778">
        <v>111261</v>
      </c>
      <c r="E778">
        <v>56</v>
      </c>
      <c r="F778">
        <v>1</v>
      </c>
      <c r="G778">
        <v>44</v>
      </c>
      <c r="H778" t="s">
        <v>16</v>
      </c>
      <c r="I778">
        <v>216.09</v>
      </c>
    </row>
    <row r="779" spans="1:9" x14ac:dyDescent="0.25">
      <c r="A779">
        <v>483</v>
      </c>
      <c r="B779">
        <v>44</v>
      </c>
      <c r="C779" t="s">
        <v>18</v>
      </c>
      <c r="D779">
        <v>43069</v>
      </c>
      <c r="E779">
        <v>55</v>
      </c>
      <c r="F779">
        <v>6</v>
      </c>
      <c r="G779">
        <v>33</v>
      </c>
      <c r="H779" t="s">
        <v>16</v>
      </c>
      <c r="I779">
        <v>501.34</v>
      </c>
    </row>
    <row r="780" spans="1:9" x14ac:dyDescent="0.25">
      <c r="A780">
        <v>491</v>
      </c>
      <c r="B780">
        <v>22</v>
      </c>
      <c r="C780" t="s">
        <v>18</v>
      </c>
      <c r="D780">
        <v>46900</v>
      </c>
      <c r="E780">
        <v>70</v>
      </c>
      <c r="F780">
        <v>1</v>
      </c>
      <c r="G780">
        <v>24</v>
      </c>
      <c r="H780" t="s">
        <v>16</v>
      </c>
      <c r="I780">
        <v>325.45999999999998</v>
      </c>
    </row>
    <row r="781" spans="1:9" x14ac:dyDescent="0.25">
      <c r="A781">
        <v>518</v>
      </c>
      <c r="B781">
        <v>45</v>
      </c>
      <c r="C781" t="s">
        <v>18</v>
      </c>
      <c r="D781">
        <v>110280</v>
      </c>
      <c r="E781">
        <v>85</v>
      </c>
      <c r="F781">
        <v>4</v>
      </c>
      <c r="G781">
        <v>21</v>
      </c>
      <c r="H781" t="s">
        <v>16</v>
      </c>
      <c r="I781">
        <v>944.07</v>
      </c>
    </row>
    <row r="782" spans="1:9" x14ac:dyDescent="0.25">
      <c r="A782">
        <v>543</v>
      </c>
      <c r="B782">
        <v>68</v>
      </c>
      <c r="C782" t="s">
        <v>18</v>
      </c>
      <c r="D782">
        <v>40478</v>
      </c>
      <c r="E782">
        <v>22</v>
      </c>
      <c r="F782">
        <v>4</v>
      </c>
      <c r="G782">
        <v>46</v>
      </c>
      <c r="H782" t="s">
        <v>16</v>
      </c>
      <c r="I782">
        <v>954.91</v>
      </c>
    </row>
    <row r="783" spans="1:9" x14ac:dyDescent="0.25">
      <c r="A783">
        <v>556</v>
      </c>
      <c r="B783">
        <v>25</v>
      </c>
      <c r="C783" t="s">
        <v>18</v>
      </c>
      <c r="D783">
        <v>52403</v>
      </c>
      <c r="E783">
        <v>53</v>
      </c>
      <c r="F783">
        <v>1</v>
      </c>
      <c r="G783">
        <v>14</v>
      </c>
      <c r="H783" t="s">
        <v>16</v>
      </c>
      <c r="I783">
        <v>73.34</v>
      </c>
    </row>
    <row r="784" spans="1:9" x14ac:dyDescent="0.25">
      <c r="A784">
        <v>569</v>
      </c>
      <c r="B784">
        <v>29</v>
      </c>
      <c r="C784" t="s">
        <v>18</v>
      </c>
      <c r="D784">
        <v>59815</v>
      </c>
      <c r="E784">
        <v>43</v>
      </c>
      <c r="F784">
        <v>6</v>
      </c>
      <c r="G784">
        <v>24</v>
      </c>
      <c r="H784" t="s">
        <v>16</v>
      </c>
      <c r="I784">
        <v>105.48</v>
      </c>
    </row>
    <row r="785" spans="1:9" x14ac:dyDescent="0.25">
      <c r="A785">
        <v>573</v>
      </c>
      <c r="B785">
        <v>40</v>
      </c>
      <c r="C785" t="s">
        <v>18</v>
      </c>
      <c r="D785">
        <v>143338</v>
      </c>
      <c r="E785">
        <v>6</v>
      </c>
      <c r="F785">
        <v>8</v>
      </c>
      <c r="G785">
        <v>26</v>
      </c>
      <c r="H785" t="s">
        <v>16</v>
      </c>
      <c r="I785">
        <v>491.07</v>
      </c>
    </row>
    <row r="786" spans="1:9" x14ac:dyDescent="0.25">
      <c r="A786">
        <v>577</v>
      </c>
      <c r="B786">
        <v>32</v>
      </c>
      <c r="C786" t="s">
        <v>18</v>
      </c>
      <c r="D786">
        <v>46610</v>
      </c>
      <c r="E786">
        <v>92</v>
      </c>
      <c r="F786">
        <v>5</v>
      </c>
      <c r="G786">
        <v>9</v>
      </c>
      <c r="H786" t="s">
        <v>16</v>
      </c>
      <c r="I786">
        <v>409.85</v>
      </c>
    </row>
    <row r="787" spans="1:9" x14ac:dyDescent="0.25">
      <c r="A787">
        <v>580</v>
      </c>
      <c r="B787">
        <v>51</v>
      </c>
      <c r="C787" t="s">
        <v>18</v>
      </c>
      <c r="D787">
        <v>149744</v>
      </c>
      <c r="E787">
        <v>99</v>
      </c>
      <c r="F787">
        <v>1</v>
      </c>
      <c r="G787">
        <v>12</v>
      </c>
      <c r="H787" t="s">
        <v>16</v>
      </c>
      <c r="I787">
        <v>215.92</v>
      </c>
    </row>
    <row r="788" spans="1:9" x14ac:dyDescent="0.25">
      <c r="A788">
        <v>601</v>
      </c>
      <c r="B788">
        <v>53</v>
      </c>
      <c r="C788" t="s">
        <v>18</v>
      </c>
      <c r="D788">
        <v>137854</v>
      </c>
      <c r="E788">
        <v>33</v>
      </c>
      <c r="F788">
        <v>10</v>
      </c>
      <c r="G788">
        <v>47</v>
      </c>
      <c r="H788" t="s">
        <v>16</v>
      </c>
      <c r="I788">
        <v>523.27</v>
      </c>
    </row>
    <row r="789" spans="1:9" x14ac:dyDescent="0.25">
      <c r="A789">
        <v>631</v>
      </c>
      <c r="B789">
        <v>47</v>
      </c>
      <c r="C789" t="s">
        <v>18</v>
      </c>
      <c r="D789">
        <v>108766</v>
      </c>
      <c r="E789">
        <v>37</v>
      </c>
      <c r="F789">
        <v>7</v>
      </c>
      <c r="G789">
        <v>38</v>
      </c>
      <c r="H789" t="s">
        <v>16</v>
      </c>
      <c r="I789">
        <v>640.54999999999995</v>
      </c>
    </row>
    <row r="790" spans="1:9" x14ac:dyDescent="0.25">
      <c r="A790">
        <v>648</v>
      </c>
      <c r="B790">
        <v>43</v>
      </c>
      <c r="C790" t="s">
        <v>18</v>
      </c>
      <c r="D790">
        <v>67979</v>
      </c>
      <c r="E790">
        <v>49</v>
      </c>
      <c r="F790">
        <v>2</v>
      </c>
      <c r="G790">
        <v>6</v>
      </c>
      <c r="H790" t="s">
        <v>16</v>
      </c>
      <c r="I790">
        <v>420.03</v>
      </c>
    </row>
    <row r="791" spans="1:9" x14ac:dyDescent="0.25">
      <c r="A791">
        <v>663</v>
      </c>
      <c r="B791">
        <v>30</v>
      </c>
      <c r="C791" t="s">
        <v>18</v>
      </c>
      <c r="D791">
        <v>76658</v>
      </c>
      <c r="E791">
        <v>70</v>
      </c>
      <c r="F791">
        <v>3</v>
      </c>
      <c r="G791">
        <v>32</v>
      </c>
      <c r="H791" t="s">
        <v>16</v>
      </c>
      <c r="I791">
        <v>760.27</v>
      </c>
    </row>
    <row r="792" spans="1:9" x14ac:dyDescent="0.25">
      <c r="A792">
        <v>676</v>
      </c>
      <c r="B792">
        <v>64</v>
      </c>
      <c r="C792" t="s">
        <v>18</v>
      </c>
      <c r="D792">
        <v>48169</v>
      </c>
      <c r="E792">
        <v>39</v>
      </c>
      <c r="F792">
        <v>5</v>
      </c>
      <c r="G792">
        <v>33</v>
      </c>
      <c r="H792" t="s">
        <v>16</v>
      </c>
      <c r="I792">
        <v>451.86</v>
      </c>
    </row>
    <row r="793" spans="1:9" x14ac:dyDescent="0.25">
      <c r="A793">
        <v>677</v>
      </c>
      <c r="B793">
        <v>51</v>
      </c>
      <c r="C793" t="s">
        <v>18</v>
      </c>
      <c r="D793">
        <v>146159</v>
      </c>
      <c r="E793">
        <v>99</v>
      </c>
      <c r="F793">
        <v>7</v>
      </c>
      <c r="G793">
        <v>38</v>
      </c>
      <c r="H793" t="s">
        <v>16</v>
      </c>
      <c r="I793">
        <v>808.89</v>
      </c>
    </row>
    <row r="794" spans="1:9" x14ac:dyDescent="0.25">
      <c r="A794">
        <v>693</v>
      </c>
      <c r="B794">
        <v>28</v>
      </c>
      <c r="C794" t="s">
        <v>18</v>
      </c>
      <c r="D794">
        <v>142450</v>
      </c>
      <c r="E794">
        <v>80</v>
      </c>
      <c r="F794">
        <v>3</v>
      </c>
      <c r="G794">
        <v>22</v>
      </c>
      <c r="H794" t="s">
        <v>16</v>
      </c>
      <c r="I794">
        <v>471.87</v>
      </c>
    </row>
    <row r="795" spans="1:9" x14ac:dyDescent="0.25">
      <c r="A795">
        <v>731</v>
      </c>
      <c r="B795">
        <v>53</v>
      </c>
      <c r="C795" t="s">
        <v>18</v>
      </c>
      <c r="D795">
        <v>52855</v>
      </c>
      <c r="E795">
        <v>12</v>
      </c>
      <c r="F795">
        <v>5</v>
      </c>
      <c r="G795">
        <v>33</v>
      </c>
      <c r="H795" t="s">
        <v>16</v>
      </c>
      <c r="I795">
        <v>444.09</v>
      </c>
    </row>
    <row r="796" spans="1:9" x14ac:dyDescent="0.25">
      <c r="A796">
        <v>745</v>
      </c>
      <c r="B796">
        <v>30</v>
      </c>
      <c r="C796" t="s">
        <v>18</v>
      </c>
      <c r="D796">
        <v>64288</v>
      </c>
      <c r="E796">
        <v>93</v>
      </c>
      <c r="F796">
        <v>9</v>
      </c>
      <c r="G796">
        <v>43</v>
      </c>
      <c r="H796" t="s">
        <v>16</v>
      </c>
      <c r="I796">
        <v>825.85</v>
      </c>
    </row>
    <row r="797" spans="1:9" x14ac:dyDescent="0.25">
      <c r="A797">
        <v>748</v>
      </c>
      <c r="B797">
        <v>57</v>
      </c>
      <c r="C797" t="s">
        <v>18</v>
      </c>
      <c r="D797">
        <v>58696</v>
      </c>
      <c r="E797">
        <v>69</v>
      </c>
      <c r="F797">
        <v>4</v>
      </c>
      <c r="G797">
        <v>29</v>
      </c>
      <c r="H797" t="s">
        <v>16</v>
      </c>
      <c r="I797">
        <v>570.87</v>
      </c>
    </row>
    <row r="798" spans="1:9" x14ac:dyDescent="0.25">
      <c r="A798">
        <v>773</v>
      </c>
      <c r="B798">
        <v>51</v>
      </c>
      <c r="C798" t="s">
        <v>18</v>
      </c>
      <c r="D798">
        <v>70099</v>
      </c>
      <c r="E798">
        <v>42</v>
      </c>
      <c r="F798">
        <v>7</v>
      </c>
      <c r="G798">
        <v>12</v>
      </c>
      <c r="H798" t="s">
        <v>16</v>
      </c>
      <c r="I798">
        <v>481.56</v>
      </c>
    </row>
    <row r="799" spans="1:9" x14ac:dyDescent="0.25">
      <c r="A799">
        <v>776</v>
      </c>
      <c r="B799">
        <v>31</v>
      </c>
      <c r="C799" t="s">
        <v>18</v>
      </c>
      <c r="D799">
        <v>123947</v>
      </c>
      <c r="E799">
        <v>25</v>
      </c>
      <c r="F799">
        <v>2</v>
      </c>
      <c r="G799">
        <v>39</v>
      </c>
      <c r="H799" t="s">
        <v>16</v>
      </c>
      <c r="I799">
        <v>355.67</v>
      </c>
    </row>
    <row r="800" spans="1:9" x14ac:dyDescent="0.25">
      <c r="A800">
        <v>804</v>
      </c>
      <c r="B800">
        <v>59</v>
      </c>
      <c r="C800" t="s">
        <v>18</v>
      </c>
      <c r="D800">
        <v>58656</v>
      </c>
      <c r="E800">
        <v>47</v>
      </c>
      <c r="F800">
        <v>6</v>
      </c>
      <c r="G800">
        <v>6</v>
      </c>
      <c r="H800" t="s">
        <v>16</v>
      </c>
      <c r="I800">
        <v>246.07</v>
      </c>
    </row>
    <row r="801" spans="1:9" x14ac:dyDescent="0.25">
      <c r="A801">
        <v>817</v>
      </c>
      <c r="B801">
        <v>37</v>
      </c>
      <c r="C801" t="s">
        <v>18</v>
      </c>
      <c r="D801">
        <v>115734</v>
      </c>
      <c r="E801">
        <v>87</v>
      </c>
      <c r="F801">
        <v>2</v>
      </c>
      <c r="G801">
        <v>50</v>
      </c>
      <c r="H801" t="s">
        <v>16</v>
      </c>
      <c r="I801">
        <v>646.4</v>
      </c>
    </row>
    <row r="802" spans="1:9" x14ac:dyDescent="0.25">
      <c r="A802">
        <v>822</v>
      </c>
      <c r="B802">
        <v>26</v>
      </c>
      <c r="C802" t="s">
        <v>18</v>
      </c>
      <c r="D802">
        <v>34901</v>
      </c>
      <c r="E802">
        <v>31</v>
      </c>
      <c r="F802">
        <v>7</v>
      </c>
      <c r="G802">
        <v>9</v>
      </c>
      <c r="H802" t="s">
        <v>16</v>
      </c>
      <c r="I802">
        <v>667.8</v>
      </c>
    </row>
    <row r="803" spans="1:9" x14ac:dyDescent="0.25">
      <c r="A803">
        <v>835</v>
      </c>
      <c r="B803">
        <v>41</v>
      </c>
      <c r="C803" t="s">
        <v>18</v>
      </c>
      <c r="D803">
        <v>68147</v>
      </c>
      <c r="E803">
        <v>75</v>
      </c>
      <c r="F803">
        <v>2</v>
      </c>
      <c r="G803">
        <v>33</v>
      </c>
      <c r="H803" t="s">
        <v>16</v>
      </c>
      <c r="I803">
        <v>553.35</v>
      </c>
    </row>
    <row r="804" spans="1:9" x14ac:dyDescent="0.25">
      <c r="A804">
        <v>837</v>
      </c>
      <c r="B804">
        <v>69</v>
      </c>
      <c r="C804" t="s">
        <v>18</v>
      </c>
      <c r="D804">
        <v>106629</v>
      </c>
      <c r="E804">
        <v>4</v>
      </c>
      <c r="F804">
        <v>7</v>
      </c>
      <c r="G804">
        <v>9</v>
      </c>
      <c r="H804" t="s">
        <v>16</v>
      </c>
      <c r="I804">
        <v>443.22</v>
      </c>
    </row>
    <row r="805" spans="1:9" x14ac:dyDescent="0.25">
      <c r="A805">
        <v>840</v>
      </c>
      <c r="B805">
        <v>58</v>
      </c>
      <c r="C805" t="s">
        <v>18</v>
      </c>
      <c r="D805">
        <v>68764</v>
      </c>
      <c r="E805">
        <v>96</v>
      </c>
      <c r="F805">
        <v>6</v>
      </c>
      <c r="G805">
        <v>31</v>
      </c>
      <c r="H805" t="s">
        <v>16</v>
      </c>
      <c r="I805">
        <v>723.66</v>
      </c>
    </row>
    <row r="806" spans="1:9" x14ac:dyDescent="0.25">
      <c r="A806">
        <v>852</v>
      </c>
      <c r="B806">
        <v>64</v>
      </c>
      <c r="C806" t="s">
        <v>18</v>
      </c>
      <c r="D806">
        <v>63123</v>
      </c>
      <c r="E806">
        <v>88</v>
      </c>
      <c r="F806">
        <v>1</v>
      </c>
      <c r="G806">
        <v>16</v>
      </c>
      <c r="H806" t="s">
        <v>16</v>
      </c>
      <c r="I806">
        <v>330.95</v>
      </c>
    </row>
    <row r="807" spans="1:9" x14ac:dyDescent="0.25">
      <c r="A807">
        <v>854</v>
      </c>
      <c r="B807">
        <v>27</v>
      </c>
      <c r="C807" t="s">
        <v>18</v>
      </c>
      <c r="D807">
        <v>40595</v>
      </c>
      <c r="E807">
        <v>84</v>
      </c>
      <c r="F807">
        <v>6</v>
      </c>
      <c r="G807">
        <v>15</v>
      </c>
      <c r="H807" t="s">
        <v>16</v>
      </c>
      <c r="I807">
        <v>268.76</v>
      </c>
    </row>
    <row r="808" spans="1:9" x14ac:dyDescent="0.25">
      <c r="A808">
        <v>881</v>
      </c>
      <c r="B808">
        <v>47</v>
      </c>
      <c r="C808" t="s">
        <v>18</v>
      </c>
      <c r="D808">
        <v>133264</v>
      </c>
      <c r="E808">
        <v>93</v>
      </c>
      <c r="F808">
        <v>2</v>
      </c>
      <c r="G808">
        <v>21</v>
      </c>
      <c r="H808" t="s">
        <v>16</v>
      </c>
      <c r="I808">
        <v>11.01</v>
      </c>
    </row>
    <row r="809" spans="1:9" x14ac:dyDescent="0.25">
      <c r="A809">
        <v>904</v>
      </c>
      <c r="B809">
        <v>64</v>
      </c>
      <c r="C809" t="s">
        <v>18</v>
      </c>
      <c r="D809">
        <v>122557</v>
      </c>
      <c r="E809">
        <v>87</v>
      </c>
      <c r="F809">
        <v>2</v>
      </c>
      <c r="G809">
        <v>5</v>
      </c>
      <c r="H809" t="s">
        <v>16</v>
      </c>
      <c r="I809">
        <v>344.59</v>
      </c>
    </row>
    <row r="810" spans="1:9" x14ac:dyDescent="0.25">
      <c r="A810">
        <v>909</v>
      </c>
      <c r="B810">
        <v>27</v>
      </c>
      <c r="C810" t="s">
        <v>18</v>
      </c>
      <c r="D810">
        <v>89618</v>
      </c>
      <c r="E810">
        <v>49</v>
      </c>
      <c r="F810">
        <v>8</v>
      </c>
      <c r="G810">
        <v>12</v>
      </c>
      <c r="H810" t="s">
        <v>16</v>
      </c>
      <c r="I810">
        <v>831.05</v>
      </c>
    </row>
    <row r="811" spans="1:9" x14ac:dyDescent="0.25">
      <c r="A811">
        <v>918</v>
      </c>
      <c r="B811">
        <v>36</v>
      </c>
      <c r="C811" t="s">
        <v>18</v>
      </c>
      <c r="D811">
        <v>45458</v>
      </c>
      <c r="E811">
        <v>74</v>
      </c>
      <c r="F811">
        <v>6</v>
      </c>
      <c r="G811">
        <v>19</v>
      </c>
      <c r="H811" t="s">
        <v>16</v>
      </c>
      <c r="I811">
        <v>135.22999999999999</v>
      </c>
    </row>
    <row r="812" spans="1:9" x14ac:dyDescent="0.25">
      <c r="A812">
        <v>926</v>
      </c>
      <c r="B812">
        <v>39</v>
      </c>
      <c r="C812" t="s">
        <v>18</v>
      </c>
      <c r="D812">
        <v>53091</v>
      </c>
      <c r="E812">
        <v>41</v>
      </c>
      <c r="F812">
        <v>9</v>
      </c>
      <c r="G812">
        <v>3</v>
      </c>
      <c r="H812" t="s">
        <v>16</v>
      </c>
      <c r="I812">
        <v>12.45</v>
      </c>
    </row>
    <row r="813" spans="1:9" x14ac:dyDescent="0.25">
      <c r="A813">
        <v>952</v>
      </c>
      <c r="B813">
        <v>29</v>
      </c>
      <c r="C813" t="s">
        <v>18</v>
      </c>
      <c r="D813">
        <v>45164</v>
      </c>
      <c r="E813">
        <v>54</v>
      </c>
      <c r="F813">
        <v>8</v>
      </c>
      <c r="G813">
        <v>45</v>
      </c>
      <c r="H813" t="s">
        <v>16</v>
      </c>
      <c r="I813">
        <v>915.62</v>
      </c>
    </row>
    <row r="814" spans="1:9" x14ac:dyDescent="0.25">
      <c r="A814">
        <v>957</v>
      </c>
      <c r="B814">
        <v>60</v>
      </c>
      <c r="C814" t="s">
        <v>18</v>
      </c>
      <c r="D814">
        <v>56429</v>
      </c>
      <c r="E814">
        <v>69</v>
      </c>
      <c r="F814">
        <v>9</v>
      </c>
      <c r="G814">
        <v>32</v>
      </c>
      <c r="H814" t="s">
        <v>16</v>
      </c>
      <c r="I814">
        <v>894.95</v>
      </c>
    </row>
    <row r="815" spans="1:9" x14ac:dyDescent="0.25">
      <c r="A815">
        <v>959</v>
      </c>
      <c r="B815">
        <v>38</v>
      </c>
      <c r="C815" t="s">
        <v>18</v>
      </c>
      <c r="D815">
        <v>99054</v>
      </c>
      <c r="E815">
        <v>59</v>
      </c>
      <c r="F815">
        <v>6</v>
      </c>
      <c r="G815">
        <v>4</v>
      </c>
      <c r="H815" t="s">
        <v>16</v>
      </c>
      <c r="I815">
        <v>174.22</v>
      </c>
    </row>
    <row r="816" spans="1:9" x14ac:dyDescent="0.25">
      <c r="A816">
        <v>963</v>
      </c>
      <c r="B816">
        <v>66</v>
      </c>
      <c r="C816" t="s">
        <v>18</v>
      </c>
      <c r="D816">
        <v>72885</v>
      </c>
      <c r="E816">
        <v>1</v>
      </c>
      <c r="F816">
        <v>9</v>
      </c>
      <c r="G816">
        <v>33</v>
      </c>
      <c r="H816" t="s">
        <v>16</v>
      </c>
      <c r="I816">
        <v>654.48</v>
      </c>
    </row>
    <row r="817" spans="1:9" x14ac:dyDescent="0.25">
      <c r="A817">
        <v>968</v>
      </c>
      <c r="B817">
        <v>23</v>
      </c>
      <c r="C817" t="s">
        <v>18</v>
      </c>
      <c r="D817">
        <v>74773</v>
      </c>
      <c r="E817">
        <v>16</v>
      </c>
      <c r="F817">
        <v>2</v>
      </c>
      <c r="G817">
        <v>42</v>
      </c>
      <c r="H817" t="s">
        <v>16</v>
      </c>
      <c r="I817">
        <v>626.04999999999995</v>
      </c>
    </row>
    <row r="818" spans="1:9" x14ac:dyDescent="0.25">
      <c r="A818">
        <v>970</v>
      </c>
      <c r="B818">
        <v>68</v>
      </c>
      <c r="C818" t="s">
        <v>18</v>
      </c>
      <c r="D818">
        <v>40471</v>
      </c>
      <c r="E818">
        <v>28</v>
      </c>
      <c r="F818">
        <v>3</v>
      </c>
      <c r="G818">
        <v>33</v>
      </c>
      <c r="H818" t="s">
        <v>16</v>
      </c>
      <c r="I818">
        <v>40.89</v>
      </c>
    </row>
    <row r="819" spans="1:9" x14ac:dyDescent="0.25">
      <c r="A819">
        <v>1000</v>
      </c>
      <c r="B819">
        <v>36</v>
      </c>
      <c r="C819" t="s">
        <v>18</v>
      </c>
      <c r="D819">
        <v>90420</v>
      </c>
      <c r="E819">
        <v>7</v>
      </c>
      <c r="F819">
        <v>2</v>
      </c>
      <c r="G819">
        <v>31</v>
      </c>
      <c r="H819" t="s">
        <v>16</v>
      </c>
      <c r="I819">
        <v>669.26</v>
      </c>
    </row>
    <row r="820" spans="1:9" x14ac:dyDescent="0.25">
      <c r="A820">
        <v>5</v>
      </c>
      <c r="B820">
        <v>65</v>
      </c>
      <c r="C820" t="s">
        <v>18</v>
      </c>
      <c r="D820">
        <v>140621</v>
      </c>
      <c r="E820">
        <v>21</v>
      </c>
      <c r="F820">
        <v>3</v>
      </c>
      <c r="G820">
        <v>25</v>
      </c>
      <c r="H820" t="s">
        <v>14</v>
      </c>
      <c r="I820">
        <v>347.08</v>
      </c>
    </row>
    <row r="821" spans="1:9" x14ac:dyDescent="0.25">
      <c r="A821">
        <v>10</v>
      </c>
      <c r="B821">
        <v>55</v>
      </c>
      <c r="C821" t="s">
        <v>18</v>
      </c>
      <c r="D821">
        <v>45839</v>
      </c>
      <c r="E821">
        <v>55</v>
      </c>
      <c r="F821">
        <v>7</v>
      </c>
      <c r="G821">
        <v>2</v>
      </c>
      <c r="H821" t="s">
        <v>14</v>
      </c>
      <c r="I821">
        <v>821.18</v>
      </c>
    </row>
    <row r="822" spans="1:9" x14ac:dyDescent="0.25">
      <c r="A822">
        <v>32</v>
      </c>
      <c r="B822">
        <v>60</v>
      </c>
      <c r="C822" t="s">
        <v>18</v>
      </c>
      <c r="D822">
        <v>45733</v>
      </c>
      <c r="E822">
        <v>69</v>
      </c>
      <c r="F822">
        <v>2</v>
      </c>
      <c r="G822">
        <v>18</v>
      </c>
      <c r="H822" t="s">
        <v>14</v>
      </c>
      <c r="I822">
        <v>197.29</v>
      </c>
    </row>
    <row r="823" spans="1:9" x14ac:dyDescent="0.25">
      <c r="A823">
        <v>59</v>
      </c>
      <c r="B823">
        <v>43</v>
      </c>
      <c r="C823" t="s">
        <v>18</v>
      </c>
      <c r="D823">
        <v>81595</v>
      </c>
      <c r="E823">
        <v>12</v>
      </c>
      <c r="F823">
        <v>7</v>
      </c>
      <c r="G823">
        <v>1</v>
      </c>
      <c r="H823" t="s">
        <v>14</v>
      </c>
      <c r="I823">
        <v>806.26</v>
      </c>
    </row>
    <row r="824" spans="1:9" x14ac:dyDescent="0.25">
      <c r="A824">
        <v>64</v>
      </c>
      <c r="B824">
        <v>50</v>
      </c>
      <c r="C824" t="s">
        <v>18</v>
      </c>
      <c r="D824">
        <v>85111</v>
      </c>
      <c r="E824">
        <v>31</v>
      </c>
      <c r="F824">
        <v>1</v>
      </c>
      <c r="G824">
        <v>19</v>
      </c>
      <c r="H824" t="s">
        <v>14</v>
      </c>
      <c r="I824">
        <v>319.05</v>
      </c>
    </row>
    <row r="825" spans="1:9" x14ac:dyDescent="0.25">
      <c r="A825">
        <v>67</v>
      </c>
      <c r="B825">
        <v>36</v>
      </c>
      <c r="C825" t="s">
        <v>18</v>
      </c>
      <c r="D825">
        <v>127346</v>
      </c>
      <c r="E825">
        <v>75</v>
      </c>
      <c r="F825">
        <v>5</v>
      </c>
      <c r="G825">
        <v>7</v>
      </c>
      <c r="H825" t="s">
        <v>14</v>
      </c>
      <c r="I825">
        <v>335.98</v>
      </c>
    </row>
    <row r="826" spans="1:9" x14ac:dyDescent="0.25">
      <c r="A826">
        <v>71</v>
      </c>
      <c r="B826">
        <v>23</v>
      </c>
      <c r="C826" t="s">
        <v>18</v>
      </c>
      <c r="D826">
        <v>66376</v>
      </c>
      <c r="E826">
        <v>60</v>
      </c>
      <c r="F826">
        <v>1</v>
      </c>
      <c r="G826">
        <v>18</v>
      </c>
      <c r="H826" t="s">
        <v>14</v>
      </c>
      <c r="I826">
        <v>77.73</v>
      </c>
    </row>
    <row r="827" spans="1:9" x14ac:dyDescent="0.25">
      <c r="A827">
        <v>106</v>
      </c>
      <c r="B827">
        <v>55</v>
      </c>
      <c r="C827" t="s">
        <v>18</v>
      </c>
      <c r="D827">
        <v>147187</v>
      </c>
      <c r="E827">
        <v>37</v>
      </c>
      <c r="F827">
        <v>7</v>
      </c>
      <c r="G827">
        <v>27</v>
      </c>
      <c r="H827" t="s">
        <v>14</v>
      </c>
      <c r="I827">
        <v>941.67</v>
      </c>
    </row>
    <row r="828" spans="1:9" x14ac:dyDescent="0.25">
      <c r="A828">
        <v>109</v>
      </c>
      <c r="B828">
        <v>57</v>
      </c>
      <c r="C828" t="s">
        <v>18</v>
      </c>
      <c r="D828">
        <v>81695</v>
      </c>
      <c r="E828">
        <v>90</v>
      </c>
      <c r="F828">
        <v>8</v>
      </c>
      <c r="G828">
        <v>44</v>
      </c>
      <c r="H828" t="s">
        <v>14</v>
      </c>
      <c r="I828">
        <v>179.8</v>
      </c>
    </row>
    <row r="829" spans="1:9" x14ac:dyDescent="0.25">
      <c r="A829">
        <v>126</v>
      </c>
      <c r="B829">
        <v>26</v>
      </c>
      <c r="C829" t="s">
        <v>18</v>
      </c>
      <c r="D829">
        <v>69795</v>
      </c>
      <c r="E829">
        <v>60</v>
      </c>
      <c r="F829">
        <v>9</v>
      </c>
      <c r="G829">
        <v>29</v>
      </c>
      <c r="H829" t="s">
        <v>14</v>
      </c>
      <c r="I829">
        <v>389.37</v>
      </c>
    </row>
    <row r="830" spans="1:9" x14ac:dyDescent="0.25">
      <c r="A830">
        <v>178</v>
      </c>
      <c r="B830">
        <v>67</v>
      </c>
      <c r="C830" t="s">
        <v>18</v>
      </c>
      <c r="D830">
        <v>130300</v>
      </c>
      <c r="E830">
        <v>75</v>
      </c>
      <c r="F830">
        <v>5</v>
      </c>
      <c r="G830">
        <v>27</v>
      </c>
      <c r="H830" t="s">
        <v>14</v>
      </c>
      <c r="I830">
        <v>94.32</v>
      </c>
    </row>
    <row r="831" spans="1:9" x14ac:dyDescent="0.25">
      <c r="A831">
        <v>218</v>
      </c>
      <c r="B831">
        <v>55</v>
      </c>
      <c r="C831" t="s">
        <v>18</v>
      </c>
      <c r="D831">
        <v>147024</v>
      </c>
      <c r="E831">
        <v>24</v>
      </c>
      <c r="F831">
        <v>9</v>
      </c>
      <c r="G831">
        <v>16</v>
      </c>
      <c r="H831" t="s">
        <v>14</v>
      </c>
      <c r="I831">
        <v>169.79</v>
      </c>
    </row>
    <row r="832" spans="1:9" x14ac:dyDescent="0.25">
      <c r="A832">
        <v>225</v>
      </c>
      <c r="B832">
        <v>54</v>
      </c>
      <c r="C832" t="s">
        <v>18</v>
      </c>
      <c r="D832">
        <v>92156</v>
      </c>
      <c r="E832">
        <v>18</v>
      </c>
      <c r="F832">
        <v>7</v>
      </c>
      <c r="G832">
        <v>14</v>
      </c>
      <c r="H832" t="s">
        <v>14</v>
      </c>
      <c r="I832">
        <v>238.87</v>
      </c>
    </row>
    <row r="833" spans="1:9" x14ac:dyDescent="0.25">
      <c r="A833">
        <v>231</v>
      </c>
      <c r="B833">
        <v>24</v>
      </c>
      <c r="C833" t="s">
        <v>18</v>
      </c>
      <c r="D833">
        <v>147572</v>
      </c>
      <c r="E833">
        <v>44</v>
      </c>
      <c r="F833">
        <v>7</v>
      </c>
      <c r="G833">
        <v>45</v>
      </c>
      <c r="H833" t="s">
        <v>14</v>
      </c>
      <c r="I833">
        <v>204.27</v>
      </c>
    </row>
    <row r="834" spans="1:9" x14ac:dyDescent="0.25">
      <c r="A834">
        <v>242</v>
      </c>
      <c r="B834">
        <v>31</v>
      </c>
      <c r="C834" t="s">
        <v>18</v>
      </c>
      <c r="D834">
        <v>125501</v>
      </c>
      <c r="E834">
        <v>74</v>
      </c>
      <c r="F834">
        <v>3</v>
      </c>
      <c r="G834">
        <v>18</v>
      </c>
      <c r="H834" t="s">
        <v>14</v>
      </c>
      <c r="I834">
        <v>947.76</v>
      </c>
    </row>
    <row r="835" spans="1:9" x14ac:dyDescent="0.25">
      <c r="A835">
        <v>264</v>
      </c>
      <c r="B835">
        <v>57</v>
      </c>
      <c r="C835" t="s">
        <v>18</v>
      </c>
      <c r="D835">
        <v>31451</v>
      </c>
      <c r="E835">
        <v>75</v>
      </c>
      <c r="F835">
        <v>3</v>
      </c>
      <c r="G835">
        <v>8</v>
      </c>
      <c r="H835" t="s">
        <v>14</v>
      </c>
      <c r="I835">
        <v>611.79</v>
      </c>
    </row>
    <row r="836" spans="1:9" x14ac:dyDescent="0.25">
      <c r="A836">
        <v>270</v>
      </c>
      <c r="B836">
        <v>28</v>
      </c>
      <c r="C836" t="s">
        <v>18</v>
      </c>
      <c r="D836">
        <v>49020</v>
      </c>
      <c r="E836">
        <v>75</v>
      </c>
      <c r="F836">
        <v>9</v>
      </c>
      <c r="G836">
        <v>49</v>
      </c>
      <c r="H836" t="s">
        <v>14</v>
      </c>
      <c r="I836">
        <v>109.03</v>
      </c>
    </row>
    <row r="837" spans="1:9" x14ac:dyDescent="0.25">
      <c r="A837">
        <v>303</v>
      </c>
      <c r="B837">
        <v>59</v>
      </c>
      <c r="C837" t="s">
        <v>18</v>
      </c>
      <c r="D837">
        <v>57745</v>
      </c>
      <c r="E837">
        <v>33</v>
      </c>
      <c r="F837">
        <v>7</v>
      </c>
      <c r="G837">
        <v>42</v>
      </c>
      <c r="H837" t="s">
        <v>14</v>
      </c>
      <c r="I837">
        <v>492.87</v>
      </c>
    </row>
    <row r="838" spans="1:9" x14ac:dyDescent="0.25">
      <c r="A838">
        <v>304</v>
      </c>
      <c r="B838">
        <v>50</v>
      </c>
      <c r="C838" t="s">
        <v>18</v>
      </c>
      <c r="D838">
        <v>78296</v>
      </c>
      <c r="E838">
        <v>93</v>
      </c>
      <c r="F838">
        <v>9</v>
      </c>
      <c r="G838">
        <v>47</v>
      </c>
      <c r="H838" t="s">
        <v>14</v>
      </c>
      <c r="I838">
        <v>559.16</v>
      </c>
    </row>
    <row r="839" spans="1:9" x14ac:dyDescent="0.25">
      <c r="A839">
        <v>308</v>
      </c>
      <c r="B839">
        <v>54</v>
      </c>
      <c r="C839" t="s">
        <v>18</v>
      </c>
      <c r="D839">
        <v>76995</v>
      </c>
      <c r="E839">
        <v>14</v>
      </c>
      <c r="F839">
        <v>3</v>
      </c>
      <c r="G839">
        <v>46</v>
      </c>
      <c r="H839" t="s">
        <v>14</v>
      </c>
      <c r="I839">
        <v>685.09</v>
      </c>
    </row>
    <row r="840" spans="1:9" x14ac:dyDescent="0.25">
      <c r="A840">
        <v>315</v>
      </c>
      <c r="B840">
        <v>68</v>
      </c>
      <c r="C840" t="s">
        <v>18</v>
      </c>
      <c r="D840">
        <v>62971</v>
      </c>
      <c r="E840">
        <v>27</v>
      </c>
      <c r="F840">
        <v>8</v>
      </c>
      <c r="G840">
        <v>17</v>
      </c>
      <c r="H840" t="s">
        <v>14</v>
      </c>
      <c r="I840">
        <v>85.45</v>
      </c>
    </row>
    <row r="841" spans="1:9" x14ac:dyDescent="0.25">
      <c r="A841">
        <v>316</v>
      </c>
      <c r="B841">
        <v>20</v>
      </c>
      <c r="C841" t="s">
        <v>18</v>
      </c>
      <c r="D841">
        <v>57260</v>
      </c>
      <c r="E841">
        <v>47</v>
      </c>
      <c r="F841">
        <v>2</v>
      </c>
      <c r="G841">
        <v>49</v>
      </c>
      <c r="H841" t="s">
        <v>14</v>
      </c>
      <c r="I841">
        <v>506.7</v>
      </c>
    </row>
    <row r="842" spans="1:9" x14ac:dyDescent="0.25">
      <c r="A842">
        <v>346</v>
      </c>
      <c r="B842">
        <v>62</v>
      </c>
      <c r="C842" t="s">
        <v>18</v>
      </c>
      <c r="D842">
        <v>114587</v>
      </c>
      <c r="E842">
        <v>14</v>
      </c>
      <c r="F842">
        <v>7</v>
      </c>
      <c r="G842">
        <v>11</v>
      </c>
      <c r="H842" t="s">
        <v>14</v>
      </c>
      <c r="I842">
        <v>26.72</v>
      </c>
    </row>
    <row r="843" spans="1:9" x14ac:dyDescent="0.25">
      <c r="A843">
        <v>350</v>
      </c>
      <c r="B843">
        <v>56</v>
      </c>
      <c r="C843" t="s">
        <v>18</v>
      </c>
      <c r="D843">
        <v>148694</v>
      </c>
      <c r="E843">
        <v>44</v>
      </c>
      <c r="F843">
        <v>7</v>
      </c>
      <c r="G843">
        <v>13</v>
      </c>
      <c r="H843" t="s">
        <v>14</v>
      </c>
      <c r="I843">
        <v>326.5</v>
      </c>
    </row>
    <row r="844" spans="1:9" x14ac:dyDescent="0.25">
      <c r="A844">
        <v>352</v>
      </c>
      <c r="B844">
        <v>47</v>
      </c>
      <c r="C844" t="s">
        <v>18</v>
      </c>
      <c r="D844">
        <v>54571</v>
      </c>
      <c r="E844">
        <v>57</v>
      </c>
      <c r="F844">
        <v>4</v>
      </c>
      <c r="G844">
        <v>2</v>
      </c>
      <c r="H844" t="s">
        <v>14</v>
      </c>
      <c r="I844">
        <v>138.30000000000001</v>
      </c>
    </row>
    <row r="845" spans="1:9" x14ac:dyDescent="0.25">
      <c r="A845">
        <v>361</v>
      </c>
      <c r="B845">
        <v>28</v>
      </c>
      <c r="C845" t="s">
        <v>18</v>
      </c>
      <c r="D845">
        <v>130938</v>
      </c>
      <c r="E845">
        <v>98</v>
      </c>
      <c r="F845">
        <v>5</v>
      </c>
      <c r="G845">
        <v>37</v>
      </c>
      <c r="H845" t="s">
        <v>14</v>
      </c>
      <c r="I845">
        <v>612.09</v>
      </c>
    </row>
    <row r="846" spans="1:9" x14ac:dyDescent="0.25">
      <c r="A846">
        <v>370</v>
      </c>
      <c r="B846">
        <v>23</v>
      </c>
      <c r="C846" t="s">
        <v>18</v>
      </c>
      <c r="D846">
        <v>30751</v>
      </c>
      <c r="E846">
        <v>99</v>
      </c>
      <c r="F846">
        <v>9</v>
      </c>
      <c r="G846">
        <v>26</v>
      </c>
      <c r="H846" t="s">
        <v>14</v>
      </c>
      <c r="I846">
        <v>696.9</v>
      </c>
    </row>
    <row r="847" spans="1:9" x14ac:dyDescent="0.25">
      <c r="A847">
        <v>376</v>
      </c>
      <c r="B847">
        <v>25</v>
      </c>
      <c r="C847" t="s">
        <v>18</v>
      </c>
      <c r="D847">
        <v>56110</v>
      </c>
      <c r="E847">
        <v>36</v>
      </c>
      <c r="F847">
        <v>5</v>
      </c>
      <c r="G847">
        <v>42</v>
      </c>
      <c r="H847" t="s">
        <v>14</v>
      </c>
      <c r="I847">
        <v>389.97</v>
      </c>
    </row>
    <row r="848" spans="1:9" x14ac:dyDescent="0.25">
      <c r="A848">
        <v>387</v>
      </c>
      <c r="B848">
        <v>51</v>
      </c>
      <c r="C848" t="s">
        <v>18</v>
      </c>
      <c r="D848">
        <v>105658</v>
      </c>
      <c r="E848">
        <v>49</v>
      </c>
      <c r="F848">
        <v>9</v>
      </c>
      <c r="G848">
        <v>9</v>
      </c>
      <c r="H848" t="s">
        <v>14</v>
      </c>
      <c r="I848">
        <v>785.55</v>
      </c>
    </row>
    <row r="849" spans="1:9" x14ac:dyDescent="0.25">
      <c r="A849">
        <v>388</v>
      </c>
      <c r="B849">
        <v>25</v>
      </c>
      <c r="C849" t="s">
        <v>18</v>
      </c>
      <c r="D849">
        <v>100053</v>
      </c>
      <c r="E849">
        <v>6</v>
      </c>
      <c r="F849">
        <v>5</v>
      </c>
      <c r="G849">
        <v>33</v>
      </c>
      <c r="H849" t="s">
        <v>14</v>
      </c>
      <c r="I849">
        <v>832.57</v>
      </c>
    </row>
    <row r="850" spans="1:9" x14ac:dyDescent="0.25">
      <c r="A850">
        <v>423</v>
      </c>
      <c r="B850">
        <v>62</v>
      </c>
      <c r="C850" t="s">
        <v>18</v>
      </c>
      <c r="D850">
        <v>96260</v>
      </c>
      <c r="E850">
        <v>30</v>
      </c>
      <c r="F850">
        <v>6</v>
      </c>
      <c r="G850">
        <v>45</v>
      </c>
      <c r="H850" t="s">
        <v>14</v>
      </c>
      <c r="I850">
        <v>159.13</v>
      </c>
    </row>
    <row r="851" spans="1:9" x14ac:dyDescent="0.25">
      <c r="A851">
        <v>433</v>
      </c>
      <c r="B851">
        <v>44</v>
      </c>
      <c r="C851" t="s">
        <v>18</v>
      </c>
      <c r="D851">
        <v>100832</v>
      </c>
      <c r="E851">
        <v>90</v>
      </c>
      <c r="F851">
        <v>8</v>
      </c>
      <c r="G851">
        <v>39</v>
      </c>
      <c r="H851" t="s">
        <v>14</v>
      </c>
      <c r="I851">
        <v>769</v>
      </c>
    </row>
    <row r="852" spans="1:9" x14ac:dyDescent="0.25">
      <c r="A852">
        <v>438</v>
      </c>
      <c r="B852">
        <v>47</v>
      </c>
      <c r="C852" t="s">
        <v>18</v>
      </c>
      <c r="D852">
        <v>95033</v>
      </c>
      <c r="E852">
        <v>25</v>
      </c>
      <c r="F852">
        <v>3</v>
      </c>
      <c r="G852">
        <v>35</v>
      </c>
      <c r="H852" t="s">
        <v>14</v>
      </c>
      <c r="I852">
        <v>273.38</v>
      </c>
    </row>
    <row r="853" spans="1:9" x14ac:dyDescent="0.25">
      <c r="A853">
        <v>462</v>
      </c>
      <c r="B853">
        <v>57</v>
      </c>
      <c r="C853" t="s">
        <v>18</v>
      </c>
      <c r="D853">
        <v>46563</v>
      </c>
      <c r="E853">
        <v>86</v>
      </c>
      <c r="F853">
        <v>4</v>
      </c>
      <c r="G853">
        <v>24</v>
      </c>
      <c r="H853" t="s">
        <v>14</v>
      </c>
      <c r="I853">
        <v>800.46</v>
      </c>
    </row>
    <row r="854" spans="1:9" x14ac:dyDescent="0.25">
      <c r="A854">
        <v>479</v>
      </c>
      <c r="B854">
        <v>58</v>
      </c>
      <c r="C854" t="s">
        <v>18</v>
      </c>
      <c r="D854">
        <v>137836</v>
      </c>
      <c r="E854">
        <v>19</v>
      </c>
      <c r="F854">
        <v>9</v>
      </c>
      <c r="G854">
        <v>21</v>
      </c>
      <c r="H854" t="s">
        <v>14</v>
      </c>
      <c r="I854">
        <v>172.39</v>
      </c>
    </row>
    <row r="855" spans="1:9" x14ac:dyDescent="0.25">
      <c r="A855">
        <v>498</v>
      </c>
      <c r="B855">
        <v>54</v>
      </c>
      <c r="C855" t="s">
        <v>18</v>
      </c>
      <c r="D855">
        <v>43308</v>
      </c>
      <c r="E855">
        <v>56</v>
      </c>
      <c r="F855">
        <v>5</v>
      </c>
      <c r="G855">
        <v>50</v>
      </c>
      <c r="H855" t="s">
        <v>14</v>
      </c>
      <c r="I855">
        <v>667.92</v>
      </c>
    </row>
    <row r="856" spans="1:9" x14ac:dyDescent="0.25">
      <c r="A856">
        <v>502</v>
      </c>
      <c r="B856">
        <v>61</v>
      </c>
      <c r="C856" t="s">
        <v>18</v>
      </c>
      <c r="D856">
        <v>41730</v>
      </c>
      <c r="E856">
        <v>2</v>
      </c>
      <c r="F856">
        <v>9</v>
      </c>
      <c r="G856">
        <v>20</v>
      </c>
      <c r="H856" t="s">
        <v>14</v>
      </c>
      <c r="I856">
        <v>177.64</v>
      </c>
    </row>
    <row r="857" spans="1:9" x14ac:dyDescent="0.25">
      <c r="A857">
        <v>523</v>
      </c>
      <c r="B857">
        <v>32</v>
      </c>
      <c r="C857" t="s">
        <v>18</v>
      </c>
      <c r="D857">
        <v>58144</v>
      </c>
      <c r="E857">
        <v>4</v>
      </c>
      <c r="F857">
        <v>5</v>
      </c>
      <c r="G857">
        <v>16</v>
      </c>
      <c r="H857" t="s">
        <v>14</v>
      </c>
      <c r="I857">
        <v>923.37</v>
      </c>
    </row>
    <row r="858" spans="1:9" x14ac:dyDescent="0.25">
      <c r="A858">
        <v>541</v>
      </c>
      <c r="B858">
        <v>33</v>
      </c>
      <c r="C858" t="s">
        <v>18</v>
      </c>
      <c r="D858">
        <v>103063</v>
      </c>
      <c r="E858">
        <v>16</v>
      </c>
      <c r="F858">
        <v>3</v>
      </c>
      <c r="G858">
        <v>4</v>
      </c>
      <c r="H858" t="s">
        <v>14</v>
      </c>
      <c r="I858">
        <v>998.51</v>
      </c>
    </row>
    <row r="859" spans="1:9" x14ac:dyDescent="0.25">
      <c r="A859">
        <v>571</v>
      </c>
      <c r="B859">
        <v>36</v>
      </c>
      <c r="C859" t="s">
        <v>18</v>
      </c>
      <c r="D859">
        <v>31458</v>
      </c>
      <c r="E859">
        <v>40</v>
      </c>
      <c r="F859">
        <v>4</v>
      </c>
      <c r="G859">
        <v>6</v>
      </c>
      <c r="H859" t="s">
        <v>14</v>
      </c>
      <c r="I859">
        <v>371.77</v>
      </c>
    </row>
    <row r="860" spans="1:9" x14ac:dyDescent="0.25">
      <c r="A860">
        <v>576</v>
      </c>
      <c r="B860">
        <v>51</v>
      </c>
      <c r="C860" t="s">
        <v>18</v>
      </c>
      <c r="D860">
        <v>149256</v>
      </c>
      <c r="E860">
        <v>96</v>
      </c>
      <c r="F860">
        <v>1</v>
      </c>
      <c r="G860">
        <v>31</v>
      </c>
      <c r="H860" t="s">
        <v>14</v>
      </c>
      <c r="I860">
        <v>266.83</v>
      </c>
    </row>
    <row r="861" spans="1:9" x14ac:dyDescent="0.25">
      <c r="A861">
        <v>579</v>
      </c>
      <c r="B861">
        <v>21</v>
      </c>
      <c r="C861" t="s">
        <v>18</v>
      </c>
      <c r="D861">
        <v>71227</v>
      </c>
      <c r="E861">
        <v>17</v>
      </c>
      <c r="F861">
        <v>10</v>
      </c>
      <c r="G861">
        <v>12</v>
      </c>
      <c r="H861" t="s">
        <v>14</v>
      </c>
      <c r="I861">
        <v>101.48</v>
      </c>
    </row>
    <row r="862" spans="1:9" x14ac:dyDescent="0.25">
      <c r="A862">
        <v>605</v>
      </c>
      <c r="B862">
        <v>18</v>
      </c>
      <c r="C862" t="s">
        <v>18</v>
      </c>
      <c r="D862">
        <v>144275</v>
      </c>
      <c r="E862">
        <v>69</v>
      </c>
      <c r="F862">
        <v>9</v>
      </c>
      <c r="G862">
        <v>27</v>
      </c>
      <c r="H862" t="s">
        <v>14</v>
      </c>
      <c r="I862">
        <v>141.72</v>
      </c>
    </row>
    <row r="863" spans="1:9" x14ac:dyDescent="0.25">
      <c r="A863">
        <v>612</v>
      </c>
      <c r="B863">
        <v>33</v>
      </c>
      <c r="C863" t="s">
        <v>18</v>
      </c>
      <c r="D863">
        <v>38271</v>
      </c>
      <c r="E863">
        <v>39</v>
      </c>
      <c r="F863">
        <v>10</v>
      </c>
      <c r="G863">
        <v>43</v>
      </c>
      <c r="H863" t="s">
        <v>14</v>
      </c>
      <c r="I863">
        <v>99.52</v>
      </c>
    </row>
    <row r="864" spans="1:9" x14ac:dyDescent="0.25">
      <c r="A864">
        <v>627</v>
      </c>
      <c r="B864">
        <v>27</v>
      </c>
      <c r="C864" t="s">
        <v>18</v>
      </c>
      <c r="D864">
        <v>96762</v>
      </c>
      <c r="E864">
        <v>22</v>
      </c>
      <c r="F864">
        <v>3</v>
      </c>
      <c r="G864">
        <v>10</v>
      </c>
      <c r="H864" t="s">
        <v>14</v>
      </c>
      <c r="I864">
        <v>551.42999999999995</v>
      </c>
    </row>
    <row r="865" spans="1:9" x14ac:dyDescent="0.25">
      <c r="A865">
        <v>633</v>
      </c>
      <c r="B865">
        <v>43</v>
      </c>
      <c r="C865" t="s">
        <v>18</v>
      </c>
      <c r="D865">
        <v>97989</v>
      </c>
      <c r="E865">
        <v>14</v>
      </c>
      <c r="F865">
        <v>6</v>
      </c>
      <c r="G865">
        <v>49</v>
      </c>
      <c r="H865" t="s">
        <v>14</v>
      </c>
      <c r="I865">
        <v>886.61</v>
      </c>
    </row>
    <row r="866" spans="1:9" x14ac:dyDescent="0.25">
      <c r="A866">
        <v>635</v>
      </c>
      <c r="B866">
        <v>23</v>
      </c>
      <c r="C866" t="s">
        <v>18</v>
      </c>
      <c r="D866">
        <v>122669</v>
      </c>
      <c r="E866">
        <v>15</v>
      </c>
      <c r="F866">
        <v>3</v>
      </c>
      <c r="G866">
        <v>4</v>
      </c>
      <c r="H866" t="s">
        <v>14</v>
      </c>
      <c r="I866">
        <v>248.68</v>
      </c>
    </row>
    <row r="867" spans="1:9" x14ac:dyDescent="0.25">
      <c r="A867">
        <v>642</v>
      </c>
      <c r="B867">
        <v>34</v>
      </c>
      <c r="C867" t="s">
        <v>18</v>
      </c>
      <c r="D867">
        <v>114408</v>
      </c>
      <c r="E867">
        <v>38</v>
      </c>
      <c r="F867">
        <v>7</v>
      </c>
      <c r="G867">
        <v>28</v>
      </c>
      <c r="H867" t="s">
        <v>14</v>
      </c>
      <c r="I867">
        <v>647.35</v>
      </c>
    </row>
    <row r="868" spans="1:9" x14ac:dyDescent="0.25">
      <c r="A868">
        <v>651</v>
      </c>
      <c r="B868">
        <v>27</v>
      </c>
      <c r="C868" t="s">
        <v>18</v>
      </c>
      <c r="D868">
        <v>113174</v>
      </c>
      <c r="E868">
        <v>36</v>
      </c>
      <c r="F868">
        <v>3</v>
      </c>
      <c r="G868">
        <v>46</v>
      </c>
      <c r="H868" t="s">
        <v>14</v>
      </c>
      <c r="I868">
        <v>499.07</v>
      </c>
    </row>
    <row r="869" spans="1:9" x14ac:dyDescent="0.25">
      <c r="A869">
        <v>702</v>
      </c>
      <c r="B869">
        <v>26</v>
      </c>
      <c r="C869" t="s">
        <v>18</v>
      </c>
      <c r="D869">
        <v>42499</v>
      </c>
      <c r="E869">
        <v>92</v>
      </c>
      <c r="F869">
        <v>9</v>
      </c>
      <c r="G869">
        <v>50</v>
      </c>
      <c r="H869" t="s">
        <v>14</v>
      </c>
      <c r="I869">
        <v>37.57</v>
      </c>
    </row>
    <row r="870" spans="1:9" x14ac:dyDescent="0.25">
      <c r="A870">
        <v>710</v>
      </c>
      <c r="B870">
        <v>43</v>
      </c>
      <c r="C870" t="s">
        <v>18</v>
      </c>
      <c r="D870">
        <v>43545</v>
      </c>
      <c r="E870">
        <v>67</v>
      </c>
      <c r="F870">
        <v>5</v>
      </c>
      <c r="G870">
        <v>41</v>
      </c>
      <c r="H870" t="s">
        <v>14</v>
      </c>
      <c r="I870">
        <v>179.71</v>
      </c>
    </row>
    <row r="871" spans="1:9" x14ac:dyDescent="0.25">
      <c r="A871">
        <v>713</v>
      </c>
      <c r="B871">
        <v>19</v>
      </c>
      <c r="C871" t="s">
        <v>18</v>
      </c>
      <c r="D871">
        <v>76416</v>
      </c>
      <c r="E871">
        <v>26</v>
      </c>
      <c r="F871">
        <v>6</v>
      </c>
      <c r="G871">
        <v>20</v>
      </c>
      <c r="H871" t="s">
        <v>14</v>
      </c>
      <c r="I871">
        <v>385.1</v>
      </c>
    </row>
    <row r="872" spans="1:9" x14ac:dyDescent="0.25">
      <c r="A872">
        <v>738</v>
      </c>
      <c r="B872">
        <v>18</v>
      </c>
      <c r="C872" t="s">
        <v>18</v>
      </c>
      <c r="D872">
        <v>136320</v>
      </c>
      <c r="E872">
        <v>52</v>
      </c>
      <c r="F872">
        <v>5</v>
      </c>
      <c r="G872">
        <v>42</v>
      </c>
      <c r="H872" t="s">
        <v>14</v>
      </c>
      <c r="I872">
        <v>891.19</v>
      </c>
    </row>
    <row r="873" spans="1:9" x14ac:dyDescent="0.25">
      <c r="A873">
        <v>740</v>
      </c>
      <c r="B873">
        <v>62</v>
      </c>
      <c r="C873" t="s">
        <v>18</v>
      </c>
      <c r="D873">
        <v>119083</v>
      </c>
      <c r="E873">
        <v>18</v>
      </c>
      <c r="F873">
        <v>4</v>
      </c>
      <c r="G873">
        <v>28</v>
      </c>
      <c r="H873" t="s">
        <v>14</v>
      </c>
      <c r="I873">
        <v>317.77999999999997</v>
      </c>
    </row>
    <row r="874" spans="1:9" x14ac:dyDescent="0.25">
      <c r="A874">
        <v>741</v>
      </c>
      <c r="B874">
        <v>50</v>
      </c>
      <c r="C874" t="s">
        <v>18</v>
      </c>
      <c r="D874">
        <v>50944</v>
      </c>
      <c r="E874">
        <v>24</v>
      </c>
      <c r="F874">
        <v>3</v>
      </c>
      <c r="G874">
        <v>36</v>
      </c>
      <c r="H874" t="s">
        <v>14</v>
      </c>
      <c r="I874">
        <v>121.22</v>
      </c>
    </row>
    <row r="875" spans="1:9" x14ac:dyDescent="0.25">
      <c r="A875">
        <v>756</v>
      </c>
      <c r="B875">
        <v>30</v>
      </c>
      <c r="C875" t="s">
        <v>18</v>
      </c>
      <c r="D875">
        <v>111050</v>
      </c>
      <c r="E875">
        <v>61</v>
      </c>
      <c r="F875">
        <v>10</v>
      </c>
      <c r="G875">
        <v>32</v>
      </c>
      <c r="H875" t="s">
        <v>14</v>
      </c>
      <c r="I875">
        <v>213.88</v>
      </c>
    </row>
    <row r="876" spans="1:9" x14ac:dyDescent="0.25">
      <c r="A876">
        <v>785</v>
      </c>
      <c r="B876">
        <v>45</v>
      </c>
      <c r="C876" t="s">
        <v>18</v>
      </c>
      <c r="D876">
        <v>88366</v>
      </c>
      <c r="E876">
        <v>22</v>
      </c>
      <c r="F876">
        <v>10</v>
      </c>
      <c r="G876">
        <v>24</v>
      </c>
      <c r="H876" t="s">
        <v>14</v>
      </c>
      <c r="I876">
        <v>253.64</v>
      </c>
    </row>
    <row r="877" spans="1:9" x14ac:dyDescent="0.25">
      <c r="A877">
        <v>795</v>
      </c>
      <c r="B877">
        <v>33</v>
      </c>
      <c r="C877" t="s">
        <v>18</v>
      </c>
      <c r="D877">
        <v>45432</v>
      </c>
      <c r="E877">
        <v>11</v>
      </c>
      <c r="F877">
        <v>4</v>
      </c>
      <c r="G877">
        <v>42</v>
      </c>
      <c r="H877" t="s">
        <v>14</v>
      </c>
      <c r="I877">
        <v>990.34</v>
      </c>
    </row>
    <row r="878" spans="1:9" x14ac:dyDescent="0.25">
      <c r="A878">
        <v>825</v>
      </c>
      <c r="B878">
        <v>30</v>
      </c>
      <c r="C878" t="s">
        <v>18</v>
      </c>
      <c r="D878">
        <v>121358</v>
      </c>
      <c r="E878">
        <v>16</v>
      </c>
      <c r="F878">
        <v>1</v>
      </c>
      <c r="G878">
        <v>2</v>
      </c>
      <c r="H878" t="s">
        <v>14</v>
      </c>
      <c r="I878">
        <v>122.7</v>
      </c>
    </row>
    <row r="879" spans="1:9" x14ac:dyDescent="0.25">
      <c r="A879">
        <v>845</v>
      </c>
      <c r="B879">
        <v>45</v>
      </c>
      <c r="C879" t="s">
        <v>18</v>
      </c>
      <c r="D879">
        <v>57615</v>
      </c>
      <c r="E879">
        <v>30</v>
      </c>
      <c r="F879">
        <v>5</v>
      </c>
      <c r="G879">
        <v>15</v>
      </c>
      <c r="H879" t="s">
        <v>14</v>
      </c>
      <c r="I879">
        <v>998.09</v>
      </c>
    </row>
    <row r="880" spans="1:9" x14ac:dyDescent="0.25">
      <c r="A880">
        <v>911</v>
      </c>
      <c r="B880">
        <v>66</v>
      </c>
      <c r="C880" t="s">
        <v>18</v>
      </c>
      <c r="D880">
        <v>55154</v>
      </c>
      <c r="E880">
        <v>93</v>
      </c>
      <c r="F880">
        <v>3</v>
      </c>
      <c r="G880">
        <v>19</v>
      </c>
      <c r="H880" t="s">
        <v>14</v>
      </c>
      <c r="I880">
        <v>684.88</v>
      </c>
    </row>
    <row r="881" spans="1:9" x14ac:dyDescent="0.25">
      <c r="A881">
        <v>943</v>
      </c>
      <c r="B881">
        <v>54</v>
      </c>
      <c r="C881" t="s">
        <v>18</v>
      </c>
      <c r="D881">
        <v>140081</v>
      </c>
      <c r="E881">
        <v>100</v>
      </c>
      <c r="F881">
        <v>1</v>
      </c>
      <c r="G881">
        <v>25</v>
      </c>
      <c r="H881" t="s">
        <v>14</v>
      </c>
      <c r="I881">
        <v>30.51</v>
      </c>
    </row>
    <row r="882" spans="1:9" x14ac:dyDescent="0.25">
      <c r="A882">
        <v>983</v>
      </c>
      <c r="B882">
        <v>68</v>
      </c>
      <c r="C882" t="s">
        <v>18</v>
      </c>
      <c r="D882">
        <v>117203</v>
      </c>
      <c r="E882">
        <v>76</v>
      </c>
      <c r="F882">
        <v>7</v>
      </c>
      <c r="G882">
        <v>38</v>
      </c>
      <c r="H882" t="s">
        <v>14</v>
      </c>
      <c r="I882">
        <v>363.94</v>
      </c>
    </row>
    <row r="883" spans="1:9" x14ac:dyDescent="0.25">
      <c r="A883">
        <v>994</v>
      </c>
      <c r="B883">
        <v>29</v>
      </c>
      <c r="C883" t="s">
        <v>18</v>
      </c>
      <c r="D883">
        <v>64799</v>
      </c>
      <c r="E883">
        <v>42</v>
      </c>
      <c r="F883">
        <v>5</v>
      </c>
      <c r="G883">
        <v>19</v>
      </c>
      <c r="H883" t="s">
        <v>14</v>
      </c>
      <c r="I883">
        <v>967.26</v>
      </c>
    </row>
    <row r="884" spans="1:9" x14ac:dyDescent="0.25">
      <c r="A884">
        <v>999</v>
      </c>
      <c r="B884">
        <v>22</v>
      </c>
      <c r="C884" t="s">
        <v>18</v>
      </c>
      <c r="D884">
        <v>113695</v>
      </c>
      <c r="E884">
        <v>63</v>
      </c>
      <c r="F884">
        <v>7</v>
      </c>
      <c r="G884">
        <v>44</v>
      </c>
      <c r="H884" t="s">
        <v>14</v>
      </c>
      <c r="I884">
        <v>505.16</v>
      </c>
    </row>
    <row r="885" spans="1:9" x14ac:dyDescent="0.25">
      <c r="A885">
        <v>2</v>
      </c>
      <c r="B885">
        <v>21</v>
      </c>
      <c r="C885" t="s">
        <v>18</v>
      </c>
      <c r="D885">
        <v>78852</v>
      </c>
      <c r="E885">
        <v>60</v>
      </c>
      <c r="F885">
        <v>2</v>
      </c>
      <c r="G885">
        <v>42</v>
      </c>
      <c r="H885" t="s">
        <v>15</v>
      </c>
      <c r="I885">
        <v>41.93</v>
      </c>
    </row>
    <row r="886" spans="1:9" x14ac:dyDescent="0.25">
      <c r="A886">
        <v>3</v>
      </c>
      <c r="B886">
        <v>60</v>
      </c>
      <c r="C886" t="s">
        <v>18</v>
      </c>
      <c r="D886">
        <v>126573</v>
      </c>
      <c r="E886">
        <v>30</v>
      </c>
      <c r="F886">
        <v>2</v>
      </c>
      <c r="G886">
        <v>28</v>
      </c>
      <c r="H886" t="s">
        <v>17</v>
      </c>
      <c r="I886">
        <v>424.36</v>
      </c>
    </row>
    <row r="887" spans="1:9" x14ac:dyDescent="0.25">
      <c r="A887">
        <v>25</v>
      </c>
      <c r="B887">
        <v>69</v>
      </c>
      <c r="C887" t="s">
        <v>18</v>
      </c>
      <c r="D887">
        <v>36140</v>
      </c>
      <c r="E887">
        <v>78</v>
      </c>
      <c r="F887">
        <v>5</v>
      </c>
      <c r="G887">
        <v>39</v>
      </c>
      <c r="H887" t="s">
        <v>15</v>
      </c>
      <c r="I887">
        <v>508.86</v>
      </c>
    </row>
    <row r="888" spans="1:9" x14ac:dyDescent="0.25">
      <c r="A888">
        <v>28</v>
      </c>
      <c r="B888">
        <v>30</v>
      </c>
      <c r="C888" t="s">
        <v>18</v>
      </c>
      <c r="D888">
        <v>50680</v>
      </c>
      <c r="E888">
        <v>19</v>
      </c>
      <c r="F888">
        <v>7</v>
      </c>
      <c r="G888">
        <v>27</v>
      </c>
      <c r="H888" t="s">
        <v>15</v>
      </c>
      <c r="I888">
        <v>515.88</v>
      </c>
    </row>
    <row r="889" spans="1:9" x14ac:dyDescent="0.25">
      <c r="A889">
        <v>36</v>
      </c>
      <c r="B889">
        <v>30</v>
      </c>
      <c r="C889" t="s">
        <v>18</v>
      </c>
      <c r="D889">
        <v>73464</v>
      </c>
      <c r="E889">
        <v>37</v>
      </c>
      <c r="F889">
        <v>1</v>
      </c>
      <c r="G889">
        <v>6</v>
      </c>
      <c r="H889" t="s">
        <v>17</v>
      </c>
      <c r="I889">
        <v>532.51</v>
      </c>
    </row>
    <row r="890" spans="1:9" x14ac:dyDescent="0.25">
      <c r="A890">
        <v>39</v>
      </c>
      <c r="B890">
        <v>31</v>
      </c>
      <c r="C890" t="s">
        <v>18</v>
      </c>
      <c r="D890">
        <v>75392</v>
      </c>
      <c r="E890">
        <v>43</v>
      </c>
      <c r="F890">
        <v>4</v>
      </c>
      <c r="G890">
        <v>29</v>
      </c>
      <c r="H890" t="s">
        <v>15</v>
      </c>
      <c r="I890">
        <v>88.44</v>
      </c>
    </row>
    <row r="891" spans="1:9" x14ac:dyDescent="0.25">
      <c r="A891">
        <v>51</v>
      </c>
      <c r="B891">
        <v>61</v>
      </c>
      <c r="C891" t="s">
        <v>18</v>
      </c>
      <c r="D891">
        <v>61290</v>
      </c>
      <c r="E891">
        <v>83</v>
      </c>
      <c r="F891">
        <v>9</v>
      </c>
      <c r="G891">
        <v>35</v>
      </c>
      <c r="H891" t="s">
        <v>17</v>
      </c>
      <c r="I891">
        <v>110.32</v>
      </c>
    </row>
    <row r="892" spans="1:9" x14ac:dyDescent="0.25">
      <c r="A892">
        <v>52</v>
      </c>
      <c r="B892">
        <v>24</v>
      </c>
      <c r="C892" t="s">
        <v>18</v>
      </c>
      <c r="D892">
        <v>96082</v>
      </c>
      <c r="E892">
        <v>83</v>
      </c>
      <c r="F892">
        <v>4</v>
      </c>
      <c r="G892">
        <v>36</v>
      </c>
      <c r="H892" t="s">
        <v>15</v>
      </c>
      <c r="I892">
        <v>589.35</v>
      </c>
    </row>
    <row r="893" spans="1:9" x14ac:dyDescent="0.25">
      <c r="A893">
        <v>55</v>
      </c>
      <c r="B893">
        <v>56</v>
      </c>
      <c r="C893" t="s">
        <v>18</v>
      </c>
      <c r="D893">
        <v>85476</v>
      </c>
      <c r="E893">
        <v>55</v>
      </c>
      <c r="F893">
        <v>2</v>
      </c>
      <c r="G893">
        <v>41</v>
      </c>
      <c r="H893" t="s">
        <v>15</v>
      </c>
      <c r="I893">
        <v>774.5</v>
      </c>
    </row>
    <row r="894" spans="1:9" x14ac:dyDescent="0.25">
      <c r="A894">
        <v>58</v>
      </c>
      <c r="B894">
        <v>49</v>
      </c>
      <c r="C894" t="s">
        <v>18</v>
      </c>
      <c r="D894">
        <v>112198</v>
      </c>
      <c r="E894">
        <v>48</v>
      </c>
      <c r="F894">
        <v>5</v>
      </c>
      <c r="G894">
        <v>24</v>
      </c>
      <c r="H894" t="s">
        <v>15</v>
      </c>
      <c r="I894">
        <v>843.87</v>
      </c>
    </row>
    <row r="895" spans="1:9" x14ac:dyDescent="0.25">
      <c r="A895">
        <v>60</v>
      </c>
      <c r="B895">
        <v>21</v>
      </c>
      <c r="C895" t="s">
        <v>18</v>
      </c>
      <c r="D895">
        <v>139387</v>
      </c>
      <c r="E895">
        <v>1</v>
      </c>
      <c r="F895">
        <v>5</v>
      </c>
      <c r="G895">
        <v>7</v>
      </c>
      <c r="H895" t="s">
        <v>17</v>
      </c>
      <c r="I895">
        <v>399.58</v>
      </c>
    </row>
    <row r="896" spans="1:9" x14ac:dyDescent="0.25">
      <c r="A896">
        <v>63</v>
      </c>
      <c r="B896">
        <v>49</v>
      </c>
      <c r="C896" t="s">
        <v>18</v>
      </c>
      <c r="D896">
        <v>79992</v>
      </c>
      <c r="E896">
        <v>49</v>
      </c>
      <c r="F896">
        <v>8</v>
      </c>
      <c r="G896">
        <v>6</v>
      </c>
      <c r="H896" t="s">
        <v>15</v>
      </c>
      <c r="I896">
        <v>636.65</v>
      </c>
    </row>
    <row r="897" spans="1:9" x14ac:dyDescent="0.25">
      <c r="A897">
        <v>68</v>
      </c>
      <c r="B897">
        <v>43</v>
      </c>
      <c r="C897" t="s">
        <v>18</v>
      </c>
      <c r="D897">
        <v>87807</v>
      </c>
      <c r="E897">
        <v>52</v>
      </c>
      <c r="F897">
        <v>9</v>
      </c>
      <c r="G897">
        <v>41</v>
      </c>
      <c r="H897" t="s">
        <v>17</v>
      </c>
      <c r="I897">
        <v>95.08</v>
      </c>
    </row>
    <row r="898" spans="1:9" x14ac:dyDescent="0.25">
      <c r="A898">
        <v>83</v>
      </c>
      <c r="B898">
        <v>36</v>
      </c>
      <c r="C898" t="s">
        <v>18</v>
      </c>
      <c r="D898">
        <v>99427</v>
      </c>
      <c r="E898">
        <v>94</v>
      </c>
      <c r="F898">
        <v>8</v>
      </c>
      <c r="G898">
        <v>15</v>
      </c>
      <c r="H898" t="s">
        <v>15</v>
      </c>
      <c r="I898">
        <v>265.04000000000002</v>
      </c>
    </row>
    <row r="899" spans="1:9" x14ac:dyDescent="0.25">
      <c r="A899">
        <v>100</v>
      </c>
      <c r="B899">
        <v>26</v>
      </c>
      <c r="C899" t="s">
        <v>18</v>
      </c>
      <c r="D899">
        <v>59496</v>
      </c>
      <c r="E899">
        <v>58</v>
      </c>
      <c r="F899">
        <v>2</v>
      </c>
      <c r="G899">
        <v>50</v>
      </c>
      <c r="H899" t="s">
        <v>17</v>
      </c>
      <c r="I899">
        <v>23.33</v>
      </c>
    </row>
    <row r="900" spans="1:9" x14ac:dyDescent="0.25">
      <c r="A900">
        <v>104</v>
      </c>
      <c r="B900">
        <v>60</v>
      </c>
      <c r="C900" t="s">
        <v>18</v>
      </c>
      <c r="D900">
        <v>142407</v>
      </c>
      <c r="E900">
        <v>4</v>
      </c>
      <c r="F900">
        <v>2</v>
      </c>
      <c r="G900">
        <v>1</v>
      </c>
      <c r="H900" t="s">
        <v>15</v>
      </c>
      <c r="I900">
        <v>29.58</v>
      </c>
    </row>
    <row r="901" spans="1:9" x14ac:dyDescent="0.25">
      <c r="A901">
        <v>120</v>
      </c>
      <c r="B901">
        <v>68</v>
      </c>
      <c r="C901" t="s">
        <v>18</v>
      </c>
      <c r="D901">
        <v>78309</v>
      </c>
      <c r="E901">
        <v>12</v>
      </c>
      <c r="F901">
        <v>2</v>
      </c>
      <c r="G901">
        <v>49</v>
      </c>
      <c r="H901" t="s">
        <v>17</v>
      </c>
      <c r="I901">
        <v>848.14</v>
      </c>
    </row>
    <row r="902" spans="1:9" x14ac:dyDescent="0.25">
      <c r="A902">
        <v>130</v>
      </c>
      <c r="B902">
        <v>61</v>
      </c>
      <c r="C902" t="s">
        <v>18</v>
      </c>
      <c r="D902">
        <v>131607</v>
      </c>
      <c r="E902">
        <v>25</v>
      </c>
      <c r="F902">
        <v>7</v>
      </c>
      <c r="G902">
        <v>26</v>
      </c>
      <c r="H902" t="s">
        <v>17</v>
      </c>
      <c r="I902">
        <v>714.15</v>
      </c>
    </row>
    <row r="903" spans="1:9" x14ac:dyDescent="0.25">
      <c r="A903">
        <v>135</v>
      </c>
      <c r="B903">
        <v>29</v>
      </c>
      <c r="C903" t="s">
        <v>18</v>
      </c>
      <c r="D903">
        <v>100290</v>
      </c>
      <c r="E903">
        <v>85</v>
      </c>
      <c r="F903">
        <v>8</v>
      </c>
      <c r="G903">
        <v>29</v>
      </c>
      <c r="H903" t="s">
        <v>17</v>
      </c>
      <c r="I903">
        <v>480.87</v>
      </c>
    </row>
    <row r="904" spans="1:9" x14ac:dyDescent="0.25">
      <c r="A904">
        <v>138</v>
      </c>
      <c r="B904">
        <v>67</v>
      </c>
      <c r="C904" t="s">
        <v>18</v>
      </c>
      <c r="D904">
        <v>120561</v>
      </c>
      <c r="E904">
        <v>66</v>
      </c>
      <c r="F904">
        <v>2</v>
      </c>
      <c r="G904">
        <v>21</v>
      </c>
      <c r="H904" t="s">
        <v>17</v>
      </c>
      <c r="I904">
        <v>798.2</v>
      </c>
    </row>
    <row r="905" spans="1:9" x14ac:dyDescent="0.25">
      <c r="A905">
        <v>140</v>
      </c>
      <c r="B905">
        <v>18</v>
      </c>
      <c r="C905" t="s">
        <v>18</v>
      </c>
      <c r="D905">
        <v>78097</v>
      </c>
      <c r="E905">
        <v>84</v>
      </c>
      <c r="F905">
        <v>3</v>
      </c>
      <c r="G905">
        <v>26</v>
      </c>
      <c r="H905" t="s">
        <v>17</v>
      </c>
      <c r="I905">
        <v>453.34</v>
      </c>
    </row>
    <row r="906" spans="1:9" x14ac:dyDescent="0.25">
      <c r="A906">
        <v>157</v>
      </c>
      <c r="B906">
        <v>69</v>
      </c>
      <c r="C906" t="s">
        <v>18</v>
      </c>
      <c r="D906">
        <v>51990</v>
      </c>
      <c r="E906">
        <v>59</v>
      </c>
      <c r="F906">
        <v>2</v>
      </c>
      <c r="G906">
        <v>37</v>
      </c>
      <c r="H906" t="s">
        <v>17</v>
      </c>
      <c r="I906">
        <v>762.41</v>
      </c>
    </row>
    <row r="907" spans="1:9" x14ac:dyDescent="0.25">
      <c r="A907">
        <v>161</v>
      </c>
      <c r="B907">
        <v>69</v>
      </c>
      <c r="C907" t="s">
        <v>18</v>
      </c>
      <c r="D907">
        <v>117782</v>
      </c>
      <c r="E907">
        <v>18</v>
      </c>
      <c r="F907">
        <v>1</v>
      </c>
      <c r="G907">
        <v>15</v>
      </c>
      <c r="H907" t="s">
        <v>15</v>
      </c>
      <c r="I907">
        <v>762.55</v>
      </c>
    </row>
    <row r="908" spans="1:9" x14ac:dyDescent="0.25">
      <c r="A908">
        <v>169</v>
      </c>
      <c r="B908">
        <v>51</v>
      </c>
      <c r="C908" t="s">
        <v>18</v>
      </c>
      <c r="D908">
        <v>58930</v>
      </c>
      <c r="E908">
        <v>95</v>
      </c>
      <c r="F908">
        <v>5</v>
      </c>
      <c r="G908">
        <v>33</v>
      </c>
      <c r="H908" t="s">
        <v>15</v>
      </c>
      <c r="I908">
        <v>115.09</v>
      </c>
    </row>
    <row r="909" spans="1:9" x14ac:dyDescent="0.25">
      <c r="A909">
        <v>175</v>
      </c>
      <c r="B909">
        <v>33</v>
      </c>
      <c r="C909" t="s">
        <v>18</v>
      </c>
      <c r="D909">
        <v>81766</v>
      </c>
      <c r="E909">
        <v>86</v>
      </c>
      <c r="F909">
        <v>1</v>
      </c>
      <c r="G909">
        <v>16</v>
      </c>
      <c r="H909" t="s">
        <v>15</v>
      </c>
      <c r="I909">
        <v>160.11000000000001</v>
      </c>
    </row>
    <row r="910" spans="1:9" x14ac:dyDescent="0.25">
      <c r="A910">
        <v>200</v>
      </c>
      <c r="B910">
        <v>63</v>
      </c>
      <c r="C910" t="s">
        <v>18</v>
      </c>
      <c r="D910">
        <v>113240</v>
      </c>
      <c r="E910">
        <v>47</v>
      </c>
      <c r="F910">
        <v>9</v>
      </c>
      <c r="G910">
        <v>22</v>
      </c>
      <c r="H910" t="s">
        <v>17</v>
      </c>
      <c r="I910">
        <v>279.95999999999998</v>
      </c>
    </row>
    <row r="911" spans="1:9" x14ac:dyDescent="0.25">
      <c r="A911">
        <v>208</v>
      </c>
      <c r="B911">
        <v>59</v>
      </c>
      <c r="C911" t="s">
        <v>18</v>
      </c>
      <c r="D911">
        <v>70050</v>
      </c>
      <c r="E911">
        <v>62</v>
      </c>
      <c r="F911">
        <v>3</v>
      </c>
      <c r="G911">
        <v>10</v>
      </c>
      <c r="H911" t="s">
        <v>17</v>
      </c>
      <c r="I911">
        <v>49.53</v>
      </c>
    </row>
    <row r="912" spans="1:9" x14ac:dyDescent="0.25">
      <c r="A912">
        <v>211</v>
      </c>
      <c r="B912">
        <v>40</v>
      </c>
      <c r="C912" t="s">
        <v>18</v>
      </c>
      <c r="D912">
        <v>83445</v>
      </c>
      <c r="E912">
        <v>89</v>
      </c>
      <c r="F912">
        <v>7</v>
      </c>
      <c r="G912">
        <v>11</v>
      </c>
      <c r="H912" t="s">
        <v>17</v>
      </c>
      <c r="I912">
        <v>356.35</v>
      </c>
    </row>
    <row r="913" spans="1:9" x14ac:dyDescent="0.25">
      <c r="A913">
        <v>213</v>
      </c>
      <c r="B913">
        <v>47</v>
      </c>
      <c r="C913" t="s">
        <v>18</v>
      </c>
      <c r="D913">
        <v>121498</v>
      </c>
      <c r="E913">
        <v>29</v>
      </c>
      <c r="F913">
        <v>9</v>
      </c>
      <c r="G913">
        <v>28</v>
      </c>
      <c r="H913" t="s">
        <v>15</v>
      </c>
      <c r="I913">
        <v>706.37</v>
      </c>
    </row>
    <row r="914" spans="1:9" x14ac:dyDescent="0.25">
      <c r="A914">
        <v>217</v>
      </c>
      <c r="B914">
        <v>46</v>
      </c>
      <c r="C914" t="s">
        <v>18</v>
      </c>
      <c r="D914">
        <v>82034</v>
      </c>
      <c r="E914">
        <v>19</v>
      </c>
      <c r="F914">
        <v>2</v>
      </c>
      <c r="G914">
        <v>45</v>
      </c>
      <c r="H914" t="s">
        <v>15</v>
      </c>
      <c r="I914">
        <v>635.92999999999995</v>
      </c>
    </row>
    <row r="915" spans="1:9" x14ac:dyDescent="0.25">
      <c r="A915">
        <v>223</v>
      </c>
      <c r="B915">
        <v>53</v>
      </c>
      <c r="C915" t="s">
        <v>18</v>
      </c>
      <c r="D915">
        <v>146546</v>
      </c>
      <c r="E915">
        <v>12</v>
      </c>
      <c r="F915">
        <v>6</v>
      </c>
      <c r="G915">
        <v>45</v>
      </c>
      <c r="H915" t="s">
        <v>15</v>
      </c>
      <c r="I915">
        <v>915.02</v>
      </c>
    </row>
    <row r="916" spans="1:9" x14ac:dyDescent="0.25">
      <c r="A916">
        <v>234</v>
      </c>
      <c r="B916">
        <v>29</v>
      </c>
      <c r="C916" t="s">
        <v>18</v>
      </c>
      <c r="D916">
        <v>96066</v>
      </c>
      <c r="E916">
        <v>45</v>
      </c>
      <c r="F916">
        <v>7</v>
      </c>
      <c r="G916">
        <v>24</v>
      </c>
      <c r="H916" t="s">
        <v>15</v>
      </c>
      <c r="I916">
        <v>479.36</v>
      </c>
    </row>
    <row r="917" spans="1:9" x14ac:dyDescent="0.25">
      <c r="A917">
        <v>241</v>
      </c>
      <c r="B917">
        <v>41</v>
      </c>
      <c r="C917" t="s">
        <v>18</v>
      </c>
      <c r="D917">
        <v>41748</v>
      </c>
      <c r="E917">
        <v>50</v>
      </c>
      <c r="F917">
        <v>8</v>
      </c>
      <c r="G917">
        <v>5</v>
      </c>
      <c r="H917" t="s">
        <v>15</v>
      </c>
      <c r="I917">
        <v>35.159999999999997</v>
      </c>
    </row>
    <row r="918" spans="1:9" x14ac:dyDescent="0.25">
      <c r="A918">
        <v>249</v>
      </c>
      <c r="B918">
        <v>54</v>
      </c>
      <c r="C918" t="s">
        <v>18</v>
      </c>
      <c r="D918">
        <v>134743</v>
      </c>
      <c r="E918">
        <v>98</v>
      </c>
      <c r="F918">
        <v>9</v>
      </c>
      <c r="G918">
        <v>42</v>
      </c>
      <c r="H918" t="s">
        <v>15</v>
      </c>
      <c r="I918">
        <v>894.21</v>
      </c>
    </row>
    <row r="919" spans="1:9" x14ac:dyDescent="0.25">
      <c r="A919">
        <v>260</v>
      </c>
      <c r="B919">
        <v>39</v>
      </c>
      <c r="C919" t="s">
        <v>18</v>
      </c>
      <c r="D919">
        <v>56381</v>
      </c>
      <c r="E919">
        <v>82</v>
      </c>
      <c r="F919">
        <v>6</v>
      </c>
      <c r="G919">
        <v>19</v>
      </c>
      <c r="H919" t="s">
        <v>15</v>
      </c>
      <c r="I919">
        <v>759.6</v>
      </c>
    </row>
    <row r="920" spans="1:9" x14ac:dyDescent="0.25">
      <c r="A920">
        <v>269</v>
      </c>
      <c r="B920">
        <v>33</v>
      </c>
      <c r="C920" t="s">
        <v>18</v>
      </c>
      <c r="D920">
        <v>118116</v>
      </c>
      <c r="E920">
        <v>100</v>
      </c>
      <c r="F920">
        <v>9</v>
      </c>
      <c r="G920">
        <v>48</v>
      </c>
      <c r="H920" t="s">
        <v>15</v>
      </c>
      <c r="I920">
        <v>21.9</v>
      </c>
    </row>
    <row r="921" spans="1:9" x14ac:dyDescent="0.25">
      <c r="A921">
        <v>272</v>
      </c>
      <c r="B921">
        <v>52</v>
      </c>
      <c r="C921" t="s">
        <v>18</v>
      </c>
      <c r="D921">
        <v>104033</v>
      </c>
      <c r="E921">
        <v>6</v>
      </c>
      <c r="F921">
        <v>5</v>
      </c>
      <c r="G921">
        <v>15</v>
      </c>
      <c r="H921" t="s">
        <v>17</v>
      </c>
      <c r="I921">
        <v>192.31</v>
      </c>
    </row>
    <row r="922" spans="1:9" x14ac:dyDescent="0.25">
      <c r="A922">
        <v>280</v>
      </c>
      <c r="B922">
        <v>53</v>
      </c>
      <c r="C922" t="s">
        <v>18</v>
      </c>
      <c r="D922">
        <v>61826</v>
      </c>
      <c r="E922">
        <v>96</v>
      </c>
      <c r="F922">
        <v>1</v>
      </c>
      <c r="G922">
        <v>14</v>
      </c>
      <c r="H922" t="s">
        <v>17</v>
      </c>
      <c r="I922">
        <v>577</v>
      </c>
    </row>
    <row r="923" spans="1:9" x14ac:dyDescent="0.25">
      <c r="A923">
        <v>285</v>
      </c>
      <c r="B923">
        <v>63</v>
      </c>
      <c r="C923" t="s">
        <v>18</v>
      </c>
      <c r="D923">
        <v>121652</v>
      </c>
      <c r="E923">
        <v>20</v>
      </c>
      <c r="F923">
        <v>1</v>
      </c>
      <c r="G923">
        <v>26</v>
      </c>
      <c r="H923" t="s">
        <v>15</v>
      </c>
      <c r="I923">
        <v>169.58</v>
      </c>
    </row>
    <row r="924" spans="1:9" x14ac:dyDescent="0.25">
      <c r="A924">
        <v>291</v>
      </c>
      <c r="B924">
        <v>45</v>
      </c>
      <c r="C924" t="s">
        <v>18</v>
      </c>
      <c r="D924">
        <v>57845</v>
      </c>
      <c r="E924">
        <v>32</v>
      </c>
      <c r="F924">
        <v>6</v>
      </c>
      <c r="G924">
        <v>41</v>
      </c>
      <c r="H924" t="s">
        <v>17</v>
      </c>
      <c r="I924">
        <v>934.34</v>
      </c>
    </row>
    <row r="925" spans="1:9" x14ac:dyDescent="0.25">
      <c r="A925">
        <v>321</v>
      </c>
      <c r="B925">
        <v>43</v>
      </c>
      <c r="C925" t="s">
        <v>18</v>
      </c>
      <c r="D925">
        <v>78858</v>
      </c>
      <c r="E925">
        <v>4</v>
      </c>
      <c r="F925">
        <v>3</v>
      </c>
      <c r="G925">
        <v>38</v>
      </c>
      <c r="H925" t="s">
        <v>15</v>
      </c>
      <c r="I925">
        <v>261.19</v>
      </c>
    </row>
    <row r="926" spans="1:9" x14ac:dyDescent="0.25">
      <c r="A926">
        <v>339</v>
      </c>
      <c r="B926">
        <v>28</v>
      </c>
      <c r="C926" t="s">
        <v>18</v>
      </c>
      <c r="D926">
        <v>111697</v>
      </c>
      <c r="E926">
        <v>92</v>
      </c>
      <c r="F926">
        <v>9</v>
      </c>
      <c r="G926">
        <v>50</v>
      </c>
      <c r="H926" t="s">
        <v>15</v>
      </c>
      <c r="I926">
        <v>205.58</v>
      </c>
    </row>
    <row r="927" spans="1:9" x14ac:dyDescent="0.25">
      <c r="A927">
        <v>342</v>
      </c>
      <c r="B927">
        <v>69</v>
      </c>
      <c r="C927" t="s">
        <v>18</v>
      </c>
      <c r="D927">
        <v>71688</v>
      </c>
      <c r="E927">
        <v>69</v>
      </c>
      <c r="F927">
        <v>4</v>
      </c>
      <c r="G927">
        <v>25</v>
      </c>
      <c r="H927" t="s">
        <v>17</v>
      </c>
      <c r="I927">
        <v>532.23</v>
      </c>
    </row>
    <row r="928" spans="1:9" x14ac:dyDescent="0.25">
      <c r="A928">
        <v>347</v>
      </c>
      <c r="B928">
        <v>38</v>
      </c>
      <c r="C928" t="s">
        <v>18</v>
      </c>
      <c r="D928">
        <v>42378</v>
      </c>
      <c r="E928">
        <v>36</v>
      </c>
      <c r="F928">
        <v>5</v>
      </c>
      <c r="G928">
        <v>20</v>
      </c>
      <c r="H928" t="s">
        <v>15</v>
      </c>
      <c r="I928">
        <v>279.77</v>
      </c>
    </row>
    <row r="929" spans="1:9" x14ac:dyDescent="0.25">
      <c r="A929">
        <v>367</v>
      </c>
      <c r="B929">
        <v>65</v>
      </c>
      <c r="C929" t="s">
        <v>18</v>
      </c>
      <c r="D929">
        <v>65576</v>
      </c>
      <c r="E929">
        <v>91</v>
      </c>
      <c r="F929">
        <v>5</v>
      </c>
      <c r="G929">
        <v>12</v>
      </c>
      <c r="H929" t="s">
        <v>17</v>
      </c>
      <c r="I929">
        <v>782.55</v>
      </c>
    </row>
    <row r="930" spans="1:9" x14ac:dyDescent="0.25">
      <c r="A930">
        <v>372</v>
      </c>
      <c r="B930">
        <v>39</v>
      </c>
      <c r="C930" t="s">
        <v>18</v>
      </c>
      <c r="D930">
        <v>53805</v>
      </c>
      <c r="E930">
        <v>71</v>
      </c>
      <c r="F930">
        <v>5</v>
      </c>
      <c r="G930">
        <v>16</v>
      </c>
      <c r="H930" t="s">
        <v>15</v>
      </c>
      <c r="I930">
        <v>372.03</v>
      </c>
    </row>
    <row r="931" spans="1:9" x14ac:dyDescent="0.25">
      <c r="A931">
        <v>379</v>
      </c>
      <c r="B931">
        <v>41</v>
      </c>
      <c r="C931" t="s">
        <v>18</v>
      </c>
      <c r="D931">
        <v>30074</v>
      </c>
      <c r="E931">
        <v>95</v>
      </c>
      <c r="F931">
        <v>8</v>
      </c>
      <c r="G931">
        <v>19</v>
      </c>
      <c r="H931" t="s">
        <v>17</v>
      </c>
      <c r="I931">
        <v>78.819999999999993</v>
      </c>
    </row>
    <row r="932" spans="1:9" x14ac:dyDescent="0.25">
      <c r="A932">
        <v>381</v>
      </c>
      <c r="B932">
        <v>67</v>
      </c>
      <c r="C932" t="s">
        <v>18</v>
      </c>
      <c r="D932">
        <v>104036</v>
      </c>
      <c r="E932">
        <v>56</v>
      </c>
      <c r="F932">
        <v>10</v>
      </c>
      <c r="G932">
        <v>37</v>
      </c>
      <c r="H932" t="s">
        <v>15</v>
      </c>
      <c r="I932">
        <v>998.98</v>
      </c>
    </row>
    <row r="933" spans="1:9" x14ac:dyDescent="0.25">
      <c r="A933">
        <v>391</v>
      </c>
      <c r="B933">
        <v>67</v>
      </c>
      <c r="C933" t="s">
        <v>18</v>
      </c>
      <c r="D933">
        <v>101759</v>
      </c>
      <c r="E933">
        <v>57</v>
      </c>
      <c r="F933">
        <v>3</v>
      </c>
      <c r="G933">
        <v>19</v>
      </c>
      <c r="H933" t="s">
        <v>15</v>
      </c>
      <c r="I933">
        <v>670.51</v>
      </c>
    </row>
    <row r="934" spans="1:9" x14ac:dyDescent="0.25">
      <c r="A934">
        <v>393</v>
      </c>
      <c r="B934">
        <v>55</v>
      </c>
      <c r="C934" t="s">
        <v>18</v>
      </c>
      <c r="D934">
        <v>127542</v>
      </c>
      <c r="E934">
        <v>79</v>
      </c>
      <c r="F934">
        <v>8</v>
      </c>
      <c r="G934">
        <v>12</v>
      </c>
      <c r="H934" t="s">
        <v>17</v>
      </c>
      <c r="I934">
        <v>632.6</v>
      </c>
    </row>
    <row r="935" spans="1:9" x14ac:dyDescent="0.25">
      <c r="A935">
        <v>394</v>
      </c>
      <c r="B935">
        <v>69</v>
      </c>
      <c r="C935" t="s">
        <v>18</v>
      </c>
      <c r="D935">
        <v>74331</v>
      </c>
      <c r="E935">
        <v>83</v>
      </c>
      <c r="F935">
        <v>9</v>
      </c>
      <c r="G935">
        <v>11</v>
      </c>
      <c r="H935" t="s">
        <v>17</v>
      </c>
      <c r="I935">
        <v>341.63</v>
      </c>
    </row>
    <row r="936" spans="1:9" x14ac:dyDescent="0.25">
      <c r="A936">
        <v>400</v>
      </c>
      <c r="B936">
        <v>41</v>
      </c>
      <c r="C936" t="s">
        <v>18</v>
      </c>
      <c r="D936">
        <v>147962</v>
      </c>
      <c r="E936">
        <v>90</v>
      </c>
      <c r="F936">
        <v>2</v>
      </c>
      <c r="G936">
        <v>9</v>
      </c>
      <c r="H936" t="s">
        <v>17</v>
      </c>
      <c r="I936">
        <v>688.61</v>
      </c>
    </row>
    <row r="937" spans="1:9" x14ac:dyDescent="0.25">
      <c r="A937">
        <v>411</v>
      </c>
      <c r="B937">
        <v>43</v>
      </c>
      <c r="C937" t="s">
        <v>18</v>
      </c>
      <c r="D937">
        <v>89856</v>
      </c>
      <c r="E937">
        <v>96</v>
      </c>
      <c r="F937">
        <v>3</v>
      </c>
      <c r="G937">
        <v>2</v>
      </c>
      <c r="H937" t="s">
        <v>17</v>
      </c>
      <c r="I937">
        <v>114.47</v>
      </c>
    </row>
    <row r="938" spans="1:9" x14ac:dyDescent="0.25">
      <c r="A938">
        <v>418</v>
      </c>
      <c r="B938">
        <v>51</v>
      </c>
      <c r="C938" t="s">
        <v>18</v>
      </c>
      <c r="D938">
        <v>97565</v>
      </c>
      <c r="E938">
        <v>48</v>
      </c>
      <c r="F938">
        <v>10</v>
      </c>
      <c r="G938">
        <v>31</v>
      </c>
      <c r="H938" t="s">
        <v>17</v>
      </c>
      <c r="I938">
        <v>656.9</v>
      </c>
    </row>
    <row r="939" spans="1:9" x14ac:dyDescent="0.25">
      <c r="A939">
        <v>421</v>
      </c>
      <c r="B939">
        <v>46</v>
      </c>
      <c r="C939" t="s">
        <v>18</v>
      </c>
      <c r="D939">
        <v>90871</v>
      </c>
      <c r="E939">
        <v>56</v>
      </c>
      <c r="F939">
        <v>4</v>
      </c>
      <c r="G939">
        <v>39</v>
      </c>
      <c r="H939" t="s">
        <v>17</v>
      </c>
      <c r="I939">
        <v>592.97</v>
      </c>
    </row>
    <row r="940" spans="1:9" x14ac:dyDescent="0.25">
      <c r="A940">
        <v>427</v>
      </c>
      <c r="B940">
        <v>47</v>
      </c>
      <c r="C940" t="s">
        <v>18</v>
      </c>
      <c r="D940">
        <v>49336</v>
      </c>
      <c r="E940">
        <v>11</v>
      </c>
      <c r="F940">
        <v>10</v>
      </c>
      <c r="G940">
        <v>11</v>
      </c>
      <c r="H940" t="s">
        <v>15</v>
      </c>
      <c r="I940">
        <v>877.17</v>
      </c>
    </row>
    <row r="941" spans="1:9" x14ac:dyDescent="0.25">
      <c r="A941">
        <v>432</v>
      </c>
      <c r="B941">
        <v>29</v>
      </c>
      <c r="C941" t="s">
        <v>18</v>
      </c>
      <c r="D941">
        <v>133291</v>
      </c>
      <c r="E941">
        <v>52</v>
      </c>
      <c r="F941">
        <v>4</v>
      </c>
      <c r="G941">
        <v>42</v>
      </c>
      <c r="H941" t="s">
        <v>17</v>
      </c>
      <c r="I941">
        <v>916.28</v>
      </c>
    </row>
    <row r="942" spans="1:9" x14ac:dyDescent="0.25">
      <c r="A942">
        <v>439</v>
      </c>
      <c r="B942">
        <v>63</v>
      </c>
      <c r="C942" t="s">
        <v>18</v>
      </c>
      <c r="D942">
        <v>118402</v>
      </c>
      <c r="E942">
        <v>74</v>
      </c>
      <c r="F942">
        <v>3</v>
      </c>
      <c r="G942">
        <v>12</v>
      </c>
      <c r="H942" t="s">
        <v>15</v>
      </c>
      <c r="I942">
        <v>828.04</v>
      </c>
    </row>
    <row r="943" spans="1:9" x14ac:dyDescent="0.25">
      <c r="A943">
        <v>440</v>
      </c>
      <c r="B943">
        <v>23</v>
      </c>
      <c r="C943" t="s">
        <v>18</v>
      </c>
      <c r="D943">
        <v>130546</v>
      </c>
      <c r="E943">
        <v>71</v>
      </c>
      <c r="F943">
        <v>9</v>
      </c>
      <c r="G943">
        <v>36</v>
      </c>
      <c r="H943" t="s">
        <v>15</v>
      </c>
      <c r="I943">
        <v>799.33</v>
      </c>
    </row>
    <row r="944" spans="1:9" x14ac:dyDescent="0.25">
      <c r="A944">
        <v>442</v>
      </c>
      <c r="B944">
        <v>26</v>
      </c>
      <c r="C944" t="s">
        <v>18</v>
      </c>
      <c r="D944">
        <v>84460</v>
      </c>
      <c r="E944">
        <v>45</v>
      </c>
      <c r="F944">
        <v>1</v>
      </c>
      <c r="G944">
        <v>33</v>
      </c>
      <c r="H944" t="s">
        <v>17</v>
      </c>
      <c r="I944">
        <v>219.67</v>
      </c>
    </row>
    <row r="945" spans="1:9" x14ac:dyDescent="0.25">
      <c r="A945">
        <v>448</v>
      </c>
      <c r="B945">
        <v>31</v>
      </c>
      <c r="C945" t="s">
        <v>18</v>
      </c>
      <c r="D945">
        <v>46106</v>
      </c>
      <c r="E945">
        <v>72</v>
      </c>
      <c r="F945">
        <v>7</v>
      </c>
      <c r="G945">
        <v>2</v>
      </c>
      <c r="H945" t="s">
        <v>15</v>
      </c>
      <c r="I945">
        <v>59.82</v>
      </c>
    </row>
    <row r="946" spans="1:9" x14ac:dyDescent="0.25">
      <c r="A946">
        <v>452</v>
      </c>
      <c r="B946">
        <v>45</v>
      </c>
      <c r="C946" t="s">
        <v>18</v>
      </c>
      <c r="D946">
        <v>93800</v>
      </c>
      <c r="E946">
        <v>33</v>
      </c>
      <c r="F946">
        <v>10</v>
      </c>
      <c r="G946">
        <v>32</v>
      </c>
      <c r="H946" t="s">
        <v>15</v>
      </c>
      <c r="I946">
        <v>391.45</v>
      </c>
    </row>
    <row r="947" spans="1:9" x14ac:dyDescent="0.25">
      <c r="A947">
        <v>460</v>
      </c>
      <c r="B947">
        <v>55</v>
      </c>
      <c r="C947" t="s">
        <v>18</v>
      </c>
      <c r="D947">
        <v>105647</v>
      </c>
      <c r="E947">
        <v>94</v>
      </c>
      <c r="F947">
        <v>1</v>
      </c>
      <c r="G947">
        <v>14</v>
      </c>
      <c r="H947" t="s">
        <v>15</v>
      </c>
      <c r="I947">
        <v>737.91</v>
      </c>
    </row>
    <row r="948" spans="1:9" x14ac:dyDescent="0.25">
      <c r="A948">
        <v>464</v>
      </c>
      <c r="B948">
        <v>65</v>
      </c>
      <c r="C948" t="s">
        <v>18</v>
      </c>
      <c r="D948">
        <v>138529</v>
      </c>
      <c r="E948">
        <v>87</v>
      </c>
      <c r="F948">
        <v>10</v>
      </c>
      <c r="G948">
        <v>14</v>
      </c>
      <c r="H948" t="s">
        <v>15</v>
      </c>
      <c r="I948">
        <v>461.61</v>
      </c>
    </row>
    <row r="949" spans="1:9" x14ac:dyDescent="0.25">
      <c r="A949">
        <v>465</v>
      </c>
      <c r="B949">
        <v>54</v>
      </c>
      <c r="C949" t="s">
        <v>18</v>
      </c>
      <c r="D949">
        <v>40858</v>
      </c>
      <c r="E949">
        <v>48</v>
      </c>
      <c r="F949">
        <v>6</v>
      </c>
      <c r="G949">
        <v>20</v>
      </c>
      <c r="H949" t="s">
        <v>17</v>
      </c>
      <c r="I949">
        <v>34.880000000000003</v>
      </c>
    </row>
    <row r="950" spans="1:9" x14ac:dyDescent="0.25">
      <c r="A950">
        <v>480</v>
      </c>
      <c r="B950">
        <v>19</v>
      </c>
      <c r="C950" t="s">
        <v>18</v>
      </c>
      <c r="D950">
        <v>35529</v>
      </c>
      <c r="E950">
        <v>62</v>
      </c>
      <c r="F950">
        <v>4</v>
      </c>
      <c r="G950">
        <v>24</v>
      </c>
      <c r="H950" t="s">
        <v>17</v>
      </c>
      <c r="I950">
        <v>177.69</v>
      </c>
    </row>
    <row r="951" spans="1:9" x14ac:dyDescent="0.25">
      <c r="A951">
        <v>490</v>
      </c>
      <c r="B951">
        <v>19</v>
      </c>
      <c r="C951" t="s">
        <v>18</v>
      </c>
      <c r="D951">
        <v>113254</v>
      </c>
      <c r="E951">
        <v>38</v>
      </c>
      <c r="F951">
        <v>5</v>
      </c>
      <c r="G951">
        <v>35</v>
      </c>
      <c r="H951" t="s">
        <v>17</v>
      </c>
      <c r="I951">
        <v>633.5</v>
      </c>
    </row>
    <row r="952" spans="1:9" x14ac:dyDescent="0.25">
      <c r="A952">
        <v>493</v>
      </c>
      <c r="B952">
        <v>51</v>
      </c>
      <c r="C952" t="s">
        <v>18</v>
      </c>
      <c r="D952">
        <v>120616</v>
      </c>
      <c r="E952">
        <v>71</v>
      </c>
      <c r="F952">
        <v>1</v>
      </c>
      <c r="G952">
        <v>16</v>
      </c>
      <c r="H952" t="s">
        <v>17</v>
      </c>
      <c r="I952">
        <v>542.03</v>
      </c>
    </row>
    <row r="953" spans="1:9" x14ac:dyDescent="0.25">
      <c r="A953">
        <v>496</v>
      </c>
      <c r="B953">
        <v>33</v>
      </c>
      <c r="C953" t="s">
        <v>18</v>
      </c>
      <c r="D953">
        <v>65486</v>
      </c>
      <c r="E953">
        <v>76</v>
      </c>
      <c r="F953">
        <v>2</v>
      </c>
      <c r="G953">
        <v>11</v>
      </c>
      <c r="H953" t="s">
        <v>15</v>
      </c>
      <c r="I953">
        <v>302.05</v>
      </c>
    </row>
    <row r="954" spans="1:9" x14ac:dyDescent="0.25">
      <c r="A954">
        <v>519</v>
      </c>
      <c r="B954">
        <v>45</v>
      </c>
      <c r="C954" t="s">
        <v>18</v>
      </c>
      <c r="D954">
        <v>67753</v>
      </c>
      <c r="E954">
        <v>64</v>
      </c>
      <c r="F954">
        <v>4</v>
      </c>
      <c r="G954">
        <v>48</v>
      </c>
      <c r="H954" t="s">
        <v>15</v>
      </c>
      <c r="I954">
        <v>926.69</v>
      </c>
    </row>
    <row r="955" spans="1:9" x14ac:dyDescent="0.25">
      <c r="A955">
        <v>525</v>
      </c>
      <c r="B955">
        <v>33</v>
      </c>
      <c r="C955" t="s">
        <v>18</v>
      </c>
      <c r="D955">
        <v>90232</v>
      </c>
      <c r="E955">
        <v>19</v>
      </c>
      <c r="F955">
        <v>2</v>
      </c>
      <c r="G955">
        <v>8</v>
      </c>
      <c r="H955" t="s">
        <v>17</v>
      </c>
      <c r="I955">
        <v>255.08</v>
      </c>
    </row>
    <row r="956" spans="1:9" x14ac:dyDescent="0.25">
      <c r="A956">
        <v>527</v>
      </c>
      <c r="B956">
        <v>62</v>
      </c>
      <c r="C956" t="s">
        <v>18</v>
      </c>
      <c r="D956">
        <v>117704</v>
      </c>
      <c r="E956">
        <v>37</v>
      </c>
      <c r="F956">
        <v>3</v>
      </c>
      <c r="G956">
        <v>48</v>
      </c>
      <c r="H956" t="s">
        <v>15</v>
      </c>
      <c r="I956">
        <v>112.11</v>
      </c>
    </row>
    <row r="957" spans="1:9" x14ac:dyDescent="0.25">
      <c r="A957">
        <v>528</v>
      </c>
      <c r="B957">
        <v>23</v>
      </c>
      <c r="C957" t="s">
        <v>18</v>
      </c>
      <c r="D957">
        <v>144577</v>
      </c>
      <c r="E957">
        <v>75</v>
      </c>
      <c r="F957">
        <v>1</v>
      </c>
      <c r="G957">
        <v>9</v>
      </c>
      <c r="H957" t="s">
        <v>17</v>
      </c>
      <c r="I957">
        <v>826.02</v>
      </c>
    </row>
    <row r="958" spans="1:9" x14ac:dyDescent="0.25">
      <c r="A958">
        <v>536</v>
      </c>
      <c r="B958">
        <v>62</v>
      </c>
      <c r="C958" t="s">
        <v>18</v>
      </c>
      <c r="D958">
        <v>74474</v>
      </c>
      <c r="E958">
        <v>49</v>
      </c>
      <c r="F958">
        <v>2</v>
      </c>
      <c r="G958">
        <v>18</v>
      </c>
      <c r="H958" t="s">
        <v>15</v>
      </c>
      <c r="I958">
        <v>933.65</v>
      </c>
    </row>
    <row r="959" spans="1:9" x14ac:dyDescent="0.25">
      <c r="A959">
        <v>544</v>
      </c>
      <c r="B959">
        <v>66</v>
      </c>
      <c r="C959" t="s">
        <v>18</v>
      </c>
      <c r="D959">
        <v>126893</v>
      </c>
      <c r="E959">
        <v>3</v>
      </c>
      <c r="F959">
        <v>1</v>
      </c>
      <c r="G959">
        <v>32</v>
      </c>
      <c r="H959" t="s">
        <v>17</v>
      </c>
      <c r="I959">
        <v>199.17</v>
      </c>
    </row>
    <row r="960" spans="1:9" x14ac:dyDescent="0.25">
      <c r="A960">
        <v>545</v>
      </c>
      <c r="B960">
        <v>23</v>
      </c>
      <c r="C960" t="s">
        <v>18</v>
      </c>
      <c r="D960">
        <v>123168</v>
      </c>
      <c r="E960">
        <v>80</v>
      </c>
      <c r="F960">
        <v>4</v>
      </c>
      <c r="G960">
        <v>19</v>
      </c>
      <c r="H960" t="s">
        <v>17</v>
      </c>
      <c r="I960">
        <v>860.95</v>
      </c>
    </row>
    <row r="961" spans="1:9" x14ac:dyDescent="0.25">
      <c r="A961">
        <v>585</v>
      </c>
      <c r="B961">
        <v>51</v>
      </c>
      <c r="C961" t="s">
        <v>18</v>
      </c>
      <c r="D961">
        <v>37310</v>
      </c>
      <c r="E961">
        <v>6</v>
      </c>
      <c r="F961">
        <v>5</v>
      </c>
      <c r="G961">
        <v>14</v>
      </c>
      <c r="H961" t="s">
        <v>15</v>
      </c>
      <c r="I961">
        <v>706.18</v>
      </c>
    </row>
    <row r="962" spans="1:9" x14ac:dyDescent="0.25">
      <c r="A962">
        <v>593</v>
      </c>
      <c r="B962">
        <v>62</v>
      </c>
      <c r="C962" t="s">
        <v>18</v>
      </c>
      <c r="D962">
        <v>148501</v>
      </c>
      <c r="E962">
        <v>41</v>
      </c>
      <c r="F962">
        <v>9</v>
      </c>
      <c r="G962">
        <v>32</v>
      </c>
      <c r="H962" t="s">
        <v>15</v>
      </c>
      <c r="I962">
        <v>980.47</v>
      </c>
    </row>
    <row r="963" spans="1:9" x14ac:dyDescent="0.25">
      <c r="A963">
        <v>603</v>
      </c>
      <c r="B963">
        <v>33</v>
      </c>
      <c r="C963" t="s">
        <v>18</v>
      </c>
      <c r="D963">
        <v>53219</v>
      </c>
      <c r="E963">
        <v>33</v>
      </c>
      <c r="F963">
        <v>4</v>
      </c>
      <c r="G963">
        <v>47</v>
      </c>
      <c r="H963" t="s">
        <v>17</v>
      </c>
      <c r="I963">
        <v>251.23</v>
      </c>
    </row>
    <row r="964" spans="1:9" x14ac:dyDescent="0.25">
      <c r="A964">
        <v>614</v>
      </c>
      <c r="B964">
        <v>64</v>
      </c>
      <c r="C964" t="s">
        <v>18</v>
      </c>
      <c r="D964">
        <v>116106</v>
      </c>
      <c r="E964">
        <v>5</v>
      </c>
      <c r="F964">
        <v>1</v>
      </c>
      <c r="G964">
        <v>5</v>
      </c>
      <c r="H964" t="s">
        <v>17</v>
      </c>
      <c r="I964">
        <v>25.86</v>
      </c>
    </row>
    <row r="965" spans="1:9" x14ac:dyDescent="0.25">
      <c r="A965">
        <v>623</v>
      </c>
      <c r="B965">
        <v>30</v>
      </c>
      <c r="C965" t="s">
        <v>18</v>
      </c>
      <c r="D965">
        <v>97829</v>
      </c>
      <c r="E965">
        <v>99</v>
      </c>
      <c r="F965">
        <v>4</v>
      </c>
      <c r="G965">
        <v>27</v>
      </c>
      <c r="H965" t="s">
        <v>17</v>
      </c>
      <c r="I965">
        <v>320.95</v>
      </c>
    </row>
    <row r="966" spans="1:9" x14ac:dyDescent="0.25">
      <c r="A966">
        <v>632</v>
      </c>
      <c r="B966">
        <v>29</v>
      </c>
      <c r="C966" t="s">
        <v>18</v>
      </c>
      <c r="D966">
        <v>72125</v>
      </c>
      <c r="E966">
        <v>41</v>
      </c>
      <c r="F966">
        <v>5</v>
      </c>
      <c r="G966">
        <v>31</v>
      </c>
      <c r="H966" t="s">
        <v>15</v>
      </c>
      <c r="I966">
        <v>507.62</v>
      </c>
    </row>
    <row r="967" spans="1:9" x14ac:dyDescent="0.25">
      <c r="A967">
        <v>636</v>
      </c>
      <c r="B967">
        <v>24</v>
      </c>
      <c r="C967" t="s">
        <v>18</v>
      </c>
      <c r="D967">
        <v>93266</v>
      </c>
      <c r="E967">
        <v>20</v>
      </c>
      <c r="F967">
        <v>1</v>
      </c>
      <c r="G967">
        <v>4</v>
      </c>
      <c r="H967" t="s">
        <v>17</v>
      </c>
      <c r="I967">
        <v>636.29</v>
      </c>
    </row>
    <row r="968" spans="1:9" x14ac:dyDescent="0.25">
      <c r="A968">
        <v>643</v>
      </c>
      <c r="B968">
        <v>64</v>
      </c>
      <c r="C968" t="s">
        <v>18</v>
      </c>
      <c r="D968">
        <v>92888</v>
      </c>
      <c r="E968">
        <v>2</v>
      </c>
      <c r="F968">
        <v>7</v>
      </c>
      <c r="G968">
        <v>50</v>
      </c>
      <c r="H968" t="s">
        <v>15</v>
      </c>
      <c r="I968">
        <v>84.98</v>
      </c>
    </row>
    <row r="969" spans="1:9" x14ac:dyDescent="0.25">
      <c r="A969">
        <v>660</v>
      </c>
      <c r="B969">
        <v>54</v>
      </c>
      <c r="C969" t="s">
        <v>18</v>
      </c>
      <c r="D969">
        <v>89035</v>
      </c>
      <c r="E969">
        <v>14</v>
      </c>
      <c r="F969">
        <v>4</v>
      </c>
      <c r="G969">
        <v>11</v>
      </c>
      <c r="H969" t="s">
        <v>15</v>
      </c>
      <c r="I969">
        <v>138.81</v>
      </c>
    </row>
    <row r="970" spans="1:9" x14ac:dyDescent="0.25">
      <c r="A970">
        <v>661</v>
      </c>
      <c r="B970">
        <v>69</v>
      </c>
      <c r="C970" t="s">
        <v>18</v>
      </c>
      <c r="D970">
        <v>34122</v>
      </c>
      <c r="E970">
        <v>50</v>
      </c>
      <c r="F970">
        <v>4</v>
      </c>
      <c r="G970">
        <v>27</v>
      </c>
      <c r="H970" t="s">
        <v>15</v>
      </c>
      <c r="I970">
        <v>758.44</v>
      </c>
    </row>
    <row r="971" spans="1:9" x14ac:dyDescent="0.25">
      <c r="A971">
        <v>667</v>
      </c>
      <c r="B971">
        <v>29</v>
      </c>
      <c r="C971" t="s">
        <v>18</v>
      </c>
      <c r="D971">
        <v>135394</v>
      </c>
      <c r="E971">
        <v>53</v>
      </c>
      <c r="F971">
        <v>9</v>
      </c>
      <c r="G971">
        <v>36</v>
      </c>
      <c r="H971" t="s">
        <v>17</v>
      </c>
      <c r="I971">
        <v>30.13</v>
      </c>
    </row>
    <row r="972" spans="1:9" x14ac:dyDescent="0.25">
      <c r="A972">
        <v>668</v>
      </c>
      <c r="B972">
        <v>27</v>
      </c>
      <c r="C972" t="s">
        <v>18</v>
      </c>
      <c r="D972">
        <v>48576</v>
      </c>
      <c r="E972">
        <v>29</v>
      </c>
      <c r="F972">
        <v>7</v>
      </c>
      <c r="G972">
        <v>29</v>
      </c>
      <c r="H972" t="s">
        <v>15</v>
      </c>
      <c r="I972">
        <v>976.83</v>
      </c>
    </row>
    <row r="973" spans="1:9" x14ac:dyDescent="0.25">
      <c r="A973">
        <v>673</v>
      </c>
      <c r="B973">
        <v>47</v>
      </c>
      <c r="C973" t="s">
        <v>18</v>
      </c>
      <c r="D973">
        <v>40790</v>
      </c>
      <c r="E973">
        <v>36</v>
      </c>
      <c r="F973">
        <v>1</v>
      </c>
      <c r="G973">
        <v>4</v>
      </c>
      <c r="H973" t="s">
        <v>17</v>
      </c>
      <c r="I973">
        <v>913.84</v>
      </c>
    </row>
    <row r="974" spans="1:9" x14ac:dyDescent="0.25">
      <c r="A974">
        <v>679</v>
      </c>
      <c r="B974">
        <v>46</v>
      </c>
      <c r="C974" t="s">
        <v>18</v>
      </c>
      <c r="D974">
        <v>112770</v>
      </c>
      <c r="E974">
        <v>6</v>
      </c>
      <c r="F974">
        <v>10</v>
      </c>
      <c r="G974">
        <v>27</v>
      </c>
      <c r="H974" t="s">
        <v>15</v>
      </c>
      <c r="I974">
        <v>559.73</v>
      </c>
    </row>
    <row r="975" spans="1:9" x14ac:dyDescent="0.25">
      <c r="A975">
        <v>690</v>
      </c>
      <c r="B975">
        <v>39</v>
      </c>
      <c r="C975" t="s">
        <v>18</v>
      </c>
      <c r="D975">
        <v>141586</v>
      </c>
      <c r="E975">
        <v>50</v>
      </c>
      <c r="F975">
        <v>4</v>
      </c>
      <c r="G975">
        <v>46</v>
      </c>
      <c r="H975" t="s">
        <v>17</v>
      </c>
      <c r="I975">
        <v>659.67</v>
      </c>
    </row>
    <row r="976" spans="1:9" x14ac:dyDescent="0.25">
      <c r="A976">
        <v>697</v>
      </c>
      <c r="B976">
        <v>36</v>
      </c>
      <c r="C976" t="s">
        <v>18</v>
      </c>
      <c r="D976">
        <v>114281</v>
      </c>
      <c r="E976">
        <v>99</v>
      </c>
      <c r="F976">
        <v>7</v>
      </c>
      <c r="G976">
        <v>6</v>
      </c>
      <c r="H976" t="s">
        <v>15</v>
      </c>
      <c r="I976">
        <v>217.78</v>
      </c>
    </row>
    <row r="977" spans="1:9" x14ac:dyDescent="0.25">
      <c r="A977">
        <v>704</v>
      </c>
      <c r="B977">
        <v>52</v>
      </c>
      <c r="C977" t="s">
        <v>18</v>
      </c>
      <c r="D977">
        <v>58805</v>
      </c>
      <c r="E977">
        <v>14</v>
      </c>
      <c r="F977">
        <v>2</v>
      </c>
      <c r="G977">
        <v>47</v>
      </c>
      <c r="H977" t="s">
        <v>15</v>
      </c>
      <c r="I977">
        <v>104.35</v>
      </c>
    </row>
    <row r="978" spans="1:9" x14ac:dyDescent="0.25">
      <c r="A978">
        <v>706</v>
      </c>
      <c r="B978">
        <v>29</v>
      </c>
      <c r="C978" t="s">
        <v>18</v>
      </c>
      <c r="D978">
        <v>102972</v>
      </c>
      <c r="E978">
        <v>68</v>
      </c>
      <c r="F978">
        <v>3</v>
      </c>
      <c r="G978">
        <v>39</v>
      </c>
      <c r="H978" t="s">
        <v>17</v>
      </c>
      <c r="I978">
        <v>258.08999999999997</v>
      </c>
    </row>
    <row r="979" spans="1:9" x14ac:dyDescent="0.25">
      <c r="A979">
        <v>707</v>
      </c>
      <c r="B979">
        <v>47</v>
      </c>
      <c r="C979" t="s">
        <v>18</v>
      </c>
      <c r="D979">
        <v>128439</v>
      </c>
      <c r="E979">
        <v>42</v>
      </c>
      <c r="F979">
        <v>5</v>
      </c>
      <c r="G979">
        <v>22</v>
      </c>
      <c r="H979" t="s">
        <v>15</v>
      </c>
      <c r="I979">
        <v>219.02</v>
      </c>
    </row>
    <row r="980" spans="1:9" x14ac:dyDescent="0.25">
      <c r="A980">
        <v>709</v>
      </c>
      <c r="B980">
        <v>44</v>
      </c>
      <c r="C980" t="s">
        <v>18</v>
      </c>
      <c r="D980">
        <v>118123</v>
      </c>
      <c r="E980">
        <v>40</v>
      </c>
      <c r="F980">
        <v>8</v>
      </c>
      <c r="G980">
        <v>31</v>
      </c>
      <c r="H980" t="s">
        <v>17</v>
      </c>
      <c r="I980">
        <v>140.52000000000001</v>
      </c>
    </row>
    <row r="981" spans="1:9" x14ac:dyDescent="0.25">
      <c r="A981">
        <v>716</v>
      </c>
      <c r="B981">
        <v>48</v>
      </c>
      <c r="C981" t="s">
        <v>18</v>
      </c>
      <c r="D981">
        <v>74273</v>
      </c>
      <c r="E981">
        <v>23</v>
      </c>
      <c r="F981">
        <v>10</v>
      </c>
      <c r="G981">
        <v>46</v>
      </c>
      <c r="H981" t="s">
        <v>15</v>
      </c>
      <c r="I981">
        <v>626.27</v>
      </c>
    </row>
    <row r="982" spans="1:9" x14ac:dyDescent="0.25">
      <c r="A982">
        <v>719</v>
      </c>
      <c r="B982">
        <v>21</v>
      </c>
      <c r="C982" t="s">
        <v>18</v>
      </c>
      <c r="D982">
        <v>119226</v>
      </c>
      <c r="E982">
        <v>21</v>
      </c>
      <c r="F982">
        <v>8</v>
      </c>
      <c r="G982">
        <v>50</v>
      </c>
      <c r="H982" t="s">
        <v>15</v>
      </c>
      <c r="I982">
        <v>772.63</v>
      </c>
    </row>
    <row r="983" spans="1:9" x14ac:dyDescent="0.25">
      <c r="A983">
        <v>725</v>
      </c>
      <c r="B983">
        <v>48</v>
      </c>
      <c r="C983" t="s">
        <v>18</v>
      </c>
      <c r="D983">
        <v>108563</v>
      </c>
      <c r="E983">
        <v>3</v>
      </c>
      <c r="F983">
        <v>8</v>
      </c>
      <c r="G983">
        <v>39</v>
      </c>
      <c r="H983" t="s">
        <v>17</v>
      </c>
      <c r="I983">
        <v>15.72</v>
      </c>
    </row>
    <row r="984" spans="1:9" x14ac:dyDescent="0.25">
      <c r="A984">
        <v>736</v>
      </c>
      <c r="B984">
        <v>52</v>
      </c>
      <c r="C984" t="s">
        <v>18</v>
      </c>
      <c r="D984">
        <v>130875</v>
      </c>
      <c r="E984">
        <v>76</v>
      </c>
      <c r="F984">
        <v>10</v>
      </c>
      <c r="G984">
        <v>14</v>
      </c>
      <c r="H984" t="s">
        <v>17</v>
      </c>
      <c r="I984">
        <v>979.39</v>
      </c>
    </row>
    <row r="985" spans="1:9" x14ac:dyDescent="0.25">
      <c r="A985">
        <v>764</v>
      </c>
      <c r="B985">
        <v>61</v>
      </c>
      <c r="C985" t="s">
        <v>18</v>
      </c>
      <c r="D985">
        <v>116123</v>
      </c>
      <c r="E985">
        <v>96</v>
      </c>
      <c r="F985">
        <v>2</v>
      </c>
      <c r="G985">
        <v>27</v>
      </c>
      <c r="H985" t="s">
        <v>15</v>
      </c>
      <c r="I985">
        <v>844.95</v>
      </c>
    </row>
    <row r="986" spans="1:9" x14ac:dyDescent="0.25">
      <c r="A986">
        <v>772</v>
      </c>
      <c r="B986">
        <v>26</v>
      </c>
      <c r="C986" t="s">
        <v>18</v>
      </c>
      <c r="D986">
        <v>79842</v>
      </c>
      <c r="E986">
        <v>78</v>
      </c>
      <c r="F986">
        <v>9</v>
      </c>
      <c r="G986">
        <v>5</v>
      </c>
      <c r="H986" t="s">
        <v>17</v>
      </c>
      <c r="I986">
        <v>557.41</v>
      </c>
    </row>
    <row r="987" spans="1:9" x14ac:dyDescent="0.25">
      <c r="A987">
        <v>778</v>
      </c>
      <c r="B987">
        <v>46</v>
      </c>
      <c r="C987" t="s">
        <v>18</v>
      </c>
      <c r="D987">
        <v>78023</v>
      </c>
      <c r="E987">
        <v>83</v>
      </c>
      <c r="F987">
        <v>7</v>
      </c>
      <c r="G987">
        <v>28</v>
      </c>
      <c r="H987" t="s">
        <v>15</v>
      </c>
      <c r="I987">
        <v>270.14999999999998</v>
      </c>
    </row>
    <row r="988" spans="1:9" x14ac:dyDescent="0.25">
      <c r="A988">
        <v>789</v>
      </c>
      <c r="B988">
        <v>25</v>
      </c>
      <c r="C988" t="s">
        <v>18</v>
      </c>
      <c r="D988">
        <v>52575</v>
      </c>
      <c r="E988">
        <v>77</v>
      </c>
      <c r="F988">
        <v>5</v>
      </c>
      <c r="G988">
        <v>13</v>
      </c>
      <c r="H988" t="s">
        <v>17</v>
      </c>
      <c r="I988">
        <v>112.22</v>
      </c>
    </row>
    <row r="989" spans="1:9" x14ac:dyDescent="0.25">
      <c r="A989">
        <v>805</v>
      </c>
      <c r="B989">
        <v>51</v>
      </c>
      <c r="C989" t="s">
        <v>18</v>
      </c>
      <c r="D989">
        <v>97660</v>
      </c>
      <c r="E989">
        <v>3</v>
      </c>
      <c r="F989">
        <v>7</v>
      </c>
      <c r="G989">
        <v>30</v>
      </c>
      <c r="H989" t="s">
        <v>15</v>
      </c>
      <c r="I989">
        <v>145.66</v>
      </c>
    </row>
    <row r="990" spans="1:9" x14ac:dyDescent="0.25">
      <c r="A990">
        <v>833</v>
      </c>
      <c r="B990">
        <v>43</v>
      </c>
      <c r="C990" t="s">
        <v>18</v>
      </c>
      <c r="D990">
        <v>85487</v>
      </c>
      <c r="E990">
        <v>71</v>
      </c>
      <c r="F990">
        <v>7</v>
      </c>
      <c r="G990">
        <v>49</v>
      </c>
      <c r="H990" t="s">
        <v>15</v>
      </c>
      <c r="I990">
        <v>625.26</v>
      </c>
    </row>
    <row r="991" spans="1:9" x14ac:dyDescent="0.25">
      <c r="A991">
        <v>842</v>
      </c>
      <c r="B991">
        <v>33</v>
      </c>
      <c r="C991" t="s">
        <v>18</v>
      </c>
      <c r="D991">
        <v>96916</v>
      </c>
      <c r="E991">
        <v>23</v>
      </c>
      <c r="F991">
        <v>6</v>
      </c>
      <c r="G991">
        <v>12</v>
      </c>
      <c r="H991" t="s">
        <v>15</v>
      </c>
      <c r="I991">
        <v>373.49</v>
      </c>
    </row>
    <row r="992" spans="1:9" x14ac:dyDescent="0.25">
      <c r="A992">
        <v>849</v>
      </c>
      <c r="B992">
        <v>56</v>
      </c>
      <c r="C992" t="s">
        <v>18</v>
      </c>
      <c r="D992">
        <v>86142</v>
      </c>
      <c r="E992">
        <v>87</v>
      </c>
      <c r="F992">
        <v>7</v>
      </c>
      <c r="G992">
        <v>8</v>
      </c>
      <c r="H992" t="s">
        <v>15</v>
      </c>
      <c r="I992">
        <v>291.95999999999998</v>
      </c>
    </row>
    <row r="993" spans="1:9" x14ac:dyDescent="0.25">
      <c r="A993">
        <v>850</v>
      </c>
      <c r="B993">
        <v>48</v>
      </c>
      <c r="C993" t="s">
        <v>18</v>
      </c>
      <c r="D993">
        <v>126398</v>
      </c>
      <c r="E993">
        <v>19</v>
      </c>
      <c r="F993">
        <v>1</v>
      </c>
      <c r="G993">
        <v>18</v>
      </c>
      <c r="H993" t="s">
        <v>17</v>
      </c>
      <c r="I993">
        <v>311.08</v>
      </c>
    </row>
    <row r="994" spans="1:9" x14ac:dyDescent="0.25">
      <c r="A994">
        <v>873</v>
      </c>
      <c r="B994">
        <v>42</v>
      </c>
      <c r="C994" t="s">
        <v>18</v>
      </c>
      <c r="D994">
        <v>127546</v>
      </c>
      <c r="E994">
        <v>54</v>
      </c>
      <c r="F994">
        <v>1</v>
      </c>
      <c r="G994">
        <v>31</v>
      </c>
      <c r="H994" t="s">
        <v>17</v>
      </c>
      <c r="I994">
        <v>484.72</v>
      </c>
    </row>
    <row r="995" spans="1:9" x14ac:dyDescent="0.25">
      <c r="A995">
        <v>884</v>
      </c>
      <c r="B995">
        <v>50</v>
      </c>
      <c r="C995" t="s">
        <v>18</v>
      </c>
      <c r="D995">
        <v>59695</v>
      </c>
      <c r="E995">
        <v>70</v>
      </c>
      <c r="F995">
        <v>5</v>
      </c>
      <c r="G995">
        <v>6</v>
      </c>
      <c r="H995" t="s">
        <v>17</v>
      </c>
      <c r="I995">
        <v>241.99</v>
      </c>
    </row>
    <row r="996" spans="1:9" x14ac:dyDescent="0.25">
      <c r="A996">
        <v>958</v>
      </c>
      <c r="B996">
        <v>26</v>
      </c>
      <c r="C996" t="s">
        <v>18</v>
      </c>
      <c r="D996">
        <v>41126</v>
      </c>
      <c r="E996">
        <v>37</v>
      </c>
      <c r="F996">
        <v>9</v>
      </c>
      <c r="G996">
        <v>44</v>
      </c>
      <c r="H996" t="s">
        <v>17</v>
      </c>
      <c r="I996">
        <v>100.64</v>
      </c>
    </row>
    <row r="997" spans="1:9" x14ac:dyDescent="0.25">
      <c r="A997">
        <v>960</v>
      </c>
      <c r="B997">
        <v>61</v>
      </c>
      <c r="C997" t="s">
        <v>18</v>
      </c>
      <c r="D997">
        <v>50349</v>
      </c>
      <c r="E997">
        <v>76</v>
      </c>
      <c r="F997">
        <v>9</v>
      </c>
      <c r="G997">
        <v>42</v>
      </c>
      <c r="H997" t="s">
        <v>17</v>
      </c>
      <c r="I997">
        <v>957.5</v>
      </c>
    </row>
    <row r="998" spans="1:9" x14ac:dyDescent="0.25">
      <c r="A998">
        <v>967</v>
      </c>
      <c r="B998">
        <v>46</v>
      </c>
      <c r="C998" t="s">
        <v>18</v>
      </c>
      <c r="D998">
        <v>67361</v>
      </c>
      <c r="E998">
        <v>80</v>
      </c>
      <c r="F998">
        <v>6</v>
      </c>
      <c r="G998">
        <v>25</v>
      </c>
      <c r="H998" t="s">
        <v>15</v>
      </c>
      <c r="I998">
        <v>350.08</v>
      </c>
    </row>
    <row r="999" spans="1:9" x14ac:dyDescent="0.25">
      <c r="A999">
        <v>978</v>
      </c>
      <c r="B999">
        <v>45</v>
      </c>
      <c r="C999" t="s">
        <v>18</v>
      </c>
      <c r="D999">
        <v>91381</v>
      </c>
      <c r="E999">
        <v>48</v>
      </c>
      <c r="F999">
        <v>8</v>
      </c>
      <c r="G999">
        <v>16</v>
      </c>
      <c r="H999" t="s">
        <v>15</v>
      </c>
      <c r="I999">
        <v>253.13</v>
      </c>
    </row>
    <row r="1000" spans="1:9" x14ac:dyDescent="0.25">
      <c r="A1000">
        <v>979</v>
      </c>
      <c r="B1000">
        <v>66</v>
      </c>
      <c r="C1000" t="s">
        <v>18</v>
      </c>
      <c r="D1000">
        <v>74055</v>
      </c>
      <c r="E1000">
        <v>100</v>
      </c>
      <c r="F1000">
        <v>6</v>
      </c>
      <c r="G1000">
        <v>17</v>
      </c>
      <c r="H1000" t="s">
        <v>15</v>
      </c>
      <c r="I1000">
        <v>318.7</v>
      </c>
    </row>
    <row r="1001" spans="1:9" x14ac:dyDescent="0.25">
      <c r="A1001">
        <v>980</v>
      </c>
      <c r="B1001">
        <v>45</v>
      </c>
      <c r="C1001" t="s">
        <v>18</v>
      </c>
      <c r="D1001">
        <v>135047</v>
      </c>
      <c r="E1001">
        <v>11</v>
      </c>
      <c r="F1001">
        <v>9</v>
      </c>
      <c r="G1001">
        <v>42</v>
      </c>
      <c r="H1001" t="s">
        <v>17</v>
      </c>
      <c r="I1001">
        <v>422.93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8691-4C4C-4708-A967-66E6823FEF03}">
  <dimension ref="A1:I1001"/>
  <sheetViews>
    <sheetView zoomScaleNormal="100" workbookViewId="0">
      <selection activeCell="D1006" sqref="D1006"/>
    </sheetView>
  </sheetViews>
  <sheetFormatPr defaultRowHeight="15" x14ac:dyDescent="0.25"/>
  <cols>
    <col min="1" max="1" width="5" bestFit="1" customWidth="1"/>
    <col min="2" max="2" width="6.42578125" bestFit="1" customWidth="1"/>
    <col min="3" max="3" width="9.5703125" bestFit="1" customWidth="1"/>
    <col min="4" max="4" width="9.85546875" bestFit="1" customWidth="1"/>
    <col min="5" max="5" width="17.28515625" bestFit="1" customWidth="1"/>
    <col min="6" max="6" width="20.5703125" bestFit="1" customWidth="1"/>
    <col min="7" max="7" width="21.5703125" bestFit="1" customWidth="1"/>
    <col min="8" max="8" width="20.7109375" bestFit="1" customWidth="1"/>
    <col min="9" max="9" width="23.7109375" bestFit="1" customWidth="1"/>
  </cols>
  <sheetData>
    <row r="1" spans="1:9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hidden="1" x14ac:dyDescent="0.25">
      <c r="A2">
        <v>486</v>
      </c>
      <c r="B2">
        <v>66</v>
      </c>
      <c r="C2" t="s">
        <v>45</v>
      </c>
      <c r="D2">
        <v>91672</v>
      </c>
      <c r="E2">
        <v>71</v>
      </c>
      <c r="F2">
        <v>5</v>
      </c>
      <c r="G2">
        <v>9</v>
      </c>
      <c r="H2" t="s">
        <v>17</v>
      </c>
      <c r="I2">
        <v>10.4</v>
      </c>
    </row>
    <row r="3" spans="1:9" hidden="1" x14ac:dyDescent="0.25">
      <c r="A3">
        <v>881</v>
      </c>
      <c r="B3">
        <v>47</v>
      </c>
      <c r="C3" t="s">
        <v>18</v>
      </c>
      <c r="D3">
        <v>133264</v>
      </c>
      <c r="E3">
        <v>93</v>
      </c>
      <c r="F3">
        <v>2</v>
      </c>
      <c r="G3">
        <v>21</v>
      </c>
      <c r="H3" t="s">
        <v>16</v>
      </c>
      <c r="I3">
        <v>11.01</v>
      </c>
    </row>
    <row r="4" spans="1:9" hidden="1" x14ac:dyDescent="0.25">
      <c r="A4">
        <v>132</v>
      </c>
      <c r="B4">
        <v>67</v>
      </c>
      <c r="C4" t="s">
        <v>18</v>
      </c>
      <c r="D4">
        <v>116124</v>
      </c>
      <c r="E4">
        <v>78</v>
      </c>
      <c r="F4">
        <v>10</v>
      </c>
      <c r="G4">
        <v>28</v>
      </c>
      <c r="H4" t="s">
        <v>13</v>
      </c>
      <c r="I4">
        <v>11.29</v>
      </c>
    </row>
    <row r="5" spans="1:9" hidden="1" x14ac:dyDescent="0.25">
      <c r="A5">
        <v>259</v>
      </c>
      <c r="B5">
        <v>68</v>
      </c>
      <c r="C5" t="s">
        <v>12</v>
      </c>
      <c r="D5">
        <v>49725</v>
      </c>
      <c r="E5">
        <v>59</v>
      </c>
      <c r="F5">
        <v>2</v>
      </c>
      <c r="G5">
        <v>35</v>
      </c>
      <c r="H5" t="s">
        <v>16</v>
      </c>
      <c r="I5">
        <v>12.36</v>
      </c>
    </row>
    <row r="6" spans="1:9" hidden="1" x14ac:dyDescent="0.25">
      <c r="A6">
        <v>926</v>
      </c>
      <c r="B6">
        <v>39</v>
      </c>
      <c r="C6" t="s">
        <v>18</v>
      </c>
      <c r="D6">
        <v>53091</v>
      </c>
      <c r="E6">
        <v>41</v>
      </c>
      <c r="F6">
        <v>9</v>
      </c>
      <c r="G6">
        <v>3</v>
      </c>
      <c r="H6" t="s">
        <v>16</v>
      </c>
      <c r="I6">
        <v>12.45</v>
      </c>
    </row>
    <row r="7" spans="1:9" hidden="1" x14ac:dyDescent="0.25">
      <c r="A7">
        <v>84</v>
      </c>
      <c r="B7">
        <v>56</v>
      </c>
      <c r="C7" t="s">
        <v>12</v>
      </c>
      <c r="D7">
        <v>58971</v>
      </c>
      <c r="E7">
        <v>77</v>
      </c>
      <c r="F7">
        <v>9</v>
      </c>
      <c r="G7">
        <v>35</v>
      </c>
      <c r="H7" t="s">
        <v>14</v>
      </c>
      <c r="I7">
        <v>13.16</v>
      </c>
    </row>
    <row r="8" spans="1:9" hidden="1" x14ac:dyDescent="0.25">
      <c r="A8">
        <v>600</v>
      </c>
      <c r="B8">
        <v>52</v>
      </c>
      <c r="C8" t="s">
        <v>12</v>
      </c>
      <c r="D8">
        <v>127010</v>
      </c>
      <c r="E8">
        <v>76</v>
      </c>
      <c r="F8">
        <v>8</v>
      </c>
      <c r="G8">
        <v>26</v>
      </c>
      <c r="H8" t="s">
        <v>15</v>
      </c>
      <c r="I8">
        <v>13.46</v>
      </c>
    </row>
    <row r="9" spans="1:9" hidden="1" x14ac:dyDescent="0.25">
      <c r="A9">
        <v>477</v>
      </c>
      <c r="B9">
        <v>42</v>
      </c>
      <c r="C9" t="s">
        <v>12</v>
      </c>
      <c r="D9">
        <v>115342</v>
      </c>
      <c r="E9">
        <v>19</v>
      </c>
      <c r="F9">
        <v>4</v>
      </c>
      <c r="G9">
        <v>47</v>
      </c>
      <c r="H9" t="s">
        <v>15</v>
      </c>
      <c r="I9">
        <v>13.69</v>
      </c>
    </row>
    <row r="10" spans="1:9" hidden="1" x14ac:dyDescent="0.25">
      <c r="A10">
        <v>168</v>
      </c>
      <c r="B10">
        <v>36</v>
      </c>
      <c r="C10" t="s">
        <v>45</v>
      </c>
      <c r="D10">
        <v>87275</v>
      </c>
      <c r="E10">
        <v>82</v>
      </c>
      <c r="F10">
        <v>9</v>
      </c>
      <c r="G10">
        <v>2</v>
      </c>
      <c r="H10" t="s">
        <v>17</v>
      </c>
      <c r="I10">
        <v>14.52</v>
      </c>
    </row>
    <row r="11" spans="1:9" hidden="1" x14ac:dyDescent="0.25">
      <c r="A11">
        <v>431</v>
      </c>
      <c r="B11">
        <v>40</v>
      </c>
      <c r="C11" t="s">
        <v>12</v>
      </c>
      <c r="D11">
        <v>99618</v>
      </c>
      <c r="E11">
        <v>80</v>
      </c>
      <c r="F11">
        <v>4</v>
      </c>
      <c r="G11">
        <v>22</v>
      </c>
      <c r="H11" t="s">
        <v>16</v>
      </c>
      <c r="I11">
        <v>15.04</v>
      </c>
    </row>
    <row r="12" spans="1:9" hidden="1" x14ac:dyDescent="0.25">
      <c r="A12">
        <v>82</v>
      </c>
      <c r="B12">
        <v>36</v>
      </c>
      <c r="C12" t="s">
        <v>18</v>
      </c>
      <c r="D12">
        <v>148542</v>
      </c>
      <c r="E12">
        <v>60</v>
      </c>
      <c r="F12">
        <v>1</v>
      </c>
      <c r="G12">
        <v>17</v>
      </c>
      <c r="H12" t="s">
        <v>16</v>
      </c>
      <c r="I12">
        <v>15.66</v>
      </c>
    </row>
    <row r="13" spans="1:9" hidden="1" x14ac:dyDescent="0.25">
      <c r="A13">
        <v>725</v>
      </c>
      <c r="B13">
        <v>48</v>
      </c>
      <c r="C13" t="s">
        <v>18</v>
      </c>
      <c r="D13">
        <v>108563</v>
      </c>
      <c r="E13">
        <v>3</v>
      </c>
      <c r="F13">
        <v>8</v>
      </c>
      <c r="G13">
        <v>39</v>
      </c>
      <c r="H13" t="s">
        <v>17</v>
      </c>
      <c r="I13">
        <v>15.72</v>
      </c>
    </row>
    <row r="14" spans="1:9" hidden="1" x14ac:dyDescent="0.25">
      <c r="A14">
        <v>987</v>
      </c>
      <c r="B14">
        <v>22</v>
      </c>
      <c r="C14" t="s">
        <v>12</v>
      </c>
      <c r="D14">
        <v>80049</v>
      </c>
      <c r="E14">
        <v>1</v>
      </c>
      <c r="F14">
        <v>10</v>
      </c>
      <c r="G14">
        <v>47</v>
      </c>
      <c r="H14" t="s">
        <v>15</v>
      </c>
      <c r="I14">
        <v>16.97</v>
      </c>
    </row>
    <row r="15" spans="1:9" hidden="1" x14ac:dyDescent="0.25">
      <c r="A15">
        <v>248</v>
      </c>
      <c r="B15">
        <v>28</v>
      </c>
      <c r="C15" t="s">
        <v>45</v>
      </c>
      <c r="D15">
        <v>48383</v>
      </c>
      <c r="E15">
        <v>57</v>
      </c>
      <c r="F15">
        <v>8</v>
      </c>
      <c r="G15">
        <v>35</v>
      </c>
      <c r="H15" t="s">
        <v>15</v>
      </c>
      <c r="I15">
        <v>17.97</v>
      </c>
    </row>
    <row r="16" spans="1:9" hidden="1" x14ac:dyDescent="0.25">
      <c r="A16">
        <v>142</v>
      </c>
      <c r="B16">
        <v>37</v>
      </c>
      <c r="C16" t="s">
        <v>12</v>
      </c>
      <c r="D16">
        <v>61695</v>
      </c>
      <c r="E16">
        <v>13</v>
      </c>
      <c r="F16">
        <v>5</v>
      </c>
      <c r="G16">
        <v>45</v>
      </c>
      <c r="H16" t="s">
        <v>13</v>
      </c>
      <c r="I16">
        <v>18.489999999999998</v>
      </c>
    </row>
    <row r="17" spans="1:9" hidden="1" x14ac:dyDescent="0.25">
      <c r="A17">
        <v>167</v>
      </c>
      <c r="B17">
        <v>18</v>
      </c>
      <c r="C17" t="s">
        <v>45</v>
      </c>
      <c r="D17">
        <v>46707</v>
      </c>
      <c r="E17">
        <v>61</v>
      </c>
      <c r="F17">
        <v>10</v>
      </c>
      <c r="G17">
        <v>16</v>
      </c>
      <c r="H17" t="s">
        <v>17</v>
      </c>
      <c r="I17">
        <v>18.600000000000001</v>
      </c>
    </row>
    <row r="18" spans="1:9" hidden="1" x14ac:dyDescent="0.25">
      <c r="A18">
        <v>382</v>
      </c>
      <c r="B18">
        <v>68</v>
      </c>
      <c r="C18" t="s">
        <v>45</v>
      </c>
      <c r="D18">
        <v>93926</v>
      </c>
      <c r="E18">
        <v>45</v>
      </c>
      <c r="F18">
        <v>5</v>
      </c>
      <c r="G18">
        <v>22</v>
      </c>
      <c r="H18" t="s">
        <v>14</v>
      </c>
      <c r="I18">
        <v>19.14</v>
      </c>
    </row>
    <row r="19" spans="1:9" hidden="1" x14ac:dyDescent="0.25">
      <c r="A19">
        <v>891</v>
      </c>
      <c r="B19">
        <v>22</v>
      </c>
      <c r="C19" t="s">
        <v>45</v>
      </c>
      <c r="D19">
        <v>87909</v>
      </c>
      <c r="E19">
        <v>19</v>
      </c>
      <c r="F19">
        <v>7</v>
      </c>
      <c r="G19">
        <v>39</v>
      </c>
      <c r="H19" t="s">
        <v>15</v>
      </c>
      <c r="I19">
        <v>20.52</v>
      </c>
    </row>
    <row r="20" spans="1:9" hidden="1" x14ac:dyDescent="0.25">
      <c r="A20">
        <v>250</v>
      </c>
      <c r="B20">
        <v>47</v>
      </c>
      <c r="C20" t="s">
        <v>12</v>
      </c>
      <c r="D20">
        <v>91491</v>
      </c>
      <c r="E20">
        <v>52</v>
      </c>
      <c r="F20">
        <v>5</v>
      </c>
      <c r="G20">
        <v>10</v>
      </c>
      <c r="H20" t="s">
        <v>13</v>
      </c>
      <c r="I20">
        <v>21.43</v>
      </c>
    </row>
    <row r="21" spans="1:9" hidden="1" x14ac:dyDescent="0.25">
      <c r="A21">
        <v>269</v>
      </c>
      <c r="B21">
        <v>33</v>
      </c>
      <c r="C21" t="s">
        <v>18</v>
      </c>
      <c r="D21">
        <v>118116</v>
      </c>
      <c r="E21">
        <v>100</v>
      </c>
      <c r="F21">
        <v>9</v>
      </c>
      <c r="G21">
        <v>48</v>
      </c>
      <c r="H21" t="s">
        <v>15</v>
      </c>
      <c r="I21">
        <v>21.9</v>
      </c>
    </row>
    <row r="22" spans="1:9" hidden="1" x14ac:dyDescent="0.25">
      <c r="A22">
        <v>422</v>
      </c>
      <c r="B22">
        <v>56</v>
      </c>
      <c r="C22" t="s">
        <v>45</v>
      </c>
      <c r="D22">
        <v>36843</v>
      </c>
      <c r="E22">
        <v>46</v>
      </c>
      <c r="F22">
        <v>7</v>
      </c>
      <c r="G22">
        <v>12</v>
      </c>
      <c r="H22" t="s">
        <v>13</v>
      </c>
      <c r="I22">
        <v>22.15</v>
      </c>
    </row>
    <row r="23" spans="1:9" hidden="1" x14ac:dyDescent="0.25">
      <c r="A23">
        <v>100</v>
      </c>
      <c r="B23">
        <v>26</v>
      </c>
      <c r="C23" t="s">
        <v>18</v>
      </c>
      <c r="D23">
        <v>59496</v>
      </c>
      <c r="E23">
        <v>58</v>
      </c>
      <c r="F23">
        <v>2</v>
      </c>
      <c r="G23">
        <v>50</v>
      </c>
      <c r="H23" t="s">
        <v>17</v>
      </c>
      <c r="I23">
        <v>23.33</v>
      </c>
    </row>
    <row r="24" spans="1:9" hidden="1" x14ac:dyDescent="0.25">
      <c r="A24">
        <v>191</v>
      </c>
      <c r="B24">
        <v>35</v>
      </c>
      <c r="C24" t="s">
        <v>12</v>
      </c>
      <c r="D24">
        <v>100208</v>
      </c>
      <c r="E24">
        <v>80</v>
      </c>
      <c r="F24">
        <v>2</v>
      </c>
      <c r="G24">
        <v>27</v>
      </c>
      <c r="H24" t="s">
        <v>14</v>
      </c>
      <c r="I24">
        <v>23.73</v>
      </c>
    </row>
    <row r="25" spans="1:9" hidden="1" x14ac:dyDescent="0.25">
      <c r="A25">
        <v>261</v>
      </c>
      <c r="B25">
        <v>39</v>
      </c>
      <c r="C25" t="s">
        <v>45</v>
      </c>
      <c r="D25">
        <v>117432</v>
      </c>
      <c r="E25">
        <v>96</v>
      </c>
      <c r="F25">
        <v>7</v>
      </c>
      <c r="G25">
        <v>41</v>
      </c>
      <c r="H25" t="s">
        <v>15</v>
      </c>
      <c r="I25">
        <v>25.44</v>
      </c>
    </row>
    <row r="26" spans="1:9" hidden="1" x14ac:dyDescent="0.25">
      <c r="A26">
        <v>614</v>
      </c>
      <c r="B26">
        <v>64</v>
      </c>
      <c r="C26" t="s">
        <v>18</v>
      </c>
      <c r="D26">
        <v>116106</v>
      </c>
      <c r="E26">
        <v>5</v>
      </c>
      <c r="F26">
        <v>1</v>
      </c>
      <c r="G26">
        <v>5</v>
      </c>
      <c r="H26" t="s">
        <v>17</v>
      </c>
      <c r="I26">
        <v>25.86</v>
      </c>
    </row>
    <row r="27" spans="1:9" hidden="1" x14ac:dyDescent="0.25">
      <c r="A27">
        <v>649</v>
      </c>
      <c r="B27">
        <v>27</v>
      </c>
      <c r="C27" t="s">
        <v>12</v>
      </c>
      <c r="D27">
        <v>147360</v>
      </c>
      <c r="E27">
        <v>96</v>
      </c>
      <c r="F27">
        <v>3</v>
      </c>
      <c r="G27">
        <v>26</v>
      </c>
      <c r="H27" t="s">
        <v>15</v>
      </c>
      <c r="I27">
        <v>26.1</v>
      </c>
    </row>
    <row r="28" spans="1:9" hidden="1" x14ac:dyDescent="0.25">
      <c r="A28">
        <v>455</v>
      </c>
      <c r="B28">
        <v>28</v>
      </c>
      <c r="C28" t="s">
        <v>45</v>
      </c>
      <c r="D28">
        <v>126571</v>
      </c>
      <c r="E28">
        <v>82</v>
      </c>
      <c r="F28">
        <v>10</v>
      </c>
      <c r="G28">
        <v>8</v>
      </c>
      <c r="H28" t="s">
        <v>14</v>
      </c>
      <c r="I28">
        <v>26.12</v>
      </c>
    </row>
    <row r="29" spans="1:9" hidden="1" x14ac:dyDescent="0.25">
      <c r="A29">
        <v>346</v>
      </c>
      <c r="B29">
        <v>62</v>
      </c>
      <c r="C29" t="s">
        <v>18</v>
      </c>
      <c r="D29">
        <v>114587</v>
      </c>
      <c r="E29">
        <v>14</v>
      </c>
      <c r="F29">
        <v>7</v>
      </c>
      <c r="G29">
        <v>11</v>
      </c>
      <c r="H29" t="s">
        <v>14</v>
      </c>
      <c r="I29">
        <v>26.72</v>
      </c>
    </row>
    <row r="30" spans="1:9" hidden="1" x14ac:dyDescent="0.25">
      <c r="A30">
        <v>192</v>
      </c>
      <c r="B30">
        <v>63</v>
      </c>
      <c r="C30" t="s">
        <v>45</v>
      </c>
      <c r="D30">
        <v>109506</v>
      </c>
      <c r="E30">
        <v>48</v>
      </c>
      <c r="F30">
        <v>10</v>
      </c>
      <c r="G30">
        <v>50</v>
      </c>
      <c r="H30" t="s">
        <v>14</v>
      </c>
      <c r="I30">
        <v>26.85</v>
      </c>
    </row>
    <row r="31" spans="1:9" hidden="1" x14ac:dyDescent="0.25">
      <c r="A31">
        <v>539</v>
      </c>
      <c r="B31">
        <v>27</v>
      </c>
      <c r="C31" t="s">
        <v>12</v>
      </c>
      <c r="D31">
        <v>73823</v>
      </c>
      <c r="E31">
        <v>11</v>
      </c>
      <c r="F31">
        <v>8</v>
      </c>
      <c r="G31">
        <v>23</v>
      </c>
      <c r="H31" t="s">
        <v>14</v>
      </c>
      <c r="I31">
        <v>27.4</v>
      </c>
    </row>
    <row r="32" spans="1:9" hidden="1" x14ac:dyDescent="0.25">
      <c r="A32">
        <v>49</v>
      </c>
      <c r="B32">
        <v>19</v>
      </c>
      <c r="C32" t="s">
        <v>45</v>
      </c>
      <c r="D32">
        <v>85309</v>
      </c>
      <c r="E32">
        <v>65</v>
      </c>
      <c r="F32">
        <v>5</v>
      </c>
      <c r="G32">
        <v>10</v>
      </c>
      <c r="H32" t="s">
        <v>15</v>
      </c>
      <c r="I32">
        <v>28.55</v>
      </c>
    </row>
    <row r="33" spans="1:9" hidden="1" x14ac:dyDescent="0.25">
      <c r="A33">
        <v>104</v>
      </c>
      <c r="B33">
        <v>60</v>
      </c>
      <c r="C33" t="s">
        <v>18</v>
      </c>
      <c r="D33">
        <v>142407</v>
      </c>
      <c r="E33">
        <v>4</v>
      </c>
      <c r="F33">
        <v>2</v>
      </c>
      <c r="G33">
        <v>1</v>
      </c>
      <c r="H33" t="s">
        <v>15</v>
      </c>
      <c r="I33">
        <v>29.58</v>
      </c>
    </row>
    <row r="34" spans="1:9" hidden="1" x14ac:dyDescent="0.25">
      <c r="A34">
        <v>667</v>
      </c>
      <c r="B34">
        <v>29</v>
      </c>
      <c r="C34" t="s">
        <v>18</v>
      </c>
      <c r="D34">
        <v>135394</v>
      </c>
      <c r="E34">
        <v>53</v>
      </c>
      <c r="F34">
        <v>9</v>
      </c>
      <c r="G34">
        <v>36</v>
      </c>
      <c r="H34" t="s">
        <v>17</v>
      </c>
      <c r="I34">
        <v>30.13</v>
      </c>
    </row>
    <row r="35" spans="1:9" hidden="1" x14ac:dyDescent="0.25">
      <c r="A35">
        <v>943</v>
      </c>
      <c r="B35">
        <v>54</v>
      </c>
      <c r="C35" t="s">
        <v>18</v>
      </c>
      <c r="D35">
        <v>140081</v>
      </c>
      <c r="E35">
        <v>100</v>
      </c>
      <c r="F35">
        <v>1</v>
      </c>
      <c r="G35">
        <v>25</v>
      </c>
      <c r="H35" t="s">
        <v>14</v>
      </c>
      <c r="I35">
        <v>30.51</v>
      </c>
    </row>
    <row r="36" spans="1:9" hidden="1" x14ac:dyDescent="0.25">
      <c r="A36">
        <v>868</v>
      </c>
      <c r="B36">
        <v>51</v>
      </c>
      <c r="C36" t="s">
        <v>45</v>
      </c>
      <c r="D36">
        <v>83467</v>
      </c>
      <c r="E36">
        <v>83</v>
      </c>
      <c r="F36">
        <v>1</v>
      </c>
      <c r="G36">
        <v>19</v>
      </c>
      <c r="H36" t="s">
        <v>17</v>
      </c>
      <c r="I36">
        <v>30.88</v>
      </c>
    </row>
    <row r="37" spans="1:9" hidden="1" x14ac:dyDescent="0.25">
      <c r="A37">
        <v>516</v>
      </c>
      <c r="B37">
        <v>32</v>
      </c>
      <c r="C37" t="s">
        <v>45</v>
      </c>
      <c r="D37">
        <v>137280</v>
      </c>
      <c r="E37">
        <v>95</v>
      </c>
      <c r="F37">
        <v>6</v>
      </c>
      <c r="G37">
        <v>3</v>
      </c>
      <c r="H37" t="s">
        <v>14</v>
      </c>
      <c r="I37">
        <v>31.72</v>
      </c>
    </row>
    <row r="38" spans="1:9" hidden="1" x14ac:dyDescent="0.25">
      <c r="A38">
        <v>198</v>
      </c>
      <c r="B38">
        <v>39</v>
      </c>
      <c r="C38" t="s">
        <v>12</v>
      </c>
      <c r="D38">
        <v>116566</v>
      </c>
      <c r="E38">
        <v>76</v>
      </c>
      <c r="F38">
        <v>9</v>
      </c>
      <c r="G38">
        <v>21</v>
      </c>
      <c r="H38" t="s">
        <v>16</v>
      </c>
      <c r="I38">
        <v>32.380000000000003</v>
      </c>
    </row>
    <row r="39" spans="1:9" hidden="1" x14ac:dyDescent="0.25">
      <c r="A39">
        <v>752</v>
      </c>
      <c r="B39">
        <v>31</v>
      </c>
      <c r="C39" t="s">
        <v>12</v>
      </c>
      <c r="D39">
        <v>85928</v>
      </c>
      <c r="E39">
        <v>10</v>
      </c>
      <c r="F39">
        <v>2</v>
      </c>
      <c r="G39">
        <v>40</v>
      </c>
      <c r="H39" t="s">
        <v>13</v>
      </c>
      <c r="I39">
        <v>34.1</v>
      </c>
    </row>
    <row r="40" spans="1:9" hidden="1" x14ac:dyDescent="0.25">
      <c r="A40">
        <v>529</v>
      </c>
      <c r="B40">
        <v>57</v>
      </c>
      <c r="C40" t="s">
        <v>12</v>
      </c>
      <c r="D40">
        <v>139366</v>
      </c>
      <c r="E40">
        <v>39</v>
      </c>
      <c r="F40">
        <v>5</v>
      </c>
      <c r="G40">
        <v>50</v>
      </c>
      <c r="H40" t="s">
        <v>15</v>
      </c>
      <c r="I40">
        <v>34.5</v>
      </c>
    </row>
    <row r="41" spans="1:9" hidden="1" x14ac:dyDescent="0.25">
      <c r="A41">
        <v>465</v>
      </c>
      <c r="B41">
        <v>54</v>
      </c>
      <c r="C41" t="s">
        <v>18</v>
      </c>
      <c r="D41">
        <v>40858</v>
      </c>
      <c r="E41">
        <v>48</v>
      </c>
      <c r="F41">
        <v>6</v>
      </c>
      <c r="G41">
        <v>20</v>
      </c>
      <c r="H41" t="s">
        <v>17</v>
      </c>
      <c r="I41">
        <v>34.880000000000003</v>
      </c>
    </row>
    <row r="42" spans="1:9" hidden="1" x14ac:dyDescent="0.25">
      <c r="A42">
        <v>184</v>
      </c>
      <c r="B42">
        <v>27</v>
      </c>
      <c r="C42" t="s">
        <v>12</v>
      </c>
      <c r="D42">
        <v>63313</v>
      </c>
      <c r="E42">
        <v>8</v>
      </c>
      <c r="F42">
        <v>10</v>
      </c>
      <c r="G42">
        <v>42</v>
      </c>
      <c r="H42" t="s">
        <v>16</v>
      </c>
      <c r="I42">
        <v>35.01</v>
      </c>
    </row>
    <row r="43" spans="1:9" hidden="1" x14ac:dyDescent="0.25">
      <c r="A43">
        <v>241</v>
      </c>
      <c r="B43">
        <v>41</v>
      </c>
      <c r="C43" t="s">
        <v>18</v>
      </c>
      <c r="D43">
        <v>41748</v>
      </c>
      <c r="E43">
        <v>50</v>
      </c>
      <c r="F43">
        <v>8</v>
      </c>
      <c r="G43">
        <v>5</v>
      </c>
      <c r="H43" t="s">
        <v>15</v>
      </c>
      <c r="I43">
        <v>35.159999999999997</v>
      </c>
    </row>
    <row r="44" spans="1:9" hidden="1" x14ac:dyDescent="0.25">
      <c r="A44">
        <v>530</v>
      </c>
      <c r="B44">
        <v>27</v>
      </c>
      <c r="C44" t="s">
        <v>12</v>
      </c>
      <c r="D44">
        <v>106944</v>
      </c>
      <c r="E44">
        <v>63</v>
      </c>
      <c r="F44">
        <v>1</v>
      </c>
      <c r="G44">
        <v>28</v>
      </c>
      <c r="H44" t="s">
        <v>15</v>
      </c>
      <c r="I44">
        <v>36.39</v>
      </c>
    </row>
    <row r="45" spans="1:9" hidden="1" x14ac:dyDescent="0.25">
      <c r="A45">
        <v>931</v>
      </c>
      <c r="B45">
        <v>59</v>
      </c>
      <c r="C45" t="s">
        <v>12</v>
      </c>
      <c r="D45">
        <v>48329</v>
      </c>
      <c r="E45">
        <v>6</v>
      </c>
      <c r="F45">
        <v>8</v>
      </c>
      <c r="G45">
        <v>26</v>
      </c>
      <c r="H45" t="s">
        <v>13</v>
      </c>
      <c r="I45">
        <v>36.76</v>
      </c>
    </row>
    <row r="46" spans="1:9" hidden="1" x14ac:dyDescent="0.25">
      <c r="A46">
        <v>702</v>
      </c>
      <c r="B46">
        <v>26</v>
      </c>
      <c r="C46" t="s">
        <v>18</v>
      </c>
      <c r="D46">
        <v>42499</v>
      </c>
      <c r="E46">
        <v>92</v>
      </c>
      <c r="F46">
        <v>9</v>
      </c>
      <c r="G46">
        <v>50</v>
      </c>
      <c r="H46" t="s">
        <v>14</v>
      </c>
      <c r="I46">
        <v>37.57</v>
      </c>
    </row>
    <row r="47" spans="1:9" hidden="1" x14ac:dyDescent="0.25">
      <c r="A47">
        <v>695</v>
      </c>
      <c r="B47">
        <v>45</v>
      </c>
      <c r="C47" t="s">
        <v>12</v>
      </c>
      <c r="D47">
        <v>53474</v>
      </c>
      <c r="E47">
        <v>79</v>
      </c>
      <c r="F47">
        <v>8</v>
      </c>
      <c r="G47">
        <v>21</v>
      </c>
      <c r="H47" t="s">
        <v>14</v>
      </c>
      <c r="I47">
        <v>40.32</v>
      </c>
    </row>
    <row r="48" spans="1:9" hidden="1" x14ac:dyDescent="0.25">
      <c r="A48">
        <v>970</v>
      </c>
      <c r="B48">
        <v>68</v>
      </c>
      <c r="C48" t="s">
        <v>18</v>
      </c>
      <c r="D48">
        <v>40471</v>
      </c>
      <c r="E48">
        <v>28</v>
      </c>
      <c r="F48">
        <v>3</v>
      </c>
      <c r="G48">
        <v>33</v>
      </c>
      <c r="H48" t="s">
        <v>16</v>
      </c>
      <c r="I48">
        <v>40.89</v>
      </c>
    </row>
    <row r="49" spans="1:9" hidden="1" x14ac:dyDescent="0.25">
      <c r="A49">
        <v>78</v>
      </c>
      <c r="B49">
        <v>32</v>
      </c>
      <c r="C49" t="s">
        <v>45</v>
      </c>
      <c r="D49">
        <v>44048</v>
      </c>
      <c r="E49">
        <v>20</v>
      </c>
      <c r="F49">
        <v>7</v>
      </c>
      <c r="G49">
        <v>10</v>
      </c>
      <c r="H49" t="s">
        <v>17</v>
      </c>
      <c r="I49">
        <v>41.55</v>
      </c>
    </row>
    <row r="50" spans="1:9" hidden="1" x14ac:dyDescent="0.25">
      <c r="A50">
        <v>2</v>
      </c>
      <c r="B50">
        <v>21</v>
      </c>
      <c r="C50" t="s">
        <v>18</v>
      </c>
      <c r="D50">
        <v>78852</v>
      </c>
      <c r="E50">
        <v>60</v>
      </c>
      <c r="F50">
        <v>2</v>
      </c>
      <c r="G50">
        <v>42</v>
      </c>
      <c r="H50" t="s">
        <v>15</v>
      </c>
      <c r="I50">
        <v>41.93</v>
      </c>
    </row>
    <row r="51" spans="1:9" hidden="1" x14ac:dyDescent="0.25">
      <c r="A51">
        <v>818</v>
      </c>
      <c r="B51">
        <v>69</v>
      </c>
      <c r="C51" t="s">
        <v>12</v>
      </c>
      <c r="D51">
        <v>129445</v>
      </c>
      <c r="E51">
        <v>32</v>
      </c>
      <c r="F51">
        <v>3</v>
      </c>
      <c r="G51">
        <v>6</v>
      </c>
      <c r="H51" t="s">
        <v>13</v>
      </c>
      <c r="I51">
        <v>42.19</v>
      </c>
    </row>
    <row r="52" spans="1:9" hidden="1" x14ac:dyDescent="0.25">
      <c r="A52">
        <v>644</v>
      </c>
      <c r="B52">
        <v>54</v>
      </c>
      <c r="C52" t="s">
        <v>12</v>
      </c>
      <c r="D52">
        <v>132403</v>
      </c>
      <c r="E52">
        <v>83</v>
      </c>
      <c r="F52">
        <v>3</v>
      </c>
      <c r="G52">
        <v>2</v>
      </c>
      <c r="H52" t="s">
        <v>15</v>
      </c>
      <c r="I52">
        <v>45.2</v>
      </c>
    </row>
    <row r="53" spans="1:9" hidden="1" x14ac:dyDescent="0.25">
      <c r="A53">
        <v>587</v>
      </c>
      <c r="B53">
        <v>20</v>
      </c>
      <c r="C53" t="s">
        <v>45</v>
      </c>
      <c r="D53">
        <v>61541</v>
      </c>
      <c r="E53">
        <v>80</v>
      </c>
      <c r="F53">
        <v>2</v>
      </c>
      <c r="G53">
        <v>14</v>
      </c>
      <c r="H53" t="s">
        <v>16</v>
      </c>
      <c r="I53">
        <v>48.5</v>
      </c>
    </row>
    <row r="54" spans="1:9" hidden="1" x14ac:dyDescent="0.25">
      <c r="A54">
        <v>524</v>
      </c>
      <c r="B54">
        <v>47</v>
      </c>
      <c r="C54" t="s">
        <v>45</v>
      </c>
      <c r="D54">
        <v>100338</v>
      </c>
      <c r="E54">
        <v>13</v>
      </c>
      <c r="F54">
        <v>9</v>
      </c>
      <c r="G54">
        <v>40</v>
      </c>
      <c r="H54" t="s">
        <v>14</v>
      </c>
      <c r="I54">
        <v>48.65</v>
      </c>
    </row>
    <row r="55" spans="1:9" hidden="1" x14ac:dyDescent="0.25">
      <c r="A55">
        <v>630</v>
      </c>
      <c r="B55">
        <v>64</v>
      </c>
      <c r="C55" t="s">
        <v>18</v>
      </c>
      <c r="D55">
        <v>145746</v>
      </c>
      <c r="E55">
        <v>76</v>
      </c>
      <c r="F55">
        <v>2</v>
      </c>
      <c r="G55">
        <v>48</v>
      </c>
      <c r="H55" t="s">
        <v>13</v>
      </c>
      <c r="I55">
        <v>49.06</v>
      </c>
    </row>
    <row r="56" spans="1:9" hidden="1" x14ac:dyDescent="0.25">
      <c r="A56">
        <v>208</v>
      </c>
      <c r="B56">
        <v>59</v>
      </c>
      <c r="C56" t="s">
        <v>18</v>
      </c>
      <c r="D56">
        <v>70050</v>
      </c>
      <c r="E56">
        <v>62</v>
      </c>
      <c r="F56">
        <v>3</v>
      </c>
      <c r="G56">
        <v>10</v>
      </c>
      <c r="H56" t="s">
        <v>17</v>
      </c>
      <c r="I56">
        <v>49.53</v>
      </c>
    </row>
    <row r="57" spans="1:9" hidden="1" x14ac:dyDescent="0.25">
      <c r="A57">
        <v>123</v>
      </c>
      <c r="B57">
        <v>26</v>
      </c>
      <c r="C57" t="s">
        <v>45</v>
      </c>
      <c r="D57">
        <v>55515</v>
      </c>
      <c r="E57">
        <v>29</v>
      </c>
      <c r="F57">
        <v>9</v>
      </c>
      <c r="G57">
        <v>37</v>
      </c>
      <c r="H57" t="s">
        <v>15</v>
      </c>
      <c r="I57">
        <v>50.57</v>
      </c>
    </row>
    <row r="58" spans="1:9" hidden="1" x14ac:dyDescent="0.25">
      <c r="A58">
        <v>335</v>
      </c>
      <c r="B58">
        <v>60</v>
      </c>
      <c r="C58" t="s">
        <v>12</v>
      </c>
      <c r="D58">
        <v>145308</v>
      </c>
      <c r="E58">
        <v>83</v>
      </c>
      <c r="F58">
        <v>3</v>
      </c>
      <c r="G58">
        <v>31</v>
      </c>
      <c r="H58" t="s">
        <v>16</v>
      </c>
      <c r="I58">
        <v>53.26</v>
      </c>
    </row>
    <row r="59" spans="1:9" hidden="1" x14ac:dyDescent="0.25">
      <c r="A59">
        <v>680</v>
      </c>
      <c r="B59">
        <v>36</v>
      </c>
      <c r="C59" t="s">
        <v>45</v>
      </c>
      <c r="D59">
        <v>106345</v>
      </c>
      <c r="E59">
        <v>98</v>
      </c>
      <c r="F59">
        <v>7</v>
      </c>
      <c r="G59">
        <v>49</v>
      </c>
      <c r="H59" t="s">
        <v>17</v>
      </c>
      <c r="I59">
        <v>55.21</v>
      </c>
    </row>
    <row r="60" spans="1:9" hidden="1" x14ac:dyDescent="0.25">
      <c r="A60">
        <v>75</v>
      </c>
      <c r="B60">
        <v>58</v>
      </c>
      <c r="C60" t="s">
        <v>45</v>
      </c>
      <c r="D60">
        <v>143037</v>
      </c>
      <c r="E60">
        <v>56</v>
      </c>
      <c r="F60">
        <v>8</v>
      </c>
      <c r="G60">
        <v>42</v>
      </c>
      <c r="H60" t="s">
        <v>16</v>
      </c>
      <c r="I60">
        <v>57.57</v>
      </c>
    </row>
    <row r="61" spans="1:9" hidden="1" x14ac:dyDescent="0.25">
      <c r="A61">
        <v>448</v>
      </c>
      <c r="B61">
        <v>31</v>
      </c>
      <c r="C61" t="s">
        <v>18</v>
      </c>
      <c r="D61">
        <v>46106</v>
      </c>
      <c r="E61">
        <v>72</v>
      </c>
      <c r="F61">
        <v>7</v>
      </c>
      <c r="G61">
        <v>2</v>
      </c>
      <c r="H61" t="s">
        <v>15</v>
      </c>
      <c r="I61">
        <v>59.82</v>
      </c>
    </row>
    <row r="62" spans="1:9" hidden="1" x14ac:dyDescent="0.25">
      <c r="A62">
        <v>88</v>
      </c>
      <c r="B62">
        <v>31</v>
      </c>
      <c r="C62" t="s">
        <v>12</v>
      </c>
      <c r="D62">
        <v>55100</v>
      </c>
      <c r="E62">
        <v>20</v>
      </c>
      <c r="F62">
        <v>7</v>
      </c>
      <c r="G62">
        <v>31</v>
      </c>
      <c r="H62" t="s">
        <v>15</v>
      </c>
      <c r="I62">
        <v>59.84</v>
      </c>
    </row>
    <row r="63" spans="1:9" hidden="1" x14ac:dyDescent="0.25">
      <c r="A63">
        <v>766</v>
      </c>
      <c r="B63">
        <v>41</v>
      </c>
      <c r="C63" t="s">
        <v>45</v>
      </c>
      <c r="D63">
        <v>74198</v>
      </c>
      <c r="E63">
        <v>84</v>
      </c>
      <c r="F63">
        <v>1</v>
      </c>
      <c r="G63">
        <v>50</v>
      </c>
      <c r="H63" t="s">
        <v>17</v>
      </c>
      <c r="I63">
        <v>60.51</v>
      </c>
    </row>
    <row r="64" spans="1:9" hidden="1" x14ac:dyDescent="0.25">
      <c r="A64">
        <v>20</v>
      </c>
      <c r="B64">
        <v>31</v>
      </c>
      <c r="C64" t="s">
        <v>12</v>
      </c>
      <c r="D64">
        <v>97103</v>
      </c>
      <c r="E64">
        <v>70</v>
      </c>
      <c r="F64">
        <v>3</v>
      </c>
      <c r="G64">
        <v>17</v>
      </c>
      <c r="H64" t="s">
        <v>16</v>
      </c>
      <c r="I64">
        <v>61.3</v>
      </c>
    </row>
    <row r="65" spans="1:9" hidden="1" x14ac:dyDescent="0.25">
      <c r="A65">
        <v>652</v>
      </c>
      <c r="B65">
        <v>32</v>
      </c>
      <c r="C65" t="s">
        <v>45</v>
      </c>
      <c r="D65">
        <v>95862</v>
      </c>
      <c r="E65">
        <v>34</v>
      </c>
      <c r="F65">
        <v>6</v>
      </c>
      <c r="G65">
        <v>41</v>
      </c>
      <c r="H65" t="s">
        <v>14</v>
      </c>
      <c r="I65">
        <v>65.150000000000006</v>
      </c>
    </row>
    <row r="66" spans="1:9" hidden="1" x14ac:dyDescent="0.25">
      <c r="A66">
        <v>232</v>
      </c>
      <c r="B66">
        <v>66</v>
      </c>
      <c r="C66" t="s">
        <v>12</v>
      </c>
      <c r="D66">
        <v>144573</v>
      </c>
      <c r="E66">
        <v>41</v>
      </c>
      <c r="F66">
        <v>7</v>
      </c>
      <c r="G66">
        <v>24</v>
      </c>
      <c r="H66" t="s">
        <v>16</v>
      </c>
      <c r="I66">
        <v>66.599999999999994</v>
      </c>
    </row>
    <row r="67" spans="1:9" hidden="1" x14ac:dyDescent="0.25">
      <c r="A67">
        <v>618</v>
      </c>
      <c r="B67">
        <v>53</v>
      </c>
      <c r="C67" t="s">
        <v>45</v>
      </c>
      <c r="D67">
        <v>62024</v>
      </c>
      <c r="E67">
        <v>13</v>
      </c>
      <c r="F67">
        <v>2</v>
      </c>
      <c r="G67">
        <v>39</v>
      </c>
      <c r="H67" t="s">
        <v>15</v>
      </c>
      <c r="I67">
        <v>66.599999999999994</v>
      </c>
    </row>
    <row r="68" spans="1:9" hidden="1" x14ac:dyDescent="0.25">
      <c r="A68">
        <v>337</v>
      </c>
      <c r="B68">
        <v>58</v>
      </c>
      <c r="C68" t="s">
        <v>12</v>
      </c>
      <c r="D68">
        <v>60768</v>
      </c>
      <c r="E68">
        <v>88</v>
      </c>
      <c r="F68">
        <v>2</v>
      </c>
      <c r="G68">
        <v>38</v>
      </c>
      <c r="H68" t="s">
        <v>16</v>
      </c>
      <c r="I68">
        <v>67.52</v>
      </c>
    </row>
    <row r="69" spans="1:9" hidden="1" x14ac:dyDescent="0.25">
      <c r="A69">
        <v>330</v>
      </c>
      <c r="B69">
        <v>28</v>
      </c>
      <c r="C69" t="s">
        <v>12</v>
      </c>
      <c r="D69">
        <v>51087</v>
      </c>
      <c r="E69">
        <v>60</v>
      </c>
      <c r="F69">
        <v>4</v>
      </c>
      <c r="G69">
        <v>42</v>
      </c>
      <c r="H69" t="s">
        <v>16</v>
      </c>
      <c r="I69">
        <v>68.31</v>
      </c>
    </row>
    <row r="70" spans="1:9" hidden="1" x14ac:dyDescent="0.25">
      <c r="A70">
        <v>115</v>
      </c>
      <c r="B70">
        <v>64</v>
      </c>
      <c r="C70" t="s">
        <v>12</v>
      </c>
      <c r="D70">
        <v>87595</v>
      </c>
      <c r="E70">
        <v>11</v>
      </c>
      <c r="F70">
        <v>5</v>
      </c>
      <c r="G70">
        <v>21</v>
      </c>
      <c r="H70" t="s">
        <v>14</v>
      </c>
      <c r="I70">
        <v>69.78</v>
      </c>
    </row>
    <row r="71" spans="1:9" hidden="1" x14ac:dyDescent="0.25">
      <c r="A71">
        <v>302</v>
      </c>
      <c r="B71">
        <v>50</v>
      </c>
      <c r="C71" t="s">
        <v>45</v>
      </c>
      <c r="D71">
        <v>130668</v>
      </c>
      <c r="E71">
        <v>39</v>
      </c>
      <c r="F71">
        <v>5</v>
      </c>
      <c r="G71">
        <v>25</v>
      </c>
      <c r="H71" t="s">
        <v>13</v>
      </c>
      <c r="I71">
        <v>69.81</v>
      </c>
    </row>
    <row r="72" spans="1:9" hidden="1" x14ac:dyDescent="0.25">
      <c r="A72">
        <v>482</v>
      </c>
      <c r="B72">
        <v>65</v>
      </c>
      <c r="C72" t="s">
        <v>45</v>
      </c>
      <c r="D72">
        <v>120542</v>
      </c>
      <c r="E72">
        <v>52</v>
      </c>
      <c r="F72">
        <v>3</v>
      </c>
      <c r="G72">
        <v>36</v>
      </c>
      <c r="H72" t="s">
        <v>17</v>
      </c>
      <c r="I72">
        <v>70.22</v>
      </c>
    </row>
    <row r="73" spans="1:9" hidden="1" x14ac:dyDescent="0.25">
      <c r="A73">
        <v>134</v>
      </c>
      <c r="B73">
        <v>26</v>
      </c>
      <c r="C73" t="s">
        <v>12</v>
      </c>
      <c r="D73">
        <v>62131</v>
      </c>
      <c r="E73">
        <v>91</v>
      </c>
      <c r="F73">
        <v>6</v>
      </c>
      <c r="G73">
        <v>18</v>
      </c>
      <c r="H73" t="s">
        <v>15</v>
      </c>
      <c r="I73">
        <v>70.56</v>
      </c>
    </row>
    <row r="74" spans="1:9" hidden="1" x14ac:dyDescent="0.25">
      <c r="A74">
        <v>905</v>
      </c>
      <c r="B74">
        <v>64</v>
      </c>
      <c r="C74" t="s">
        <v>12</v>
      </c>
      <c r="D74">
        <v>139658</v>
      </c>
      <c r="E74">
        <v>77</v>
      </c>
      <c r="F74">
        <v>6</v>
      </c>
      <c r="G74">
        <v>26</v>
      </c>
      <c r="H74" t="s">
        <v>15</v>
      </c>
      <c r="I74">
        <v>71.97</v>
      </c>
    </row>
    <row r="75" spans="1:9" hidden="1" x14ac:dyDescent="0.25">
      <c r="A75">
        <v>548</v>
      </c>
      <c r="B75">
        <v>22</v>
      </c>
      <c r="C75" t="s">
        <v>18</v>
      </c>
      <c r="D75">
        <v>93861</v>
      </c>
      <c r="E75">
        <v>42</v>
      </c>
      <c r="F75">
        <v>6</v>
      </c>
      <c r="G75">
        <v>6</v>
      </c>
      <c r="H75" t="s">
        <v>13</v>
      </c>
      <c r="I75">
        <v>73.13</v>
      </c>
    </row>
    <row r="76" spans="1:9" hidden="1" x14ac:dyDescent="0.25">
      <c r="A76">
        <v>556</v>
      </c>
      <c r="B76">
        <v>25</v>
      </c>
      <c r="C76" t="s">
        <v>18</v>
      </c>
      <c r="D76">
        <v>52403</v>
      </c>
      <c r="E76">
        <v>53</v>
      </c>
      <c r="F76">
        <v>1</v>
      </c>
      <c r="G76">
        <v>14</v>
      </c>
      <c r="H76" t="s">
        <v>16</v>
      </c>
      <c r="I76">
        <v>73.34</v>
      </c>
    </row>
    <row r="77" spans="1:9" hidden="1" x14ac:dyDescent="0.25">
      <c r="A77">
        <v>584</v>
      </c>
      <c r="B77">
        <v>30</v>
      </c>
      <c r="C77" t="s">
        <v>12</v>
      </c>
      <c r="D77">
        <v>114808</v>
      </c>
      <c r="E77">
        <v>23</v>
      </c>
      <c r="F77">
        <v>9</v>
      </c>
      <c r="G77">
        <v>6</v>
      </c>
      <c r="H77" t="s">
        <v>17</v>
      </c>
      <c r="I77">
        <v>74.08</v>
      </c>
    </row>
    <row r="78" spans="1:9" hidden="1" x14ac:dyDescent="0.25">
      <c r="A78">
        <v>521</v>
      </c>
      <c r="B78">
        <v>69</v>
      </c>
      <c r="C78" t="s">
        <v>45</v>
      </c>
      <c r="D78">
        <v>78534</v>
      </c>
      <c r="E78">
        <v>100</v>
      </c>
      <c r="F78">
        <v>2</v>
      </c>
      <c r="G78">
        <v>9</v>
      </c>
      <c r="H78" t="s">
        <v>13</v>
      </c>
      <c r="I78">
        <v>75.03</v>
      </c>
    </row>
    <row r="79" spans="1:9" hidden="1" x14ac:dyDescent="0.25">
      <c r="A79">
        <v>998</v>
      </c>
      <c r="B79">
        <v>23</v>
      </c>
      <c r="C79" t="s">
        <v>12</v>
      </c>
      <c r="D79">
        <v>113097</v>
      </c>
      <c r="E79">
        <v>40</v>
      </c>
      <c r="F79">
        <v>5</v>
      </c>
      <c r="G79">
        <v>42</v>
      </c>
      <c r="H79" t="s">
        <v>15</v>
      </c>
      <c r="I79">
        <v>75.09</v>
      </c>
    </row>
    <row r="80" spans="1:9" hidden="1" x14ac:dyDescent="0.25">
      <c r="A80">
        <v>34</v>
      </c>
      <c r="B80">
        <v>44</v>
      </c>
      <c r="C80" t="s">
        <v>45</v>
      </c>
      <c r="D80">
        <v>86593</v>
      </c>
      <c r="E80">
        <v>89</v>
      </c>
      <c r="F80">
        <v>4</v>
      </c>
      <c r="G80">
        <v>37</v>
      </c>
      <c r="H80" t="s">
        <v>16</v>
      </c>
      <c r="I80">
        <v>76.95</v>
      </c>
    </row>
    <row r="81" spans="1:9" hidden="1" x14ac:dyDescent="0.25">
      <c r="A81">
        <v>897</v>
      </c>
      <c r="B81">
        <v>32</v>
      </c>
      <c r="C81" t="s">
        <v>12</v>
      </c>
      <c r="D81">
        <v>81701</v>
      </c>
      <c r="E81">
        <v>96</v>
      </c>
      <c r="F81">
        <v>9</v>
      </c>
      <c r="G81">
        <v>49</v>
      </c>
      <c r="H81" t="s">
        <v>14</v>
      </c>
      <c r="I81">
        <v>77.45</v>
      </c>
    </row>
    <row r="82" spans="1:9" hidden="1" x14ac:dyDescent="0.25">
      <c r="A82">
        <v>71</v>
      </c>
      <c r="B82">
        <v>23</v>
      </c>
      <c r="C82" t="s">
        <v>18</v>
      </c>
      <c r="D82">
        <v>66376</v>
      </c>
      <c r="E82">
        <v>60</v>
      </c>
      <c r="F82">
        <v>1</v>
      </c>
      <c r="G82">
        <v>18</v>
      </c>
      <c r="H82" t="s">
        <v>14</v>
      </c>
      <c r="I82">
        <v>77.73</v>
      </c>
    </row>
    <row r="83" spans="1:9" hidden="1" x14ac:dyDescent="0.25">
      <c r="A83">
        <v>844</v>
      </c>
      <c r="B83">
        <v>43</v>
      </c>
      <c r="C83" t="s">
        <v>12</v>
      </c>
      <c r="D83">
        <v>140638</v>
      </c>
      <c r="E83">
        <v>62</v>
      </c>
      <c r="F83">
        <v>10</v>
      </c>
      <c r="G83">
        <v>18</v>
      </c>
      <c r="H83" t="s">
        <v>13</v>
      </c>
      <c r="I83">
        <v>78.52</v>
      </c>
    </row>
    <row r="84" spans="1:9" hidden="1" x14ac:dyDescent="0.25">
      <c r="A84">
        <v>379</v>
      </c>
      <c r="B84">
        <v>41</v>
      </c>
      <c r="C84" t="s">
        <v>18</v>
      </c>
      <c r="D84">
        <v>30074</v>
      </c>
      <c r="E84">
        <v>95</v>
      </c>
      <c r="F84">
        <v>8</v>
      </c>
      <c r="G84">
        <v>19</v>
      </c>
      <c r="H84" t="s">
        <v>17</v>
      </c>
      <c r="I84">
        <v>78.819999999999993</v>
      </c>
    </row>
    <row r="85" spans="1:9" hidden="1" x14ac:dyDescent="0.25">
      <c r="A85">
        <v>659</v>
      </c>
      <c r="B85">
        <v>35</v>
      </c>
      <c r="C85" t="s">
        <v>45</v>
      </c>
      <c r="D85">
        <v>116378</v>
      </c>
      <c r="E85">
        <v>38</v>
      </c>
      <c r="F85">
        <v>10</v>
      </c>
      <c r="G85">
        <v>11</v>
      </c>
      <c r="H85" t="s">
        <v>17</v>
      </c>
      <c r="I85">
        <v>79.27</v>
      </c>
    </row>
    <row r="86" spans="1:9" hidden="1" x14ac:dyDescent="0.25">
      <c r="A86">
        <v>199</v>
      </c>
      <c r="B86">
        <v>45</v>
      </c>
      <c r="C86" t="s">
        <v>18</v>
      </c>
      <c r="D86">
        <v>82014</v>
      </c>
      <c r="E86">
        <v>30</v>
      </c>
      <c r="F86">
        <v>10</v>
      </c>
      <c r="G86">
        <v>15</v>
      </c>
      <c r="H86" t="s">
        <v>16</v>
      </c>
      <c r="I86">
        <v>81.91</v>
      </c>
    </row>
    <row r="87" spans="1:9" hidden="1" x14ac:dyDescent="0.25">
      <c r="A87">
        <v>298</v>
      </c>
      <c r="B87">
        <v>39</v>
      </c>
      <c r="C87" t="s">
        <v>12</v>
      </c>
      <c r="D87">
        <v>132488</v>
      </c>
      <c r="E87">
        <v>40</v>
      </c>
      <c r="F87">
        <v>5</v>
      </c>
      <c r="G87">
        <v>37</v>
      </c>
      <c r="H87" t="s">
        <v>15</v>
      </c>
      <c r="I87">
        <v>82.16</v>
      </c>
    </row>
    <row r="88" spans="1:9" hidden="1" x14ac:dyDescent="0.25">
      <c r="A88">
        <v>299</v>
      </c>
      <c r="B88">
        <v>59</v>
      </c>
      <c r="C88" t="s">
        <v>12</v>
      </c>
      <c r="D88">
        <v>36383</v>
      </c>
      <c r="E88">
        <v>5</v>
      </c>
      <c r="F88">
        <v>6</v>
      </c>
      <c r="G88">
        <v>31</v>
      </c>
      <c r="H88" t="s">
        <v>16</v>
      </c>
      <c r="I88">
        <v>82.77</v>
      </c>
    </row>
    <row r="89" spans="1:9" hidden="1" x14ac:dyDescent="0.25">
      <c r="A89">
        <v>171</v>
      </c>
      <c r="B89">
        <v>21</v>
      </c>
      <c r="C89" t="s">
        <v>12</v>
      </c>
      <c r="D89">
        <v>140801</v>
      </c>
      <c r="E89">
        <v>13</v>
      </c>
      <c r="F89">
        <v>3</v>
      </c>
      <c r="G89">
        <v>43</v>
      </c>
      <c r="H89" t="s">
        <v>13</v>
      </c>
      <c r="I89">
        <v>82.88</v>
      </c>
    </row>
    <row r="90" spans="1:9" hidden="1" x14ac:dyDescent="0.25">
      <c r="A90">
        <v>26</v>
      </c>
      <c r="B90">
        <v>33</v>
      </c>
      <c r="C90" t="s">
        <v>45</v>
      </c>
      <c r="D90">
        <v>141757</v>
      </c>
      <c r="E90">
        <v>60</v>
      </c>
      <c r="F90">
        <v>10</v>
      </c>
      <c r="G90">
        <v>39</v>
      </c>
      <c r="H90" t="s">
        <v>16</v>
      </c>
      <c r="I90">
        <v>83.27</v>
      </c>
    </row>
    <row r="91" spans="1:9" hidden="1" x14ac:dyDescent="0.25">
      <c r="A91">
        <v>551</v>
      </c>
      <c r="B91">
        <v>50</v>
      </c>
      <c r="C91" t="s">
        <v>12</v>
      </c>
      <c r="D91">
        <v>43965</v>
      </c>
      <c r="E91">
        <v>83</v>
      </c>
      <c r="F91">
        <v>3</v>
      </c>
      <c r="G91">
        <v>17</v>
      </c>
      <c r="H91" t="s">
        <v>14</v>
      </c>
      <c r="I91">
        <v>83.38</v>
      </c>
    </row>
    <row r="92" spans="1:9" hidden="1" x14ac:dyDescent="0.25">
      <c r="A92">
        <v>643</v>
      </c>
      <c r="B92">
        <v>64</v>
      </c>
      <c r="C92" t="s">
        <v>18</v>
      </c>
      <c r="D92">
        <v>92888</v>
      </c>
      <c r="E92">
        <v>2</v>
      </c>
      <c r="F92">
        <v>7</v>
      </c>
      <c r="G92">
        <v>50</v>
      </c>
      <c r="H92" t="s">
        <v>15</v>
      </c>
      <c r="I92">
        <v>84.98</v>
      </c>
    </row>
    <row r="93" spans="1:9" hidden="1" x14ac:dyDescent="0.25">
      <c r="A93">
        <v>351</v>
      </c>
      <c r="B93">
        <v>68</v>
      </c>
      <c r="C93" t="s">
        <v>45</v>
      </c>
      <c r="D93">
        <v>122661</v>
      </c>
      <c r="E93">
        <v>16</v>
      </c>
      <c r="F93">
        <v>4</v>
      </c>
      <c r="G93">
        <v>48</v>
      </c>
      <c r="H93" t="s">
        <v>16</v>
      </c>
      <c r="I93">
        <v>85.44</v>
      </c>
    </row>
    <row r="94" spans="1:9" hidden="1" x14ac:dyDescent="0.25">
      <c r="A94">
        <v>315</v>
      </c>
      <c r="B94">
        <v>68</v>
      </c>
      <c r="C94" t="s">
        <v>18</v>
      </c>
      <c r="D94">
        <v>62971</v>
      </c>
      <c r="E94">
        <v>27</v>
      </c>
      <c r="F94">
        <v>8</v>
      </c>
      <c r="G94">
        <v>17</v>
      </c>
      <c r="H94" t="s">
        <v>14</v>
      </c>
      <c r="I94">
        <v>85.45</v>
      </c>
    </row>
    <row r="95" spans="1:9" hidden="1" x14ac:dyDescent="0.25">
      <c r="A95">
        <v>322</v>
      </c>
      <c r="B95">
        <v>46</v>
      </c>
      <c r="C95" t="s">
        <v>45</v>
      </c>
      <c r="D95">
        <v>126553</v>
      </c>
      <c r="E95">
        <v>16</v>
      </c>
      <c r="F95">
        <v>2</v>
      </c>
      <c r="G95">
        <v>22</v>
      </c>
      <c r="H95" t="s">
        <v>13</v>
      </c>
      <c r="I95">
        <v>85.56</v>
      </c>
    </row>
    <row r="96" spans="1:9" hidden="1" x14ac:dyDescent="0.25">
      <c r="A96">
        <v>6</v>
      </c>
      <c r="B96">
        <v>31</v>
      </c>
      <c r="C96" t="s">
        <v>45</v>
      </c>
      <c r="D96">
        <v>57305</v>
      </c>
      <c r="E96">
        <v>24</v>
      </c>
      <c r="F96">
        <v>3</v>
      </c>
      <c r="G96">
        <v>30</v>
      </c>
      <c r="H96" t="s">
        <v>13</v>
      </c>
      <c r="I96">
        <v>86.85</v>
      </c>
    </row>
    <row r="97" spans="1:9" hidden="1" x14ac:dyDescent="0.25">
      <c r="A97">
        <v>39</v>
      </c>
      <c r="B97">
        <v>31</v>
      </c>
      <c r="C97" t="s">
        <v>18</v>
      </c>
      <c r="D97">
        <v>75392</v>
      </c>
      <c r="E97">
        <v>43</v>
      </c>
      <c r="F97">
        <v>4</v>
      </c>
      <c r="G97">
        <v>29</v>
      </c>
      <c r="H97" t="s">
        <v>15</v>
      </c>
      <c r="I97">
        <v>88.44</v>
      </c>
    </row>
    <row r="98" spans="1:9" hidden="1" x14ac:dyDescent="0.25">
      <c r="A98">
        <v>751</v>
      </c>
      <c r="B98">
        <v>63</v>
      </c>
      <c r="C98" t="s">
        <v>12</v>
      </c>
      <c r="D98">
        <v>37201</v>
      </c>
      <c r="E98">
        <v>60</v>
      </c>
      <c r="F98">
        <v>6</v>
      </c>
      <c r="G98">
        <v>46</v>
      </c>
      <c r="H98" t="s">
        <v>16</v>
      </c>
      <c r="I98">
        <v>90.96</v>
      </c>
    </row>
    <row r="99" spans="1:9" hidden="1" x14ac:dyDescent="0.25">
      <c r="A99">
        <v>33</v>
      </c>
      <c r="B99">
        <v>29</v>
      </c>
      <c r="C99" t="s">
        <v>12</v>
      </c>
      <c r="D99">
        <v>71951</v>
      </c>
      <c r="E99">
        <v>2</v>
      </c>
      <c r="F99">
        <v>6</v>
      </c>
      <c r="G99">
        <v>47</v>
      </c>
      <c r="H99" t="s">
        <v>14</v>
      </c>
      <c r="I99">
        <v>91.94</v>
      </c>
    </row>
    <row r="100" spans="1:9" hidden="1" x14ac:dyDescent="0.25">
      <c r="A100">
        <v>74</v>
      </c>
      <c r="B100">
        <v>38</v>
      </c>
      <c r="C100" t="s">
        <v>18</v>
      </c>
      <c r="D100">
        <v>102944</v>
      </c>
      <c r="E100">
        <v>63</v>
      </c>
      <c r="F100">
        <v>8</v>
      </c>
      <c r="G100">
        <v>9</v>
      </c>
      <c r="H100" t="s">
        <v>13</v>
      </c>
      <c r="I100">
        <v>92.69</v>
      </c>
    </row>
    <row r="101" spans="1:9" hidden="1" x14ac:dyDescent="0.25">
      <c r="A101">
        <v>178</v>
      </c>
      <c r="B101">
        <v>67</v>
      </c>
      <c r="C101" t="s">
        <v>18</v>
      </c>
      <c r="D101">
        <v>130300</v>
      </c>
      <c r="E101">
        <v>75</v>
      </c>
      <c r="F101">
        <v>5</v>
      </c>
      <c r="G101">
        <v>27</v>
      </c>
      <c r="H101" t="s">
        <v>14</v>
      </c>
      <c r="I101">
        <v>94.32</v>
      </c>
    </row>
    <row r="102" spans="1:9" hidden="1" x14ac:dyDescent="0.25">
      <c r="A102">
        <v>665</v>
      </c>
      <c r="B102">
        <v>37</v>
      </c>
      <c r="C102" t="s">
        <v>12</v>
      </c>
      <c r="D102">
        <v>105623</v>
      </c>
      <c r="E102">
        <v>26</v>
      </c>
      <c r="F102">
        <v>5</v>
      </c>
      <c r="G102">
        <v>47</v>
      </c>
      <c r="H102" t="s">
        <v>13</v>
      </c>
      <c r="I102">
        <v>94.79</v>
      </c>
    </row>
    <row r="103" spans="1:9" hidden="1" x14ac:dyDescent="0.25">
      <c r="A103">
        <v>68</v>
      </c>
      <c r="B103">
        <v>43</v>
      </c>
      <c r="C103" t="s">
        <v>18</v>
      </c>
      <c r="D103">
        <v>87807</v>
      </c>
      <c r="E103">
        <v>52</v>
      </c>
      <c r="F103">
        <v>9</v>
      </c>
      <c r="G103">
        <v>41</v>
      </c>
      <c r="H103" t="s">
        <v>17</v>
      </c>
      <c r="I103">
        <v>95.08</v>
      </c>
    </row>
    <row r="104" spans="1:9" hidden="1" x14ac:dyDescent="0.25">
      <c r="A104">
        <v>669</v>
      </c>
      <c r="B104">
        <v>52</v>
      </c>
      <c r="C104" t="s">
        <v>12</v>
      </c>
      <c r="D104">
        <v>87717</v>
      </c>
      <c r="E104">
        <v>79</v>
      </c>
      <c r="F104">
        <v>6</v>
      </c>
      <c r="G104">
        <v>44</v>
      </c>
      <c r="H104" t="s">
        <v>17</v>
      </c>
      <c r="I104">
        <v>95.17</v>
      </c>
    </row>
    <row r="105" spans="1:9" hidden="1" x14ac:dyDescent="0.25">
      <c r="A105">
        <v>908</v>
      </c>
      <c r="B105">
        <v>59</v>
      </c>
      <c r="C105" t="s">
        <v>45</v>
      </c>
      <c r="D105">
        <v>141567</v>
      </c>
      <c r="E105">
        <v>27</v>
      </c>
      <c r="F105">
        <v>8</v>
      </c>
      <c r="G105">
        <v>30</v>
      </c>
      <c r="H105" t="s">
        <v>15</v>
      </c>
      <c r="I105">
        <v>95.96</v>
      </c>
    </row>
    <row r="106" spans="1:9" hidden="1" x14ac:dyDescent="0.25">
      <c r="A106">
        <v>572</v>
      </c>
      <c r="B106">
        <v>19</v>
      </c>
      <c r="C106" t="s">
        <v>12</v>
      </c>
      <c r="D106">
        <v>134193</v>
      </c>
      <c r="E106">
        <v>95</v>
      </c>
      <c r="F106">
        <v>7</v>
      </c>
      <c r="G106">
        <v>44</v>
      </c>
      <c r="H106" t="s">
        <v>14</v>
      </c>
      <c r="I106">
        <v>97.65</v>
      </c>
    </row>
    <row r="107" spans="1:9" hidden="1" x14ac:dyDescent="0.25">
      <c r="A107">
        <v>898</v>
      </c>
      <c r="B107">
        <v>64</v>
      </c>
      <c r="C107" t="s">
        <v>45</v>
      </c>
      <c r="D107">
        <v>82140</v>
      </c>
      <c r="E107">
        <v>57</v>
      </c>
      <c r="F107">
        <v>3</v>
      </c>
      <c r="G107">
        <v>7</v>
      </c>
      <c r="H107" t="s">
        <v>13</v>
      </c>
      <c r="I107">
        <v>97.97</v>
      </c>
    </row>
    <row r="108" spans="1:9" hidden="1" x14ac:dyDescent="0.25">
      <c r="A108">
        <v>610</v>
      </c>
      <c r="B108">
        <v>23</v>
      </c>
      <c r="C108" t="s">
        <v>18</v>
      </c>
      <c r="D108">
        <v>83912</v>
      </c>
      <c r="E108">
        <v>28</v>
      </c>
      <c r="F108">
        <v>6</v>
      </c>
      <c r="G108">
        <v>31</v>
      </c>
      <c r="H108" t="s">
        <v>13</v>
      </c>
      <c r="I108">
        <v>98.32</v>
      </c>
    </row>
    <row r="109" spans="1:9" hidden="1" x14ac:dyDescent="0.25">
      <c r="A109">
        <v>288</v>
      </c>
      <c r="B109">
        <v>56</v>
      </c>
      <c r="C109" t="s">
        <v>12</v>
      </c>
      <c r="D109">
        <v>117922</v>
      </c>
      <c r="E109">
        <v>69</v>
      </c>
      <c r="F109">
        <v>2</v>
      </c>
      <c r="G109">
        <v>41</v>
      </c>
      <c r="H109" t="s">
        <v>13</v>
      </c>
      <c r="I109">
        <v>98.83</v>
      </c>
    </row>
    <row r="110" spans="1:9" hidden="1" x14ac:dyDescent="0.25">
      <c r="A110">
        <v>296</v>
      </c>
      <c r="B110">
        <v>56</v>
      </c>
      <c r="C110" t="s">
        <v>45</v>
      </c>
      <c r="D110">
        <v>129611</v>
      </c>
      <c r="E110">
        <v>23</v>
      </c>
      <c r="F110">
        <v>3</v>
      </c>
      <c r="G110">
        <v>48</v>
      </c>
      <c r="H110" t="s">
        <v>15</v>
      </c>
      <c r="I110">
        <v>98.85</v>
      </c>
    </row>
    <row r="111" spans="1:9" hidden="1" x14ac:dyDescent="0.25">
      <c r="A111">
        <v>40</v>
      </c>
      <c r="B111">
        <v>22</v>
      </c>
      <c r="C111" t="s">
        <v>12</v>
      </c>
      <c r="D111">
        <v>107057</v>
      </c>
      <c r="E111">
        <v>14</v>
      </c>
      <c r="F111">
        <v>5</v>
      </c>
      <c r="G111">
        <v>41</v>
      </c>
      <c r="H111" t="s">
        <v>13</v>
      </c>
      <c r="I111">
        <v>98.86</v>
      </c>
    </row>
    <row r="112" spans="1:9" hidden="1" x14ac:dyDescent="0.25">
      <c r="A112">
        <v>988</v>
      </c>
      <c r="B112">
        <v>26</v>
      </c>
      <c r="C112" t="s">
        <v>12</v>
      </c>
      <c r="D112">
        <v>148451</v>
      </c>
      <c r="E112">
        <v>78</v>
      </c>
      <c r="F112">
        <v>5</v>
      </c>
      <c r="G112">
        <v>14</v>
      </c>
      <c r="H112" t="s">
        <v>16</v>
      </c>
      <c r="I112">
        <v>99.19</v>
      </c>
    </row>
    <row r="113" spans="1:9" hidden="1" x14ac:dyDescent="0.25">
      <c r="A113">
        <v>612</v>
      </c>
      <c r="B113">
        <v>33</v>
      </c>
      <c r="C113" t="s">
        <v>18</v>
      </c>
      <c r="D113">
        <v>38271</v>
      </c>
      <c r="E113">
        <v>39</v>
      </c>
      <c r="F113">
        <v>10</v>
      </c>
      <c r="G113">
        <v>43</v>
      </c>
      <c r="H113" t="s">
        <v>14</v>
      </c>
      <c r="I113">
        <v>99.52</v>
      </c>
    </row>
    <row r="114" spans="1:9" hidden="1" x14ac:dyDescent="0.25">
      <c r="A114">
        <v>913</v>
      </c>
      <c r="B114">
        <v>38</v>
      </c>
      <c r="C114" t="s">
        <v>12</v>
      </c>
      <c r="D114">
        <v>45551</v>
      </c>
      <c r="E114">
        <v>100</v>
      </c>
      <c r="F114">
        <v>10</v>
      </c>
      <c r="G114">
        <v>22</v>
      </c>
      <c r="H114" t="s">
        <v>14</v>
      </c>
      <c r="I114">
        <v>99.63</v>
      </c>
    </row>
    <row r="115" spans="1:9" hidden="1" x14ac:dyDescent="0.25">
      <c r="A115">
        <v>958</v>
      </c>
      <c r="B115">
        <v>26</v>
      </c>
      <c r="C115" t="s">
        <v>18</v>
      </c>
      <c r="D115">
        <v>41126</v>
      </c>
      <c r="E115">
        <v>37</v>
      </c>
      <c r="F115">
        <v>9</v>
      </c>
      <c r="G115">
        <v>44</v>
      </c>
      <c r="H115" t="s">
        <v>17</v>
      </c>
      <c r="I115">
        <v>100.64</v>
      </c>
    </row>
    <row r="116" spans="1:9" hidden="1" x14ac:dyDescent="0.25">
      <c r="A116">
        <v>13</v>
      </c>
      <c r="B116">
        <v>29</v>
      </c>
      <c r="C116" t="s">
        <v>18</v>
      </c>
      <c r="D116">
        <v>87461</v>
      </c>
      <c r="E116">
        <v>81</v>
      </c>
      <c r="F116">
        <v>3</v>
      </c>
      <c r="G116">
        <v>27</v>
      </c>
      <c r="H116" t="s">
        <v>13</v>
      </c>
      <c r="I116">
        <v>101.07</v>
      </c>
    </row>
    <row r="117" spans="1:9" hidden="1" x14ac:dyDescent="0.25">
      <c r="A117">
        <v>297</v>
      </c>
      <c r="B117">
        <v>40</v>
      </c>
      <c r="C117" t="s">
        <v>12</v>
      </c>
      <c r="D117">
        <v>97995</v>
      </c>
      <c r="E117">
        <v>47</v>
      </c>
      <c r="F117">
        <v>4</v>
      </c>
      <c r="G117">
        <v>9</v>
      </c>
      <c r="H117" t="s">
        <v>15</v>
      </c>
      <c r="I117">
        <v>101.35</v>
      </c>
    </row>
    <row r="118" spans="1:9" hidden="1" x14ac:dyDescent="0.25">
      <c r="A118">
        <v>579</v>
      </c>
      <c r="B118">
        <v>21</v>
      </c>
      <c r="C118" t="s">
        <v>18</v>
      </c>
      <c r="D118">
        <v>71227</v>
      </c>
      <c r="E118">
        <v>17</v>
      </c>
      <c r="F118">
        <v>10</v>
      </c>
      <c r="G118">
        <v>12</v>
      </c>
      <c r="H118" t="s">
        <v>14</v>
      </c>
      <c r="I118">
        <v>101.48</v>
      </c>
    </row>
    <row r="119" spans="1:9" hidden="1" x14ac:dyDescent="0.25">
      <c r="A119">
        <v>758</v>
      </c>
      <c r="B119">
        <v>35</v>
      </c>
      <c r="C119" t="s">
        <v>12</v>
      </c>
      <c r="D119">
        <v>94896</v>
      </c>
      <c r="E119">
        <v>36</v>
      </c>
      <c r="F119">
        <v>6</v>
      </c>
      <c r="G119">
        <v>4</v>
      </c>
      <c r="H119" t="s">
        <v>13</v>
      </c>
      <c r="I119">
        <v>102.23</v>
      </c>
    </row>
    <row r="120" spans="1:9" hidden="1" x14ac:dyDescent="0.25">
      <c r="A120">
        <v>720</v>
      </c>
      <c r="B120">
        <v>69</v>
      </c>
      <c r="C120" t="s">
        <v>45</v>
      </c>
      <c r="D120">
        <v>72651</v>
      </c>
      <c r="E120">
        <v>58</v>
      </c>
      <c r="F120">
        <v>5</v>
      </c>
      <c r="G120">
        <v>30</v>
      </c>
      <c r="H120" t="s">
        <v>14</v>
      </c>
      <c r="I120">
        <v>103.11</v>
      </c>
    </row>
    <row r="121" spans="1:9" hidden="1" x14ac:dyDescent="0.25">
      <c r="A121">
        <v>69</v>
      </c>
      <c r="B121">
        <v>32</v>
      </c>
      <c r="C121" t="s">
        <v>12</v>
      </c>
      <c r="D121">
        <v>135861</v>
      </c>
      <c r="E121">
        <v>88</v>
      </c>
      <c r="F121">
        <v>5</v>
      </c>
      <c r="G121">
        <v>16</v>
      </c>
      <c r="H121" t="s">
        <v>14</v>
      </c>
      <c r="I121">
        <v>103.33</v>
      </c>
    </row>
    <row r="122" spans="1:9" hidden="1" x14ac:dyDescent="0.25">
      <c r="A122">
        <v>704</v>
      </c>
      <c r="B122">
        <v>52</v>
      </c>
      <c r="C122" t="s">
        <v>18</v>
      </c>
      <c r="D122">
        <v>58805</v>
      </c>
      <c r="E122">
        <v>14</v>
      </c>
      <c r="F122">
        <v>2</v>
      </c>
      <c r="G122">
        <v>47</v>
      </c>
      <c r="H122" t="s">
        <v>15</v>
      </c>
      <c r="I122">
        <v>104.35</v>
      </c>
    </row>
    <row r="123" spans="1:9" hidden="1" x14ac:dyDescent="0.25">
      <c r="A123">
        <v>569</v>
      </c>
      <c r="B123">
        <v>29</v>
      </c>
      <c r="C123" t="s">
        <v>18</v>
      </c>
      <c r="D123">
        <v>59815</v>
      </c>
      <c r="E123">
        <v>43</v>
      </c>
      <c r="F123">
        <v>6</v>
      </c>
      <c r="G123">
        <v>24</v>
      </c>
      <c r="H123" t="s">
        <v>16</v>
      </c>
      <c r="I123">
        <v>105.48</v>
      </c>
    </row>
    <row r="124" spans="1:9" hidden="1" x14ac:dyDescent="0.25">
      <c r="A124">
        <v>937</v>
      </c>
      <c r="B124">
        <v>43</v>
      </c>
      <c r="C124" t="s">
        <v>18</v>
      </c>
      <c r="D124">
        <v>42201</v>
      </c>
      <c r="E124">
        <v>76</v>
      </c>
      <c r="F124">
        <v>1</v>
      </c>
      <c r="G124">
        <v>50</v>
      </c>
      <c r="H124" t="s">
        <v>13</v>
      </c>
      <c r="I124">
        <v>106.48</v>
      </c>
    </row>
    <row r="125" spans="1:9" hidden="1" x14ac:dyDescent="0.25">
      <c r="A125">
        <v>270</v>
      </c>
      <c r="B125">
        <v>28</v>
      </c>
      <c r="C125" t="s">
        <v>18</v>
      </c>
      <c r="D125">
        <v>49020</v>
      </c>
      <c r="E125">
        <v>75</v>
      </c>
      <c r="F125">
        <v>9</v>
      </c>
      <c r="G125">
        <v>49</v>
      </c>
      <c r="H125" t="s">
        <v>14</v>
      </c>
      <c r="I125">
        <v>109.03</v>
      </c>
    </row>
    <row r="126" spans="1:9" hidden="1" x14ac:dyDescent="0.25">
      <c r="A126">
        <v>691</v>
      </c>
      <c r="B126">
        <v>53</v>
      </c>
      <c r="C126" t="s">
        <v>45</v>
      </c>
      <c r="D126">
        <v>84686</v>
      </c>
      <c r="E126">
        <v>93</v>
      </c>
      <c r="F126">
        <v>8</v>
      </c>
      <c r="G126">
        <v>1</v>
      </c>
      <c r="H126" t="s">
        <v>16</v>
      </c>
      <c r="I126">
        <v>109.54</v>
      </c>
    </row>
    <row r="127" spans="1:9" hidden="1" x14ac:dyDescent="0.25">
      <c r="A127">
        <v>51</v>
      </c>
      <c r="B127">
        <v>61</v>
      </c>
      <c r="C127" t="s">
        <v>18</v>
      </c>
      <c r="D127">
        <v>61290</v>
      </c>
      <c r="E127">
        <v>83</v>
      </c>
      <c r="F127">
        <v>9</v>
      </c>
      <c r="G127">
        <v>35</v>
      </c>
      <c r="H127" t="s">
        <v>17</v>
      </c>
      <c r="I127">
        <v>110.32</v>
      </c>
    </row>
    <row r="128" spans="1:9" hidden="1" x14ac:dyDescent="0.25">
      <c r="A128">
        <v>187</v>
      </c>
      <c r="B128">
        <v>35</v>
      </c>
      <c r="C128" t="s">
        <v>12</v>
      </c>
      <c r="D128">
        <v>137307</v>
      </c>
      <c r="E128">
        <v>32</v>
      </c>
      <c r="F128">
        <v>6</v>
      </c>
      <c r="G128">
        <v>24</v>
      </c>
      <c r="H128" t="s">
        <v>14</v>
      </c>
      <c r="I128">
        <v>111.27</v>
      </c>
    </row>
    <row r="129" spans="1:9" hidden="1" x14ac:dyDescent="0.25">
      <c r="A129">
        <v>527</v>
      </c>
      <c r="B129">
        <v>62</v>
      </c>
      <c r="C129" t="s">
        <v>18</v>
      </c>
      <c r="D129">
        <v>117704</v>
      </c>
      <c r="E129">
        <v>37</v>
      </c>
      <c r="F129">
        <v>3</v>
      </c>
      <c r="G129">
        <v>48</v>
      </c>
      <c r="H129" t="s">
        <v>15</v>
      </c>
      <c r="I129">
        <v>112.11</v>
      </c>
    </row>
    <row r="130" spans="1:9" hidden="1" x14ac:dyDescent="0.25">
      <c r="A130">
        <v>789</v>
      </c>
      <c r="B130">
        <v>25</v>
      </c>
      <c r="C130" t="s">
        <v>18</v>
      </c>
      <c r="D130">
        <v>52575</v>
      </c>
      <c r="E130">
        <v>77</v>
      </c>
      <c r="F130">
        <v>5</v>
      </c>
      <c r="G130">
        <v>13</v>
      </c>
      <c r="H130" t="s">
        <v>17</v>
      </c>
      <c r="I130">
        <v>112.22</v>
      </c>
    </row>
    <row r="131" spans="1:9" hidden="1" x14ac:dyDescent="0.25">
      <c r="A131">
        <v>1</v>
      </c>
      <c r="B131">
        <v>38</v>
      </c>
      <c r="C131" t="s">
        <v>18</v>
      </c>
      <c r="D131">
        <v>99342</v>
      </c>
      <c r="E131">
        <v>90</v>
      </c>
      <c r="F131">
        <v>3</v>
      </c>
      <c r="G131">
        <v>24</v>
      </c>
      <c r="H131" t="s">
        <v>16</v>
      </c>
      <c r="I131">
        <v>113.53</v>
      </c>
    </row>
    <row r="132" spans="1:9" hidden="1" x14ac:dyDescent="0.25">
      <c r="A132">
        <v>411</v>
      </c>
      <c r="B132">
        <v>43</v>
      </c>
      <c r="C132" t="s">
        <v>18</v>
      </c>
      <c r="D132">
        <v>89856</v>
      </c>
      <c r="E132">
        <v>96</v>
      </c>
      <c r="F132">
        <v>3</v>
      </c>
      <c r="G132">
        <v>2</v>
      </c>
      <c r="H132" t="s">
        <v>17</v>
      </c>
      <c r="I132">
        <v>114.47</v>
      </c>
    </row>
    <row r="133" spans="1:9" hidden="1" x14ac:dyDescent="0.25">
      <c r="A133">
        <v>169</v>
      </c>
      <c r="B133">
        <v>51</v>
      </c>
      <c r="C133" t="s">
        <v>18</v>
      </c>
      <c r="D133">
        <v>58930</v>
      </c>
      <c r="E133">
        <v>95</v>
      </c>
      <c r="F133">
        <v>5</v>
      </c>
      <c r="G133">
        <v>33</v>
      </c>
      <c r="H133" t="s">
        <v>15</v>
      </c>
      <c r="I133">
        <v>115.09</v>
      </c>
    </row>
    <row r="134" spans="1:9" hidden="1" x14ac:dyDescent="0.25">
      <c r="A134">
        <v>826</v>
      </c>
      <c r="B134">
        <v>48</v>
      </c>
      <c r="C134" t="s">
        <v>12</v>
      </c>
      <c r="D134">
        <v>111795</v>
      </c>
      <c r="E134">
        <v>41</v>
      </c>
      <c r="F134">
        <v>9</v>
      </c>
      <c r="G134">
        <v>17</v>
      </c>
      <c r="H134" t="s">
        <v>16</v>
      </c>
      <c r="I134">
        <v>116.19</v>
      </c>
    </row>
    <row r="135" spans="1:9" hidden="1" x14ac:dyDescent="0.25">
      <c r="A135">
        <v>626</v>
      </c>
      <c r="B135">
        <v>19</v>
      </c>
      <c r="C135" t="s">
        <v>12</v>
      </c>
      <c r="D135">
        <v>138008</v>
      </c>
      <c r="E135">
        <v>8</v>
      </c>
      <c r="F135">
        <v>9</v>
      </c>
      <c r="G135">
        <v>15</v>
      </c>
      <c r="H135" t="s">
        <v>16</v>
      </c>
      <c r="I135">
        <v>116.8</v>
      </c>
    </row>
    <row r="136" spans="1:9" hidden="1" x14ac:dyDescent="0.25">
      <c r="A136">
        <v>320</v>
      </c>
      <c r="B136">
        <v>34</v>
      </c>
      <c r="C136" t="s">
        <v>12</v>
      </c>
      <c r="D136">
        <v>31668</v>
      </c>
      <c r="E136">
        <v>43</v>
      </c>
      <c r="F136">
        <v>5</v>
      </c>
      <c r="G136">
        <v>40</v>
      </c>
      <c r="H136" t="s">
        <v>17</v>
      </c>
      <c r="I136">
        <v>117.01</v>
      </c>
    </row>
    <row r="137" spans="1:9" hidden="1" x14ac:dyDescent="0.25">
      <c r="A137">
        <v>811</v>
      </c>
      <c r="B137">
        <v>27</v>
      </c>
      <c r="C137" t="s">
        <v>18</v>
      </c>
      <c r="D137">
        <v>78001</v>
      </c>
      <c r="E137">
        <v>50</v>
      </c>
      <c r="F137">
        <v>5</v>
      </c>
      <c r="G137">
        <v>17</v>
      </c>
      <c r="H137" t="s">
        <v>13</v>
      </c>
      <c r="I137">
        <v>117.03</v>
      </c>
    </row>
    <row r="138" spans="1:9" hidden="1" x14ac:dyDescent="0.25">
      <c r="A138">
        <v>685</v>
      </c>
      <c r="B138">
        <v>37</v>
      </c>
      <c r="C138" t="s">
        <v>12</v>
      </c>
      <c r="D138">
        <v>104041</v>
      </c>
      <c r="E138">
        <v>64</v>
      </c>
      <c r="F138">
        <v>9</v>
      </c>
      <c r="G138">
        <v>49</v>
      </c>
      <c r="H138" t="s">
        <v>13</v>
      </c>
      <c r="I138">
        <v>117.52</v>
      </c>
    </row>
    <row r="139" spans="1:9" hidden="1" x14ac:dyDescent="0.25">
      <c r="A139">
        <v>711</v>
      </c>
      <c r="B139">
        <v>43</v>
      </c>
      <c r="C139" t="s">
        <v>45</v>
      </c>
      <c r="D139">
        <v>51398</v>
      </c>
      <c r="E139">
        <v>12</v>
      </c>
      <c r="F139">
        <v>4</v>
      </c>
      <c r="G139">
        <v>26</v>
      </c>
      <c r="H139" t="s">
        <v>15</v>
      </c>
      <c r="I139">
        <v>117.85</v>
      </c>
    </row>
    <row r="140" spans="1:9" hidden="1" x14ac:dyDescent="0.25">
      <c r="A140">
        <v>567</v>
      </c>
      <c r="B140">
        <v>22</v>
      </c>
      <c r="C140" t="s">
        <v>45</v>
      </c>
      <c r="D140">
        <v>92601</v>
      </c>
      <c r="E140">
        <v>75</v>
      </c>
      <c r="F140">
        <v>7</v>
      </c>
      <c r="G140">
        <v>49</v>
      </c>
      <c r="H140" t="s">
        <v>14</v>
      </c>
      <c r="I140">
        <v>120.76</v>
      </c>
    </row>
    <row r="141" spans="1:9" hidden="1" x14ac:dyDescent="0.25">
      <c r="A141">
        <v>86</v>
      </c>
      <c r="B141">
        <v>31</v>
      </c>
      <c r="C141" t="s">
        <v>45</v>
      </c>
      <c r="D141">
        <v>61849</v>
      </c>
      <c r="E141">
        <v>24</v>
      </c>
      <c r="F141">
        <v>6</v>
      </c>
      <c r="G141">
        <v>31</v>
      </c>
      <c r="H141" t="s">
        <v>13</v>
      </c>
      <c r="I141">
        <v>120.8</v>
      </c>
    </row>
    <row r="142" spans="1:9" hidden="1" x14ac:dyDescent="0.25">
      <c r="A142">
        <v>444</v>
      </c>
      <c r="B142">
        <v>62</v>
      </c>
      <c r="C142" t="s">
        <v>45</v>
      </c>
      <c r="D142">
        <v>59481</v>
      </c>
      <c r="E142">
        <v>30</v>
      </c>
      <c r="F142">
        <v>4</v>
      </c>
      <c r="G142">
        <v>35</v>
      </c>
      <c r="H142" t="s">
        <v>17</v>
      </c>
      <c r="I142">
        <v>121</v>
      </c>
    </row>
    <row r="143" spans="1:9" hidden="1" x14ac:dyDescent="0.25">
      <c r="A143">
        <v>741</v>
      </c>
      <c r="B143">
        <v>50</v>
      </c>
      <c r="C143" t="s">
        <v>18</v>
      </c>
      <c r="D143">
        <v>50944</v>
      </c>
      <c r="E143">
        <v>24</v>
      </c>
      <c r="F143">
        <v>3</v>
      </c>
      <c r="G143">
        <v>36</v>
      </c>
      <c r="H143" t="s">
        <v>14</v>
      </c>
      <c r="I143">
        <v>121.22</v>
      </c>
    </row>
    <row r="144" spans="1:9" hidden="1" x14ac:dyDescent="0.25">
      <c r="A144">
        <v>329</v>
      </c>
      <c r="B144">
        <v>68</v>
      </c>
      <c r="C144" t="s">
        <v>45</v>
      </c>
      <c r="D144">
        <v>76921</v>
      </c>
      <c r="E144">
        <v>79</v>
      </c>
      <c r="F144">
        <v>1</v>
      </c>
      <c r="G144">
        <v>23</v>
      </c>
      <c r="H144" t="s">
        <v>16</v>
      </c>
      <c r="I144">
        <v>122.02</v>
      </c>
    </row>
    <row r="145" spans="1:9" hidden="1" x14ac:dyDescent="0.25">
      <c r="A145">
        <v>848</v>
      </c>
      <c r="B145">
        <v>60</v>
      </c>
      <c r="C145" t="s">
        <v>45</v>
      </c>
      <c r="D145">
        <v>111784</v>
      </c>
      <c r="E145">
        <v>31</v>
      </c>
      <c r="F145">
        <v>1</v>
      </c>
      <c r="G145">
        <v>14</v>
      </c>
      <c r="H145" t="s">
        <v>17</v>
      </c>
      <c r="I145">
        <v>122.12</v>
      </c>
    </row>
    <row r="146" spans="1:9" hidden="1" x14ac:dyDescent="0.25">
      <c r="A146">
        <v>389</v>
      </c>
      <c r="B146">
        <v>34</v>
      </c>
      <c r="C146" t="s">
        <v>45</v>
      </c>
      <c r="D146">
        <v>118622</v>
      </c>
      <c r="E146">
        <v>99</v>
      </c>
      <c r="F146">
        <v>4</v>
      </c>
      <c r="G146">
        <v>47</v>
      </c>
      <c r="H146" t="s">
        <v>15</v>
      </c>
      <c r="I146">
        <v>122.21</v>
      </c>
    </row>
    <row r="147" spans="1:9" hidden="1" x14ac:dyDescent="0.25">
      <c r="A147">
        <v>825</v>
      </c>
      <c r="B147">
        <v>30</v>
      </c>
      <c r="C147" t="s">
        <v>18</v>
      </c>
      <c r="D147">
        <v>121358</v>
      </c>
      <c r="E147">
        <v>16</v>
      </c>
      <c r="F147">
        <v>1</v>
      </c>
      <c r="G147">
        <v>2</v>
      </c>
      <c r="H147" t="s">
        <v>14</v>
      </c>
      <c r="I147">
        <v>122.7</v>
      </c>
    </row>
    <row r="148" spans="1:9" hidden="1" x14ac:dyDescent="0.25">
      <c r="A148">
        <v>750</v>
      </c>
      <c r="B148">
        <v>41</v>
      </c>
      <c r="C148" t="s">
        <v>45</v>
      </c>
      <c r="D148">
        <v>74985</v>
      </c>
      <c r="E148">
        <v>68</v>
      </c>
      <c r="F148">
        <v>8</v>
      </c>
      <c r="G148">
        <v>21</v>
      </c>
      <c r="H148" t="s">
        <v>14</v>
      </c>
      <c r="I148">
        <v>123.96</v>
      </c>
    </row>
    <row r="149" spans="1:9" hidden="1" x14ac:dyDescent="0.25">
      <c r="A149">
        <v>27</v>
      </c>
      <c r="B149">
        <v>54</v>
      </c>
      <c r="C149" t="s">
        <v>12</v>
      </c>
      <c r="D149">
        <v>35394</v>
      </c>
      <c r="E149">
        <v>10</v>
      </c>
      <c r="F149">
        <v>9</v>
      </c>
      <c r="G149">
        <v>4</v>
      </c>
      <c r="H149" t="s">
        <v>16</v>
      </c>
      <c r="I149">
        <v>124.29</v>
      </c>
    </row>
    <row r="150" spans="1:9" hidden="1" x14ac:dyDescent="0.25">
      <c r="A150">
        <v>675</v>
      </c>
      <c r="B150">
        <v>64</v>
      </c>
      <c r="C150" t="s">
        <v>18</v>
      </c>
      <c r="D150">
        <v>67704</v>
      </c>
      <c r="E150">
        <v>12</v>
      </c>
      <c r="F150">
        <v>6</v>
      </c>
      <c r="G150">
        <v>17</v>
      </c>
      <c r="H150" t="s">
        <v>13</v>
      </c>
      <c r="I150">
        <v>126.15</v>
      </c>
    </row>
    <row r="151" spans="1:9" hidden="1" x14ac:dyDescent="0.25">
      <c r="A151">
        <v>307</v>
      </c>
      <c r="B151">
        <v>26</v>
      </c>
      <c r="C151" t="s">
        <v>45</v>
      </c>
      <c r="D151">
        <v>135530</v>
      </c>
      <c r="E151">
        <v>81</v>
      </c>
      <c r="F151">
        <v>2</v>
      </c>
      <c r="G151">
        <v>12</v>
      </c>
      <c r="H151" t="s">
        <v>13</v>
      </c>
      <c r="I151">
        <v>126.35</v>
      </c>
    </row>
    <row r="152" spans="1:9" hidden="1" x14ac:dyDescent="0.25">
      <c r="A152">
        <v>102</v>
      </c>
      <c r="B152">
        <v>18</v>
      </c>
      <c r="C152" t="s">
        <v>12</v>
      </c>
      <c r="D152">
        <v>49346</v>
      </c>
      <c r="E152">
        <v>70</v>
      </c>
      <c r="F152">
        <v>7</v>
      </c>
      <c r="G152">
        <v>38</v>
      </c>
      <c r="H152" t="s">
        <v>16</v>
      </c>
      <c r="I152">
        <v>127.14</v>
      </c>
    </row>
    <row r="153" spans="1:9" hidden="1" x14ac:dyDescent="0.25">
      <c r="A153">
        <v>37</v>
      </c>
      <c r="B153">
        <v>47</v>
      </c>
      <c r="C153" t="s">
        <v>12</v>
      </c>
      <c r="D153">
        <v>108074</v>
      </c>
      <c r="E153">
        <v>78</v>
      </c>
      <c r="F153">
        <v>4</v>
      </c>
      <c r="G153">
        <v>38</v>
      </c>
      <c r="H153" t="s">
        <v>14</v>
      </c>
      <c r="I153">
        <v>128.19999999999999</v>
      </c>
    </row>
    <row r="154" spans="1:9" hidden="1" x14ac:dyDescent="0.25">
      <c r="A154">
        <v>934</v>
      </c>
      <c r="B154">
        <v>47</v>
      </c>
      <c r="C154" t="s">
        <v>12</v>
      </c>
      <c r="D154">
        <v>138152</v>
      </c>
      <c r="E154">
        <v>53</v>
      </c>
      <c r="F154">
        <v>2</v>
      </c>
      <c r="G154">
        <v>38</v>
      </c>
      <c r="H154" t="s">
        <v>16</v>
      </c>
      <c r="I154">
        <v>129.08000000000001</v>
      </c>
    </row>
    <row r="155" spans="1:9" hidden="1" x14ac:dyDescent="0.25">
      <c r="A155">
        <v>981</v>
      </c>
      <c r="B155">
        <v>30</v>
      </c>
      <c r="C155" t="s">
        <v>12</v>
      </c>
      <c r="D155">
        <v>117373</v>
      </c>
      <c r="E155">
        <v>32</v>
      </c>
      <c r="F155">
        <v>1</v>
      </c>
      <c r="G155">
        <v>49</v>
      </c>
      <c r="H155" t="s">
        <v>13</v>
      </c>
      <c r="I155">
        <v>129.35</v>
      </c>
    </row>
    <row r="156" spans="1:9" hidden="1" x14ac:dyDescent="0.25">
      <c r="A156">
        <v>862</v>
      </c>
      <c r="B156">
        <v>20</v>
      </c>
      <c r="C156" t="s">
        <v>12</v>
      </c>
      <c r="D156">
        <v>79899</v>
      </c>
      <c r="E156">
        <v>64</v>
      </c>
      <c r="F156">
        <v>7</v>
      </c>
      <c r="G156">
        <v>46</v>
      </c>
      <c r="H156" t="s">
        <v>17</v>
      </c>
      <c r="I156">
        <v>129.9</v>
      </c>
    </row>
    <row r="157" spans="1:9" hidden="1" x14ac:dyDescent="0.25">
      <c r="A157">
        <v>607</v>
      </c>
      <c r="B157">
        <v>30</v>
      </c>
      <c r="C157" t="s">
        <v>12</v>
      </c>
      <c r="D157">
        <v>102200</v>
      </c>
      <c r="E157">
        <v>88</v>
      </c>
      <c r="F157">
        <v>5</v>
      </c>
      <c r="G157">
        <v>47</v>
      </c>
      <c r="H157" t="s">
        <v>13</v>
      </c>
      <c r="I157">
        <v>131.84</v>
      </c>
    </row>
    <row r="158" spans="1:9" hidden="1" x14ac:dyDescent="0.25">
      <c r="A158">
        <v>656</v>
      </c>
      <c r="B158">
        <v>33</v>
      </c>
      <c r="C158" t="s">
        <v>45</v>
      </c>
      <c r="D158">
        <v>65142</v>
      </c>
      <c r="E158">
        <v>45</v>
      </c>
      <c r="F158">
        <v>10</v>
      </c>
      <c r="G158">
        <v>42</v>
      </c>
      <c r="H158" t="s">
        <v>17</v>
      </c>
      <c r="I158">
        <v>132.6</v>
      </c>
    </row>
    <row r="159" spans="1:9" hidden="1" x14ac:dyDescent="0.25">
      <c r="A159">
        <v>235</v>
      </c>
      <c r="B159">
        <v>19</v>
      </c>
      <c r="C159" t="s">
        <v>18</v>
      </c>
      <c r="D159">
        <v>41542</v>
      </c>
      <c r="E159">
        <v>21</v>
      </c>
      <c r="F159">
        <v>1</v>
      </c>
      <c r="G159">
        <v>22</v>
      </c>
      <c r="H159" t="s">
        <v>16</v>
      </c>
      <c r="I159">
        <v>132.88</v>
      </c>
    </row>
    <row r="160" spans="1:9" hidden="1" x14ac:dyDescent="0.25">
      <c r="A160">
        <v>484</v>
      </c>
      <c r="B160">
        <v>40</v>
      </c>
      <c r="C160" t="s">
        <v>12</v>
      </c>
      <c r="D160">
        <v>61052</v>
      </c>
      <c r="E160">
        <v>44</v>
      </c>
      <c r="F160">
        <v>4</v>
      </c>
      <c r="G160">
        <v>17</v>
      </c>
      <c r="H160" t="s">
        <v>16</v>
      </c>
      <c r="I160">
        <v>135.19</v>
      </c>
    </row>
    <row r="161" spans="1:9" hidden="1" x14ac:dyDescent="0.25">
      <c r="A161">
        <v>918</v>
      </c>
      <c r="B161">
        <v>36</v>
      </c>
      <c r="C161" t="s">
        <v>18</v>
      </c>
      <c r="D161">
        <v>45458</v>
      </c>
      <c r="E161">
        <v>74</v>
      </c>
      <c r="F161">
        <v>6</v>
      </c>
      <c r="G161">
        <v>19</v>
      </c>
      <c r="H161" t="s">
        <v>16</v>
      </c>
      <c r="I161">
        <v>135.22999999999999</v>
      </c>
    </row>
    <row r="162" spans="1:9" hidden="1" x14ac:dyDescent="0.25">
      <c r="A162">
        <v>923</v>
      </c>
      <c r="B162">
        <v>68</v>
      </c>
      <c r="C162" t="s">
        <v>12</v>
      </c>
      <c r="D162">
        <v>107702</v>
      </c>
      <c r="E162">
        <v>73</v>
      </c>
      <c r="F162">
        <v>4</v>
      </c>
      <c r="G162">
        <v>2</v>
      </c>
      <c r="H162" t="s">
        <v>15</v>
      </c>
      <c r="I162">
        <v>136.03</v>
      </c>
    </row>
    <row r="163" spans="1:9" hidden="1" x14ac:dyDescent="0.25">
      <c r="A163">
        <v>352</v>
      </c>
      <c r="B163">
        <v>47</v>
      </c>
      <c r="C163" t="s">
        <v>18</v>
      </c>
      <c r="D163">
        <v>54571</v>
      </c>
      <c r="E163">
        <v>57</v>
      </c>
      <c r="F163">
        <v>4</v>
      </c>
      <c r="G163">
        <v>2</v>
      </c>
      <c r="H163" t="s">
        <v>14</v>
      </c>
      <c r="I163">
        <v>138.30000000000001</v>
      </c>
    </row>
    <row r="164" spans="1:9" hidden="1" x14ac:dyDescent="0.25">
      <c r="A164">
        <v>122</v>
      </c>
      <c r="B164">
        <v>43</v>
      </c>
      <c r="C164" t="s">
        <v>12</v>
      </c>
      <c r="D164">
        <v>42855</v>
      </c>
      <c r="E164">
        <v>66</v>
      </c>
      <c r="F164">
        <v>6</v>
      </c>
      <c r="G164">
        <v>23</v>
      </c>
      <c r="H164" t="s">
        <v>14</v>
      </c>
      <c r="I164">
        <v>138.51</v>
      </c>
    </row>
    <row r="165" spans="1:9" hidden="1" x14ac:dyDescent="0.25">
      <c r="A165">
        <v>660</v>
      </c>
      <c r="B165">
        <v>54</v>
      </c>
      <c r="C165" t="s">
        <v>18</v>
      </c>
      <c r="D165">
        <v>89035</v>
      </c>
      <c r="E165">
        <v>14</v>
      </c>
      <c r="F165">
        <v>4</v>
      </c>
      <c r="G165">
        <v>11</v>
      </c>
      <c r="H165" t="s">
        <v>15</v>
      </c>
      <c r="I165">
        <v>138.81</v>
      </c>
    </row>
    <row r="166" spans="1:9" hidden="1" x14ac:dyDescent="0.25">
      <c r="A166">
        <v>224</v>
      </c>
      <c r="B166">
        <v>51</v>
      </c>
      <c r="C166" t="s">
        <v>18</v>
      </c>
      <c r="D166">
        <v>33665</v>
      </c>
      <c r="E166">
        <v>12</v>
      </c>
      <c r="F166">
        <v>2</v>
      </c>
      <c r="G166">
        <v>2</v>
      </c>
      <c r="H166" t="s">
        <v>16</v>
      </c>
      <c r="I166">
        <v>139.07</v>
      </c>
    </row>
    <row r="167" spans="1:9" hidden="1" x14ac:dyDescent="0.25">
      <c r="A167">
        <v>310</v>
      </c>
      <c r="B167">
        <v>50</v>
      </c>
      <c r="C167" t="s">
        <v>12</v>
      </c>
      <c r="D167">
        <v>100320</v>
      </c>
      <c r="E167">
        <v>45</v>
      </c>
      <c r="F167">
        <v>7</v>
      </c>
      <c r="G167">
        <v>29</v>
      </c>
      <c r="H167" t="s">
        <v>15</v>
      </c>
      <c r="I167">
        <v>139.38999999999999</v>
      </c>
    </row>
    <row r="168" spans="1:9" hidden="1" x14ac:dyDescent="0.25">
      <c r="A168">
        <v>993</v>
      </c>
      <c r="B168">
        <v>22</v>
      </c>
      <c r="C168" t="s">
        <v>18</v>
      </c>
      <c r="D168">
        <v>125479</v>
      </c>
      <c r="E168">
        <v>57</v>
      </c>
      <c r="F168">
        <v>8</v>
      </c>
      <c r="G168">
        <v>27</v>
      </c>
      <c r="H168" t="s">
        <v>13</v>
      </c>
      <c r="I168">
        <v>139.75</v>
      </c>
    </row>
    <row r="169" spans="1:9" hidden="1" x14ac:dyDescent="0.25">
      <c r="A169">
        <v>895</v>
      </c>
      <c r="B169">
        <v>27</v>
      </c>
      <c r="C169" t="s">
        <v>12</v>
      </c>
      <c r="D169">
        <v>128640</v>
      </c>
      <c r="E169">
        <v>3</v>
      </c>
      <c r="F169">
        <v>5</v>
      </c>
      <c r="G169">
        <v>2</v>
      </c>
      <c r="H169" t="s">
        <v>13</v>
      </c>
      <c r="I169">
        <v>140.52000000000001</v>
      </c>
    </row>
    <row r="170" spans="1:9" hidden="1" x14ac:dyDescent="0.25">
      <c r="A170">
        <v>709</v>
      </c>
      <c r="B170">
        <v>44</v>
      </c>
      <c r="C170" t="s">
        <v>18</v>
      </c>
      <c r="D170">
        <v>118123</v>
      </c>
      <c r="E170">
        <v>40</v>
      </c>
      <c r="F170">
        <v>8</v>
      </c>
      <c r="G170">
        <v>31</v>
      </c>
      <c r="H170" t="s">
        <v>17</v>
      </c>
      <c r="I170">
        <v>140.52000000000001</v>
      </c>
    </row>
    <row r="171" spans="1:9" hidden="1" x14ac:dyDescent="0.25">
      <c r="A171">
        <v>605</v>
      </c>
      <c r="B171">
        <v>18</v>
      </c>
      <c r="C171" t="s">
        <v>18</v>
      </c>
      <c r="D171">
        <v>144275</v>
      </c>
      <c r="E171">
        <v>69</v>
      </c>
      <c r="F171">
        <v>9</v>
      </c>
      <c r="G171">
        <v>27</v>
      </c>
      <c r="H171" t="s">
        <v>14</v>
      </c>
      <c r="I171">
        <v>141.72</v>
      </c>
    </row>
    <row r="172" spans="1:9" hidden="1" x14ac:dyDescent="0.25">
      <c r="A172">
        <v>681</v>
      </c>
      <c r="B172">
        <v>49</v>
      </c>
      <c r="C172" t="s">
        <v>45</v>
      </c>
      <c r="D172">
        <v>115974</v>
      </c>
      <c r="E172">
        <v>95</v>
      </c>
      <c r="F172">
        <v>8</v>
      </c>
      <c r="G172">
        <v>22</v>
      </c>
      <c r="H172" t="s">
        <v>14</v>
      </c>
      <c r="I172">
        <v>143</v>
      </c>
    </row>
    <row r="173" spans="1:9" hidden="1" x14ac:dyDescent="0.25">
      <c r="A173">
        <v>562</v>
      </c>
      <c r="B173">
        <v>18</v>
      </c>
      <c r="C173" t="s">
        <v>12</v>
      </c>
      <c r="D173">
        <v>143235</v>
      </c>
      <c r="E173">
        <v>46</v>
      </c>
      <c r="F173">
        <v>10</v>
      </c>
      <c r="G173">
        <v>31</v>
      </c>
      <c r="H173" t="s">
        <v>16</v>
      </c>
      <c r="I173">
        <v>143.75</v>
      </c>
    </row>
    <row r="174" spans="1:9" hidden="1" x14ac:dyDescent="0.25">
      <c r="A174">
        <v>742</v>
      </c>
      <c r="B174">
        <v>45</v>
      </c>
      <c r="C174" t="s">
        <v>45</v>
      </c>
      <c r="D174">
        <v>30738</v>
      </c>
      <c r="E174">
        <v>38</v>
      </c>
      <c r="F174">
        <v>7</v>
      </c>
      <c r="G174">
        <v>5</v>
      </c>
      <c r="H174" t="s">
        <v>13</v>
      </c>
      <c r="I174">
        <v>144</v>
      </c>
    </row>
    <row r="175" spans="1:9" hidden="1" x14ac:dyDescent="0.25">
      <c r="A175">
        <v>403</v>
      </c>
      <c r="B175">
        <v>40</v>
      </c>
      <c r="C175" t="s">
        <v>45</v>
      </c>
      <c r="D175">
        <v>127948</v>
      </c>
      <c r="E175">
        <v>29</v>
      </c>
      <c r="F175">
        <v>6</v>
      </c>
      <c r="G175">
        <v>26</v>
      </c>
      <c r="H175" t="s">
        <v>16</v>
      </c>
      <c r="I175">
        <v>144.78</v>
      </c>
    </row>
    <row r="176" spans="1:9" hidden="1" x14ac:dyDescent="0.25">
      <c r="A176">
        <v>805</v>
      </c>
      <c r="B176">
        <v>51</v>
      </c>
      <c r="C176" t="s">
        <v>18</v>
      </c>
      <c r="D176">
        <v>97660</v>
      </c>
      <c r="E176">
        <v>3</v>
      </c>
      <c r="F176">
        <v>7</v>
      </c>
      <c r="G176">
        <v>30</v>
      </c>
      <c r="H176" t="s">
        <v>15</v>
      </c>
      <c r="I176">
        <v>145.66</v>
      </c>
    </row>
    <row r="177" spans="1:9" hidden="1" x14ac:dyDescent="0.25">
      <c r="A177">
        <v>558</v>
      </c>
      <c r="B177">
        <v>40</v>
      </c>
      <c r="C177" t="s">
        <v>12</v>
      </c>
      <c r="D177">
        <v>62536</v>
      </c>
      <c r="E177">
        <v>84</v>
      </c>
      <c r="F177">
        <v>4</v>
      </c>
      <c r="G177">
        <v>28</v>
      </c>
      <c r="H177" t="s">
        <v>15</v>
      </c>
      <c r="I177">
        <v>149.07</v>
      </c>
    </row>
    <row r="178" spans="1:9" hidden="1" x14ac:dyDescent="0.25">
      <c r="A178">
        <v>255</v>
      </c>
      <c r="B178">
        <v>27</v>
      </c>
      <c r="C178" t="s">
        <v>45</v>
      </c>
      <c r="D178">
        <v>139589</v>
      </c>
      <c r="E178">
        <v>69</v>
      </c>
      <c r="F178">
        <v>8</v>
      </c>
      <c r="G178">
        <v>22</v>
      </c>
      <c r="H178" t="s">
        <v>17</v>
      </c>
      <c r="I178">
        <v>150.58000000000001</v>
      </c>
    </row>
    <row r="179" spans="1:9" hidden="1" x14ac:dyDescent="0.25">
      <c r="A179">
        <v>949</v>
      </c>
      <c r="B179">
        <v>62</v>
      </c>
      <c r="C179" t="s">
        <v>45</v>
      </c>
      <c r="D179">
        <v>128667</v>
      </c>
      <c r="E179">
        <v>37</v>
      </c>
      <c r="F179">
        <v>5</v>
      </c>
      <c r="G179">
        <v>17</v>
      </c>
      <c r="H179" t="s">
        <v>15</v>
      </c>
      <c r="I179">
        <v>150.62</v>
      </c>
    </row>
    <row r="180" spans="1:9" hidden="1" x14ac:dyDescent="0.25">
      <c r="A180">
        <v>487</v>
      </c>
      <c r="B180">
        <v>22</v>
      </c>
      <c r="C180" t="s">
        <v>18</v>
      </c>
      <c r="D180">
        <v>104781</v>
      </c>
      <c r="E180">
        <v>64</v>
      </c>
      <c r="F180">
        <v>8</v>
      </c>
      <c r="G180">
        <v>38</v>
      </c>
      <c r="H180" t="s">
        <v>13</v>
      </c>
      <c r="I180">
        <v>151.47999999999999</v>
      </c>
    </row>
    <row r="181" spans="1:9" hidden="1" x14ac:dyDescent="0.25">
      <c r="A181">
        <v>858</v>
      </c>
      <c r="B181">
        <v>67</v>
      </c>
      <c r="C181" t="s">
        <v>12</v>
      </c>
      <c r="D181">
        <v>115470</v>
      </c>
      <c r="E181">
        <v>56</v>
      </c>
      <c r="F181">
        <v>4</v>
      </c>
      <c r="G181">
        <v>6</v>
      </c>
      <c r="H181" t="s">
        <v>17</v>
      </c>
      <c r="I181">
        <v>151.74</v>
      </c>
    </row>
    <row r="182" spans="1:9" hidden="1" x14ac:dyDescent="0.25">
      <c r="A182">
        <v>311</v>
      </c>
      <c r="B182">
        <v>53</v>
      </c>
      <c r="C182" t="s">
        <v>12</v>
      </c>
      <c r="D182">
        <v>138922</v>
      </c>
      <c r="E182">
        <v>45</v>
      </c>
      <c r="F182">
        <v>5</v>
      </c>
      <c r="G182">
        <v>22</v>
      </c>
      <c r="H182" t="s">
        <v>14</v>
      </c>
      <c r="I182">
        <v>154.06</v>
      </c>
    </row>
    <row r="183" spans="1:9" hidden="1" x14ac:dyDescent="0.25">
      <c r="A183">
        <v>503</v>
      </c>
      <c r="B183">
        <v>22</v>
      </c>
      <c r="C183" t="s">
        <v>12</v>
      </c>
      <c r="D183">
        <v>75626</v>
      </c>
      <c r="E183">
        <v>52</v>
      </c>
      <c r="F183">
        <v>7</v>
      </c>
      <c r="G183">
        <v>34</v>
      </c>
      <c r="H183" t="s">
        <v>14</v>
      </c>
      <c r="I183">
        <v>154.66999999999999</v>
      </c>
    </row>
    <row r="184" spans="1:9" hidden="1" x14ac:dyDescent="0.25">
      <c r="A184">
        <v>489</v>
      </c>
      <c r="B184">
        <v>26</v>
      </c>
      <c r="C184" t="s">
        <v>18</v>
      </c>
      <c r="D184">
        <v>96845</v>
      </c>
      <c r="E184">
        <v>19</v>
      </c>
      <c r="F184">
        <v>1</v>
      </c>
      <c r="G184">
        <v>5</v>
      </c>
      <c r="H184" t="s">
        <v>13</v>
      </c>
      <c r="I184">
        <v>154.88999999999999</v>
      </c>
    </row>
    <row r="185" spans="1:9" hidden="1" x14ac:dyDescent="0.25">
      <c r="A185">
        <v>221</v>
      </c>
      <c r="B185">
        <v>62</v>
      </c>
      <c r="C185" t="s">
        <v>12</v>
      </c>
      <c r="D185">
        <v>82623</v>
      </c>
      <c r="E185">
        <v>51</v>
      </c>
      <c r="F185">
        <v>8</v>
      </c>
      <c r="G185">
        <v>37</v>
      </c>
      <c r="H185" t="s">
        <v>17</v>
      </c>
      <c r="I185">
        <v>155.13999999999999</v>
      </c>
    </row>
    <row r="186" spans="1:9" hidden="1" x14ac:dyDescent="0.25">
      <c r="A186">
        <v>476</v>
      </c>
      <c r="B186">
        <v>38</v>
      </c>
      <c r="C186" t="s">
        <v>12</v>
      </c>
      <c r="D186">
        <v>144083</v>
      </c>
      <c r="E186">
        <v>23</v>
      </c>
      <c r="F186">
        <v>1</v>
      </c>
      <c r="G186">
        <v>28</v>
      </c>
      <c r="H186" t="s">
        <v>16</v>
      </c>
      <c r="I186">
        <v>158.15</v>
      </c>
    </row>
    <row r="187" spans="1:9" hidden="1" x14ac:dyDescent="0.25">
      <c r="A187">
        <v>423</v>
      </c>
      <c r="B187">
        <v>62</v>
      </c>
      <c r="C187" t="s">
        <v>18</v>
      </c>
      <c r="D187">
        <v>96260</v>
      </c>
      <c r="E187">
        <v>30</v>
      </c>
      <c r="F187">
        <v>6</v>
      </c>
      <c r="G187">
        <v>45</v>
      </c>
      <c r="H187" t="s">
        <v>14</v>
      </c>
      <c r="I187">
        <v>159.13</v>
      </c>
    </row>
    <row r="188" spans="1:9" hidden="1" x14ac:dyDescent="0.25">
      <c r="A188">
        <v>175</v>
      </c>
      <c r="B188">
        <v>33</v>
      </c>
      <c r="C188" t="s">
        <v>18</v>
      </c>
      <c r="D188">
        <v>81766</v>
      </c>
      <c r="E188">
        <v>86</v>
      </c>
      <c r="F188">
        <v>1</v>
      </c>
      <c r="G188">
        <v>16</v>
      </c>
      <c r="H188" t="s">
        <v>15</v>
      </c>
      <c r="I188">
        <v>160.11000000000001</v>
      </c>
    </row>
    <row r="189" spans="1:9" hidden="1" x14ac:dyDescent="0.25">
      <c r="A189">
        <v>43</v>
      </c>
      <c r="B189">
        <v>35</v>
      </c>
      <c r="C189" t="s">
        <v>12</v>
      </c>
      <c r="D189">
        <v>72179</v>
      </c>
      <c r="E189">
        <v>6</v>
      </c>
      <c r="F189">
        <v>6</v>
      </c>
      <c r="G189">
        <v>45</v>
      </c>
      <c r="H189" t="s">
        <v>13</v>
      </c>
      <c r="I189">
        <v>165.18</v>
      </c>
    </row>
    <row r="190" spans="1:9" hidden="1" x14ac:dyDescent="0.25">
      <c r="A190">
        <v>801</v>
      </c>
      <c r="B190">
        <v>61</v>
      </c>
      <c r="C190" t="s">
        <v>45</v>
      </c>
      <c r="D190">
        <v>69791</v>
      </c>
      <c r="E190">
        <v>33</v>
      </c>
      <c r="F190">
        <v>8</v>
      </c>
      <c r="G190">
        <v>1</v>
      </c>
      <c r="H190" t="s">
        <v>15</v>
      </c>
      <c r="I190">
        <v>165.39</v>
      </c>
    </row>
    <row r="191" spans="1:9" hidden="1" x14ac:dyDescent="0.25">
      <c r="A191">
        <v>611</v>
      </c>
      <c r="B191">
        <v>42</v>
      </c>
      <c r="C191" t="s">
        <v>18</v>
      </c>
      <c r="D191">
        <v>63444</v>
      </c>
      <c r="E191">
        <v>72</v>
      </c>
      <c r="F191">
        <v>4</v>
      </c>
      <c r="G191">
        <v>40</v>
      </c>
      <c r="H191" t="s">
        <v>13</v>
      </c>
      <c r="I191">
        <v>166.45</v>
      </c>
    </row>
    <row r="192" spans="1:9" hidden="1" x14ac:dyDescent="0.25">
      <c r="A192">
        <v>285</v>
      </c>
      <c r="B192">
        <v>63</v>
      </c>
      <c r="C192" t="s">
        <v>18</v>
      </c>
      <c r="D192">
        <v>121652</v>
      </c>
      <c r="E192">
        <v>20</v>
      </c>
      <c r="F192">
        <v>1</v>
      </c>
      <c r="G192">
        <v>26</v>
      </c>
      <c r="H192" t="s">
        <v>15</v>
      </c>
      <c r="I192">
        <v>169.58</v>
      </c>
    </row>
    <row r="193" spans="1:9" hidden="1" x14ac:dyDescent="0.25">
      <c r="A193">
        <v>218</v>
      </c>
      <c r="B193">
        <v>55</v>
      </c>
      <c r="C193" t="s">
        <v>18</v>
      </c>
      <c r="D193">
        <v>147024</v>
      </c>
      <c r="E193">
        <v>24</v>
      </c>
      <c r="F193">
        <v>9</v>
      </c>
      <c r="G193">
        <v>16</v>
      </c>
      <c r="H193" t="s">
        <v>14</v>
      </c>
      <c r="I193">
        <v>169.79</v>
      </c>
    </row>
    <row r="194" spans="1:9" hidden="1" x14ac:dyDescent="0.25">
      <c r="A194">
        <v>708</v>
      </c>
      <c r="B194">
        <v>68</v>
      </c>
      <c r="C194" t="s">
        <v>12</v>
      </c>
      <c r="D194">
        <v>47482</v>
      </c>
      <c r="E194">
        <v>100</v>
      </c>
      <c r="F194">
        <v>9</v>
      </c>
      <c r="G194">
        <v>49</v>
      </c>
      <c r="H194" t="s">
        <v>17</v>
      </c>
      <c r="I194">
        <v>170.56</v>
      </c>
    </row>
    <row r="195" spans="1:9" hidden="1" x14ac:dyDescent="0.25">
      <c r="A195">
        <v>443</v>
      </c>
      <c r="B195">
        <v>47</v>
      </c>
      <c r="C195" t="s">
        <v>45</v>
      </c>
      <c r="D195">
        <v>138199</v>
      </c>
      <c r="E195">
        <v>79</v>
      </c>
      <c r="F195">
        <v>10</v>
      </c>
      <c r="G195">
        <v>43</v>
      </c>
      <c r="H195" t="s">
        <v>14</v>
      </c>
      <c r="I195">
        <v>171.38</v>
      </c>
    </row>
    <row r="196" spans="1:9" hidden="1" x14ac:dyDescent="0.25">
      <c r="A196">
        <v>479</v>
      </c>
      <c r="B196">
        <v>58</v>
      </c>
      <c r="C196" t="s">
        <v>18</v>
      </c>
      <c r="D196">
        <v>137836</v>
      </c>
      <c r="E196">
        <v>19</v>
      </c>
      <c r="F196">
        <v>9</v>
      </c>
      <c r="G196">
        <v>21</v>
      </c>
      <c r="H196" t="s">
        <v>14</v>
      </c>
      <c r="I196">
        <v>172.39</v>
      </c>
    </row>
    <row r="197" spans="1:9" hidden="1" x14ac:dyDescent="0.25">
      <c r="A197">
        <v>470</v>
      </c>
      <c r="B197">
        <v>53</v>
      </c>
      <c r="C197" t="s">
        <v>45</v>
      </c>
      <c r="D197">
        <v>139508</v>
      </c>
      <c r="E197">
        <v>92</v>
      </c>
      <c r="F197">
        <v>6</v>
      </c>
      <c r="G197">
        <v>39</v>
      </c>
      <c r="H197" t="s">
        <v>17</v>
      </c>
      <c r="I197">
        <v>172.99</v>
      </c>
    </row>
    <row r="198" spans="1:9" hidden="1" x14ac:dyDescent="0.25">
      <c r="A198">
        <v>481</v>
      </c>
      <c r="B198">
        <v>54</v>
      </c>
      <c r="C198" t="s">
        <v>12</v>
      </c>
      <c r="D198">
        <v>105641</v>
      </c>
      <c r="E198">
        <v>17</v>
      </c>
      <c r="F198">
        <v>9</v>
      </c>
      <c r="G198">
        <v>37</v>
      </c>
      <c r="H198" t="s">
        <v>15</v>
      </c>
      <c r="I198">
        <v>173.81</v>
      </c>
    </row>
    <row r="199" spans="1:9" hidden="1" x14ac:dyDescent="0.25">
      <c r="A199">
        <v>959</v>
      </c>
      <c r="B199">
        <v>38</v>
      </c>
      <c r="C199" t="s">
        <v>18</v>
      </c>
      <c r="D199">
        <v>99054</v>
      </c>
      <c r="E199">
        <v>59</v>
      </c>
      <c r="F199">
        <v>6</v>
      </c>
      <c r="G199">
        <v>4</v>
      </c>
      <c r="H199" t="s">
        <v>16</v>
      </c>
      <c r="I199">
        <v>174.22</v>
      </c>
    </row>
    <row r="200" spans="1:9" hidden="1" x14ac:dyDescent="0.25">
      <c r="A200">
        <v>62</v>
      </c>
      <c r="B200">
        <v>30</v>
      </c>
      <c r="C200" t="s">
        <v>45</v>
      </c>
      <c r="D200">
        <v>89149</v>
      </c>
      <c r="E200">
        <v>87</v>
      </c>
      <c r="F200">
        <v>10</v>
      </c>
      <c r="G200">
        <v>36</v>
      </c>
      <c r="H200" t="s">
        <v>17</v>
      </c>
      <c r="I200">
        <v>174.41</v>
      </c>
    </row>
    <row r="201" spans="1:9" hidden="1" x14ac:dyDescent="0.25">
      <c r="A201">
        <v>582</v>
      </c>
      <c r="B201">
        <v>19</v>
      </c>
      <c r="C201" t="s">
        <v>12</v>
      </c>
      <c r="D201">
        <v>135968</v>
      </c>
      <c r="E201">
        <v>50</v>
      </c>
      <c r="F201">
        <v>4</v>
      </c>
      <c r="G201">
        <v>49</v>
      </c>
      <c r="H201" t="s">
        <v>14</v>
      </c>
      <c r="I201">
        <v>174.43</v>
      </c>
    </row>
    <row r="202" spans="1:9" hidden="1" x14ac:dyDescent="0.25">
      <c r="A202">
        <v>739</v>
      </c>
      <c r="B202">
        <v>61</v>
      </c>
      <c r="C202" t="s">
        <v>12</v>
      </c>
      <c r="D202">
        <v>113380</v>
      </c>
      <c r="E202">
        <v>27</v>
      </c>
      <c r="F202">
        <v>2</v>
      </c>
      <c r="G202">
        <v>17</v>
      </c>
      <c r="H202" t="s">
        <v>14</v>
      </c>
      <c r="I202">
        <v>177.5</v>
      </c>
    </row>
    <row r="203" spans="1:9" hidden="1" x14ac:dyDescent="0.25">
      <c r="A203">
        <v>502</v>
      </c>
      <c r="B203">
        <v>61</v>
      </c>
      <c r="C203" t="s">
        <v>18</v>
      </c>
      <c r="D203">
        <v>41730</v>
      </c>
      <c r="E203">
        <v>2</v>
      </c>
      <c r="F203">
        <v>9</v>
      </c>
      <c r="G203">
        <v>20</v>
      </c>
      <c r="H203" t="s">
        <v>14</v>
      </c>
      <c r="I203">
        <v>177.64</v>
      </c>
    </row>
    <row r="204" spans="1:9" hidden="1" x14ac:dyDescent="0.25">
      <c r="A204">
        <v>480</v>
      </c>
      <c r="B204">
        <v>19</v>
      </c>
      <c r="C204" t="s">
        <v>18</v>
      </c>
      <c r="D204">
        <v>35529</v>
      </c>
      <c r="E204">
        <v>62</v>
      </c>
      <c r="F204">
        <v>4</v>
      </c>
      <c r="G204">
        <v>24</v>
      </c>
      <c r="H204" t="s">
        <v>17</v>
      </c>
      <c r="I204">
        <v>177.69</v>
      </c>
    </row>
    <row r="205" spans="1:9" hidden="1" x14ac:dyDescent="0.25">
      <c r="A205">
        <v>639</v>
      </c>
      <c r="B205">
        <v>68</v>
      </c>
      <c r="C205" t="s">
        <v>12</v>
      </c>
      <c r="D205">
        <v>57700</v>
      </c>
      <c r="E205">
        <v>70</v>
      </c>
      <c r="F205">
        <v>8</v>
      </c>
      <c r="G205">
        <v>46</v>
      </c>
      <c r="H205" t="s">
        <v>16</v>
      </c>
      <c r="I205">
        <v>178.21</v>
      </c>
    </row>
    <row r="206" spans="1:9" hidden="1" x14ac:dyDescent="0.25">
      <c r="A206">
        <v>425</v>
      </c>
      <c r="B206">
        <v>41</v>
      </c>
      <c r="C206" t="s">
        <v>12</v>
      </c>
      <c r="D206">
        <v>67039</v>
      </c>
      <c r="E206">
        <v>100</v>
      </c>
      <c r="F206">
        <v>1</v>
      </c>
      <c r="G206">
        <v>36</v>
      </c>
      <c r="H206" t="s">
        <v>14</v>
      </c>
      <c r="I206">
        <v>178.68</v>
      </c>
    </row>
    <row r="207" spans="1:9" hidden="1" x14ac:dyDescent="0.25">
      <c r="A207">
        <v>137</v>
      </c>
      <c r="B207">
        <v>48</v>
      </c>
      <c r="C207" t="s">
        <v>12</v>
      </c>
      <c r="D207">
        <v>81763</v>
      </c>
      <c r="E207">
        <v>49</v>
      </c>
      <c r="F207">
        <v>6</v>
      </c>
      <c r="G207">
        <v>46</v>
      </c>
      <c r="H207" t="s">
        <v>15</v>
      </c>
      <c r="I207">
        <v>179.25</v>
      </c>
    </row>
    <row r="208" spans="1:9" hidden="1" x14ac:dyDescent="0.25">
      <c r="A208">
        <v>710</v>
      </c>
      <c r="B208">
        <v>43</v>
      </c>
      <c r="C208" t="s">
        <v>18</v>
      </c>
      <c r="D208">
        <v>43545</v>
      </c>
      <c r="E208">
        <v>67</v>
      </c>
      <c r="F208">
        <v>5</v>
      </c>
      <c r="G208">
        <v>41</v>
      </c>
      <c r="H208" t="s">
        <v>14</v>
      </c>
      <c r="I208">
        <v>179.71</v>
      </c>
    </row>
    <row r="209" spans="1:9" hidden="1" x14ac:dyDescent="0.25">
      <c r="A209">
        <v>109</v>
      </c>
      <c r="B209">
        <v>57</v>
      </c>
      <c r="C209" t="s">
        <v>18</v>
      </c>
      <c r="D209">
        <v>81695</v>
      </c>
      <c r="E209">
        <v>90</v>
      </c>
      <c r="F209">
        <v>8</v>
      </c>
      <c r="G209">
        <v>44</v>
      </c>
      <c r="H209" t="s">
        <v>14</v>
      </c>
      <c r="I209">
        <v>179.8</v>
      </c>
    </row>
    <row r="210" spans="1:9" hidden="1" x14ac:dyDescent="0.25">
      <c r="A210">
        <v>515</v>
      </c>
      <c r="B210">
        <v>28</v>
      </c>
      <c r="C210" t="s">
        <v>12</v>
      </c>
      <c r="D210">
        <v>66961</v>
      </c>
      <c r="E210">
        <v>8</v>
      </c>
      <c r="F210">
        <v>10</v>
      </c>
      <c r="G210">
        <v>22</v>
      </c>
      <c r="H210" t="s">
        <v>16</v>
      </c>
      <c r="I210">
        <v>179.82</v>
      </c>
    </row>
    <row r="211" spans="1:9" hidden="1" x14ac:dyDescent="0.25">
      <c r="A211">
        <v>445</v>
      </c>
      <c r="B211">
        <v>62</v>
      </c>
      <c r="C211" t="s">
        <v>18</v>
      </c>
      <c r="D211">
        <v>75974</v>
      </c>
      <c r="E211">
        <v>68</v>
      </c>
      <c r="F211">
        <v>4</v>
      </c>
      <c r="G211">
        <v>46</v>
      </c>
      <c r="H211" t="s">
        <v>16</v>
      </c>
      <c r="I211">
        <v>180.09</v>
      </c>
    </row>
    <row r="212" spans="1:9" hidden="1" x14ac:dyDescent="0.25">
      <c r="A212">
        <v>165</v>
      </c>
      <c r="B212">
        <v>64</v>
      </c>
      <c r="C212" t="s">
        <v>45</v>
      </c>
      <c r="D212">
        <v>96494</v>
      </c>
      <c r="E212">
        <v>10</v>
      </c>
      <c r="F212">
        <v>4</v>
      </c>
      <c r="G212">
        <v>47</v>
      </c>
      <c r="H212" t="s">
        <v>13</v>
      </c>
      <c r="I212">
        <v>184.45</v>
      </c>
    </row>
    <row r="213" spans="1:9" hidden="1" x14ac:dyDescent="0.25">
      <c r="A213">
        <v>286</v>
      </c>
      <c r="B213">
        <v>51</v>
      </c>
      <c r="C213" t="s">
        <v>12</v>
      </c>
      <c r="D213">
        <v>124670</v>
      </c>
      <c r="E213">
        <v>66</v>
      </c>
      <c r="F213">
        <v>2</v>
      </c>
      <c r="G213">
        <v>43</v>
      </c>
      <c r="H213" t="s">
        <v>17</v>
      </c>
      <c r="I213">
        <v>184.8</v>
      </c>
    </row>
    <row r="214" spans="1:9" hidden="1" x14ac:dyDescent="0.25">
      <c r="A214">
        <v>48</v>
      </c>
      <c r="B214">
        <v>48</v>
      </c>
      <c r="C214" t="s">
        <v>12</v>
      </c>
      <c r="D214">
        <v>76317</v>
      </c>
      <c r="E214">
        <v>94</v>
      </c>
      <c r="F214">
        <v>9</v>
      </c>
      <c r="G214">
        <v>3</v>
      </c>
      <c r="H214" t="s">
        <v>14</v>
      </c>
      <c r="I214">
        <v>189.28</v>
      </c>
    </row>
    <row r="215" spans="1:9" hidden="1" x14ac:dyDescent="0.25">
      <c r="A215">
        <v>947</v>
      </c>
      <c r="B215">
        <v>60</v>
      </c>
      <c r="C215" t="s">
        <v>45</v>
      </c>
      <c r="D215">
        <v>111493</v>
      </c>
      <c r="E215">
        <v>40</v>
      </c>
      <c r="F215">
        <v>10</v>
      </c>
      <c r="G215">
        <v>8</v>
      </c>
      <c r="H215" t="s">
        <v>16</v>
      </c>
      <c r="I215">
        <v>190.34</v>
      </c>
    </row>
    <row r="216" spans="1:9" hidden="1" x14ac:dyDescent="0.25">
      <c r="A216">
        <v>94</v>
      </c>
      <c r="B216">
        <v>46</v>
      </c>
      <c r="C216" t="s">
        <v>45</v>
      </c>
      <c r="D216">
        <v>113116</v>
      </c>
      <c r="E216">
        <v>7</v>
      </c>
      <c r="F216">
        <v>10</v>
      </c>
      <c r="G216">
        <v>13</v>
      </c>
      <c r="H216" t="s">
        <v>17</v>
      </c>
      <c r="I216">
        <v>190.55</v>
      </c>
    </row>
    <row r="217" spans="1:9" hidden="1" x14ac:dyDescent="0.25">
      <c r="A217">
        <v>7</v>
      </c>
      <c r="B217">
        <v>19</v>
      </c>
      <c r="C217" t="s">
        <v>45</v>
      </c>
      <c r="D217">
        <v>54319</v>
      </c>
      <c r="E217">
        <v>68</v>
      </c>
      <c r="F217">
        <v>5</v>
      </c>
      <c r="G217">
        <v>43</v>
      </c>
      <c r="H217" t="s">
        <v>17</v>
      </c>
      <c r="I217">
        <v>191.72</v>
      </c>
    </row>
    <row r="218" spans="1:9" hidden="1" x14ac:dyDescent="0.25">
      <c r="A218">
        <v>872</v>
      </c>
      <c r="B218">
        <v>63</v>
      </c>
      <c r="C218" t="s">
        <v>12</v>
      </c>
      <c r="D218">
        <v>33546</v>
      </c>
      <c r="E218">
        <v>18</v>
      </c>
      <c r="F218">
        <v>9</v>
      </c>
      <c r="G218">
        <v>31</v>
      </c>
      <c r="H218" t="s">
        <v>15</v>
      </c>
      <c r="I218">
        <v>191.8</v>
      </c>
    </row>
    <row r="219" spans="1:9" hidden="1" x14ac:dyDescent="0.25">
      <c r="A219">
        <v>29</v>
      </c>
      <c r="B219">
        <v>18</v>
      </c>
      <c r="C219" t="s">
        <v>18</v>
      </c>
      <c r="D219">
        <v>70721</v>
      </c>
      <c r="E219">
        <v>78</v>
      </c>
      <c r="F219">
        <v>7</v>
      </c>
      <c r="G219">
        <v>1</v>
      </c>
      <c r="H219" t="s">
        <v>13</v>
      </c>
      <c r="I219">
        <v>191.9</v>
      </c>
    </row>
    <row r="220" spans="1:9" hidden="1" x14ac:dyDescent="0.25">
      <c r="A220">
        <v>803</v>
      </c>
      <c r="B220">
        <v>64</v>
      </c>
      <c r="C220" t="s">
        <v>12</v>
      </c>
      <c r="D220">
        <v>127745</v>
      </c>
      <c r="E220">
        <v>72</v>
      </c>
      <c r="F220">
        <v>2</v>
      </c>
      <c r="G220">
        <v>11</v>
      </c>
      <c r="H220" t="s">
        <v>16</v>
      </c>
      <c r="I220">
        <v>192.17</v>
      </c>
    </row>
    <row r="221" spans="1:9" hidden="1" x14ac:dyDescent="0.25">
      <c r="A221">
        <v>272</v>
      </c>
      <c r="B221">
        <v>52</v>
      </c>
      <c r="C221" t="s">
        <v>18</v>
      </c>
      <c r="D221">
        <v>104033</v>
      </c>
      <c r="E221">
        <v>6</v>
      </c>
      <c r="F221">
        <v>5</v>
      </c>
      <c r="G221">
        <v>15</v>
      </c>
      <c r="H221" t="s">
        <v>17</v>
      </c>
      <c r="I221">
        <v>192.31</v>
      </c>
    </row>
    <row r="222" spans="1:9" hidden="1" x14ac:dyDescent="0.25">
      <c r="A222">
        <v>537</v>
      </c>
      <c r="B222">
        <v>48</v>
      </c>
      <c r="C222" t="s">
        <v>18</v>
      </c>
      <c r="D222">
        <v>57932</v>
      </c>
      <c r="E222">
        <v>70</v>
      </c>
      <c r="F222">
        <v>9</v>
      </c>
      <c r="G222">
        <v>44</v>
      </c>
      <c r="H222" t="s">
        <v>13</v>
      </c>
      <c r="I222">
        <v>192.46</v>
      </c>
    </row>
    <row r="223" spans="1:9" hidden="1" x14ac:dyDescent="0.25">
      <c r="A223">
        <v>42</v>
      </c>
      <c r="B223">
        <v>52</v>
      </c>
      <c r="C223" t="s">
        <v>12</v>
      </c>
      <c r="D223">
        <v>115529</v>
      </c>
      <c r="E223">
        <v>70</v>
      </c>
      <c r="F223">
        <v>2</v>
      </c>
      <c r="G223">
        <v>34</v>
      </c>
      <c r="H223" t="s">
        <v>17</v>
      </c>
      <c r="I223">
        <v>192.66</v>
      </c>
    </row>
    <row r="224" spans="1:9" hidden="1" x14ac:dyDescent="0.25">
      <c r="A224">
        <v>57</v>
      </c>
      <c r="B224">
        <v>63</v>
      </c>
      <c r="C224" t="s">
        <v>45</v>
      </c>
      <c r="D224">
        <v>49607</v>
      </c>
      <c r="E224">
        <v>7</v>
      </c>
      <c r="F224">
        <v>9</v>
      </c>
      <c r="G224">
        <v>20</v>
      </c>
      <c r="H224" t="s">
        <v>14</v>
      </c>
      <c r="I224">
        <v>195.34</v>
      </c>
    </row>
    <row r="225" spans="1:9" hidden="1" x14ac:dyDescent="0.25">
      <c r="A225">
        <v>783</v>
      </c>
      <c r="B225">
        <v>39</v>
      </c>
      <c r="C225" t="s">
        <v>45</v>
      </c>
      <c r="D225">
        <v>71987</v>
      </c>
      <c r="E225">
        <v>42</v>
      </c>
      <c r="F225">
        <v>5</v>
      </c>
      <c r="G225">
        <v>35</v>
      </c>
      <c r="H225" t="s">
        <v>17</v>
      </c>
      <c r="I225">
        <v>196.61</v>
      </c>
    </row>
    <row r="226" spans="1:9" hidden="1" x14ac:dyDescent="0.25">
      <c r="A226">
        <v>32</v>
      </c>
      <c r="B226">
        <v>60</v>
      </c>
      <c r="C226" t="s">
        <v>18</v>
      </c>
      <c r="D226">
        <v>45733</v>
      </c>
      <c r="E226">
        <v>69</v>
      </c>
      <c r="F226">
        <v>2</v>
      </c>
      <c r="G226">
        <v>18</v>
      </c>
      <c r="H226" t="s">
        <v>14</v>
      </c>
      <c r="I226">
        <v>197.29</v>
      </c>
    </row>
    <row r="227" spans="1:9" hidden="1" x14ac:dyDescent="0.25">
      <c r="A227">
        <v>230</v>
      </c>
      <c r="B227">
        <v>56</v>
      </c>
      <c r="C227" t="s">
        <v>12</v>
      </c>
      <c r="D227">
        <v>31154</v>
      </c>
      <c r="E227">
        <v>40</v>
      </c>
      <c r="F227">
        <v>4</v>
      </c>
      <c r="G227">
        <v>25</v>
      </c>
      <c r="H227" t="s">
        <v>14</v>
      </c>
      <c r="I227">
        <v>197.54</v>
      </c>
    </row>
    <row r="228" spans="1:9" hidden="1" x14ac:dyDescent="0.25">
      <c r="A228">
        <v>544</v>
      </c>
      <c r="B228">
        <v>66</v>
      </c>
      <c r="C228" t="s">
        <v>18</v>
      </c>
      <c r="D228">
        <v>126893</v>
      </c>
      <c r="E228">
        <v>3</v>
      </c>
      <c r="F228">
        <v>1</v>
      </c>
      <c r="G228">
        <v>32</v>
      </c>
      <c r="H228" t="s">
        <v>17</v>
      </c>
      <c r="I228">
        <v>199.17</v>
      </c>
    </row>
    <row r="229" spans="1:9" hidden="1" x14ac:dyDescent="0.25">
      <c r="A229">
        <v>586</v>
      </c>
      <c r="B229">
        <v>62</v>
      </c>
      <c r="C229" t="s">
        <v>45</v>
      </c>
      <c r="D229">
        <v>147903</v>
      </c>
      <c r="E229">
        <v>79</v>
      </c>
      <c r="F229">
        <v>5</v>
      </c>
      <c r="G229">
        <v>22</v>
      </c>
      <c r="H229" t="s">
        <v>14</v>
      </c>
      <c r="I229">
        <v>203.15</v>
      </c>
    </row>
    <row r="230" spans="1:9" hidden="1" x14ac:dyDescent="0.25">
      <c r="A230">
        <v>641</v>
      </c>
      <c r="B230">
        <v>59</v>
      </c>
      <c r="C230" t="s">
        <v>45</v>
      </c>
      <c r="D230">
        <v>141667</v>
      </c>
      <c r="E230">
        <v>28</v>
      </c>
      <c r="F230">
        <v>4</v>
      </c>
      <c r="G230">
        <v>5</v>
      </c>
      <c r="H230" t="s">
        <v>15</v>
      </c>
      <c r="I230">
        <v>204.25</v>
      </c>
    </row>
    <row r="231" spans="1:9" hidden="1" x14ac:dyDescent="0.25">
      <c r="A231">
        <v>231</v>
      </c>
      <c r="B231">
        <v>24</v>
      </c>
      <c r="C231" t="s">
        <v>18</v>
      </c>
      <c r="D231">
        <v>147572</v>
      </c>
      <c r="E231">
        <v>44</v>
      </c>
      <c r="F231">
        <v>7</v>
      </c>
      <c r="G231">
        <v>45</v>
      </c>
      <c r="H231" t="s">
        <v>14</v>
      </c>
      <c r="I231">
        <v>204.27</v>
      </c>
    </row>
    <row r="232" spans="1:9" hidden="1" x14ac:dyDescent="0.25">
      <c r="A232">
        <v>654</v>
      </c>
      <c r="B232">
        <v>48</v>
      </c>
      <c r="C232" t="s">
        <v>12</v>
      </c>
      <c r="D232">
        <v>82356</v>
      </c>
      <c r="E232">
        <v>97</v>
      </c>
      <c r="F232">
        <v>1</v>
      </c>
      <c r="G232">
        <v>35</v>
      </c>
      <c r="H232" t="s">
        <v>15</v>
      </c>
      <c r="I232">
        <v>204.55</v>
      </c>
    </row>
    <row r="233" spans="1:9" hidden="1" x14ac:dyDescent="0.25">
      <c r="A233">
        <v>339</v>
      </c>
      <c r="B233">
        <v>28</v>
      </c>
      <c r="C233" t="s">
        <v>18</v>
      </c>
      <c r="D233">
        <v>111697</v>
      </c>
      <c r="E233">
        <v>92</v>
      </c>
      <c r="F233">
        <v>9</v>
      </c>
      <c r="G233">
        <v>50</v>
      </c>
      <c r="H233" t="s">
        <v>15</v>
      </c>
      <c r="I233">
        <v>205.58</v>
      </c>
    </row>
    <row r="234" spans="1:9" hidden="1" x14ac:dyDescent="0.25">
      <c r="A234">
        <v>902</v>
      </c>
      <c r="B234">
        <v>55</v>
      </c>
      <c r="C234" t="s">
        <v>18</v>
      </c>
      <c r="D234">
        <v>72193</v>
      </c>
      <c r="E234">
        <v>39</v>
      </c>
      <c r="F234">
        <v>2</v>
      </c>
      <c r="G234">
        <v>6</v>
      </c>
      <c r="H234" t="s">
        <v>13</v>
      </c>
      <c r="I234">
        <v>207.44</v>
      </c>
    </row>
    <row r="235" spans="1:9" hidden="1" x14ac:dyDescent="0.25">
      <c r="A235">
        <v>181</v>
      </c>
      <c r="B235">
        <v>49</v>
      </c>
      <c r="C235" t="s">
        <v>12</v>
      </c>
      <c r="D235">
        <v>76202</v>
      </c>
      <c r="E235">
        <v>83</v>
      </c>
      <c r="F235">
        <v>3</v>
      </c>
      <c r="G235">
        <v>6</v>
      </c>
      <c r="H235" t="s">
        <v>16</v>
      </c>
      <c r="I235">
        <v>208.79</v>
      </c>
    </row>
    <row r="236" spans="1:9" hidden="1" x14ac:dyDescent="0.25">
      <c r="A236">
        <v>954</v>
      </c>
      <c r="B236">
        <v>44</v>
      </c>
      <c r="C236" t="s">
        <v>12</v>
      </c>
      <c r="D236">
        <v>123822</v>
      </c>
      <c r="E236">
        <v>20</v>
      </c>
      <c r="F236">
        <v>4</v>
      </c>
      <c r="G236">
        <v>8</v>
      </c>
      <c r="H236" t="s">
        <v>14</v>
      </c>
      <c r="I236">
        <v>209.75</v>
      </c>
    </row>
    <row r="237" spans="1:9" hidden="1" x14ac:dyDescent="0.25">
      <c r="A237">
        <v>91</v>
      </c>
      <c r="B237">
        <v>32</v>
      </c>
      <c r="C237" t="s">
        <v>45</v>
      </c>
      <c r="D237">
        <v>92089</v>
      </c>
      <c r="E237">
        <v>16</v>
      </c>
      <c r="F237">
        <v>1</v>
      </c>
      <c r="G237">
        <v>47</v>
      </c>
      <c r="H237" t="s">
        <v>13</v>
      </c>
      <c r="I237">
        <v>209.86</v>
      </c>
    </row>
    <row r="238" spans="1:9" hidden="1" x14ac:dyDescent="0.25">
      <c r="A238">
        <v>398</v>
      </c>
      <c r="B238">
        <v>48</v>
      </c>
      <c r="C238" t="s">
        <v>12</v>
      </c>
      <c r="D238">
        <v>36282</v>
      </c>
      <c r="E238">
        <v>14</v>
      </c>
      <c r="F238">
        <v>10</v>
      </c>
      <c r="G238">
        <v>3</v>
      </c>
      <c r="H238" t="s">
        <v>15</v>
      </c>
      <c r="I238">
        <v>210.43</v>
      </c>
    </row>
    <row r="239" spans="1:9" hidden="1" x14ac:dyDescent="0.25">
      <c r="A239">
        <v>348</v>
      </c>
      <c r="B239">
        <v>39</v>
      </c>
      <c r="C239" t="s">
        <v>18</v>
      </c>
      <c r="D239">
        <v>136141</v>
      </c>
      <c r="E239">
        <v>58</v>
      </c>
      <c r="F239">
        <v>6</v>
      </c>
      <c r="G239">
        <v>30</v>
      </c>
      <c r="H239" t="s">
        <v>13</v>
      </c>
      <c r="I239">
        <v>211.56</v>
      </c>
    </row>
    <row r="240" spans="1:9" hidden="1" x14ac:dyDescent="0.25">
      <c r="A240">
        <v>374</v>
      </c>
      <c r="B240">
        <v>64</v>
      </c>
      <c r="C240" t="s">
        <v>45</v>
      </c>
      <c r="D240">
        <v>84380</v>
      </c>
      <c r="E240">
        <v>69</v>
      </c>
      <c r="F240">
        <v>10</v>
      </c>
      <c r="G240">
        <v>28</v>
      </c>
      <c r="H240" t="s">
        <v>15</v>
      </c>
      <c r="I240">
        <v>212.08</v>
      </c>
    </row>
    <row r="241" spans="1:9" hidden="1" x14ac:dyDescent="0.25">
      <c r="A241">
        <v>233</v>
      </c>
      <c r="B241">
        <v>41</v>
      </c>
      <c r="C241" t="s">
        <v>18</v>
      </c>
      <c r="D241">
        <v>88312</v>
      </c>
      <c r="E241">
        <v>22</v>
      </c>
      <c r="F241">
        <v>6</v>
      </c>
      <c r="G241">
        <v>31</v>
      </c>
      <c r="H241" t="s">
        <v>16</v>
      </c>
      <c r="I241">
        <v>212.53</v>
      </c>
    </row>
    <row r="242" spans="1:9" hidden="1" x14ac:dyDescent="0.25">
      <c r="A242">
        <v>535</v>
      </c>
      <c r="B242">
        <v>46</v>
      </c>
      <c r="C242" t="s">
        <v>45</v>
      </c>
      <c r="D242">
        <v>61090</v>
      </c>
      <c r="E242">
        <v>3</v>
      </c>
      <c r="F242">
        <v>4</v>
      </c>
      <c r="G242">
        <v>3</v>
      </c>
      <c r="H242" t="s">
        <v>15</v>
      </c>
      <c r="I242">
        <v>213.68</v>
      </c>
    </row>
    <row r="243" spans="1:9" hidden="1" x14ac:dyDescent="0.25">
      <c r="A243">
        <v>756</v>
      </c>
      <c r="B243">
        <v>30</v>
      </c>
      <c r="C243" t="s">
        <v>18</v>
      </c>
      <c r="D243">
        <v>111050</v>
      </c>
      <c r="E243">
        <v>61</v>
      </c>
      <c r="F243">
        <v>10</v>
      </c>
      <c r="G243">
        <v>32</v>
      </c>
      <c r="H243" t="s">
        <v>14</v>
      </c>
      <c r="I243">
        <v>213.88</v>
      </c>
    </row>
    <row r="244" spans="1:9" hidden="1" x14ac:dyDescent="0.25">
      <c r="A244">
        <v>46</v>
      </c>
      <c r="B244">
        <v>49</v>
      </c>
      <c r="C244" t="s">
        <v>45</v>
      </c>
      <c r="D244">
        <v>94531</v>
      </c>
      <c r="E244">
        <v>28</v>
      </c>
      <c r="F244">
        <v>5</v>
      </c>
      <c r="G244">
        <v>42</v>
      </c>
      <c r="H244" t="s">
        <v>17</v>
      </c>
      <c r="I244">
        <v>214.93</v>
      </c>
    </row>
    <row r="245" spans="1:9" hidden="1" x14ac:dyDescent="0.25">
      <c r="A245">
        <v>152</v>
      </c>
      <c r="B245">
        <v>45</v>
      </c>
      <c r="C245" t="s">
        <v>18</v>
      </c>
      <c r="D245">
        <v>79721</v>
      </c>
      <c r="E245">
        <v>20</v>
      </c>
      <c r="F245">
        <v>1</v>
      </c>
      <c r="G245">
        <v>1</v>
      </c>
      <c r="H245" t="s">
        <v>13</v>
      </c>
      <c r="I245">
        <v>215.41</v>
      </c>
    </row>
    <row r="246" spans="1:9" hidden="1" x14ac:dyDescent="0.25">
      <c r="A246">
        <v>580</v>
      </c>
      <c r="B246">
        <v>51</v>
      </c>
      <c r="C246" t="s">
        <v>18</v>
      </c>
      <c r="D246">
        <v>149744</v>
      </c>
      <c r="E246">
        <v>99</v>
      </c>
      <c r="F246">
        <v>1</v>
      </c>
      <c r="G246">
        <v>12</v>
      </c>
      <c r="H246" t="s">
        <v>16</v>
      </c>
      <c r="I246">
        <v>215.92</v>
      </c>
    </row>
    <row r="247" spans="1:9" hidden="1" x14ac:dyDescent="0.25">
      <c r="A247">
        <v>212</v>
      </c>
      <c r="B247">
        <v>18</v>
      </c>
      <c r="C247" t="s">
        <v>45</v>
      </c>
      <c r="D247">
        <v>54421</v>
      </c>
      <c r="E247">
        <v>20</v>
      </c>
      <c r="F247">
        <v>1</v>
      </c>
      <c r="G247">
        <v>41</v>
      </c>
      <c r="H247" t="s">
        <v>13</v>
      </c>
      <c r="I247">
        <v>215.95</v>
      </c>
    </row>
    <row r="248" spans="1:9" hidden="1" x14ac:dyDescent="0.25">
      <c r="A248">
        <v>474</v>
      </c>
      <c r="B248">
        <v>54</v>
      </c>
      <c r="C248" t="s">
        <v>18</v>
      </c>
      <c r="D248">
        <v>111261</v>
      </c>
      <c r="E248">
        <v>56</v>
      </c>
      <c r="F248">
        <v>1</v>
      </c>
      <c r="G248">
        <v>44</v>
      </c>
      <c r="H248" t="s">
        <v>16</v>
      </c>
      <c r="I248">
        <v>216.09</v>
      </c>
    </row>
    <row r="249" spans="1:9" hidden="1" x14ac:dyDescent="0.25">
      <c r="A249">
        <v>697</v>
      </c>
      <c r="B249">
        <v>36</v>
      </c>
      <c r="C249" t="s">
        <v>18</v>
      </c>
      <c r="D249">
        <v>114281</v>
      </c>
      <c r="E249">
        <v>99</v>
      </c>
      <c r="F249">
        <v>7</v>
      </c>
      <c r="G249">
        <v>6</v>
      </c>
      <c r="H249" t="s">
        <v>15</v>
      </c>
      <c r="I249">
        <v>217.78</v>
      </c>
    </row>
    <row r="250" spans="1:9" hidden="1" x14ac:dyDescent="0.25">
      <c r="A250">
        <v>368</v>
      </c>
      <c r="B250">
        <v>53</v>
      </c>
      <c r="C250" t="s">
        <v>18</v>
      </c>
      <c r="D250">
        <v>130474</v>
      </c>
      <c r="E250">
        <v>74</v>
      </c>
      <c r="F250">
        <v>10</v>
      </c>
      <c r="G250">
        <v>39</v>
      </c>
      <c r="H250" t="s">
        <v>13</v>
      </c>
      <c r="I250">
        <v>217.92</v>
      </c>
    </row>
    <row r="251" spans="1:9" hidden="1" x14ac:dyDescent="0.25">
      <c r="A251">
        <v>177</v>
      </c>
      <c r="B251">
        <v>65</v>
      </c>
      <c r="C251" t="s">
        <v>45</v>
      </c>
      <c r="D251">
        <v>123680</v>
      </c>
      <c r="E251">
        <v>30</v>
      </c>
      <c r="F251">
        <v>2</v>
      </c>
      <c r="G251">
        <v>35</v>
      </c>
      <c r="H251" t="s">
        <v>14</v>
      </c>
      <c r="I251">
        <v>218.74</v>
      </c>
    </row>
    <row r="252" spans="1:9" hidden="1" x14ac:dyDescent="0.25">
      <c r="A252">
        <v>655</v>
      </c>
      <c r="B252">
        <v>45</v>
      </c>
      <c r="C252" t="s">
        <v>45</v>
      </c>
      <c r="D252">
        <v>47989</v>
      </c>
      <c r="E252">
        <v>70</v>
      </c>
      <c r="F252">
        <v>6</v>
      </c>
      <c r="G252">
        <v>9</v>
      </c>
      <c r="H252" t="s">
        <v>16</v>
      </c>
      <c r="I252">
        <v>218.77</v>
      </c>
    </row>
    <row r="253" spans="1:9" hidden="1" x14ac:dyDescent="0.25">
      <c r="A253">
        <v>707</v>
      </c>
      <c r="B253">
        <v>47</v>
      </c>
      <c r="C253" t="s">
        <v>18</v>
      </c>
      <c r="D253">
        <v>128439</v>
      </c>
      <c r="E253">
        <v>42</v>
      </c>
      <c r="F253">
        <v>5</v>
      </c>
      <c r="G253">
        <v>22</v>
      </c>
      <c r="H253" t="s">
        <v>15</v>
      </c>
      <c r="I253">
        <v>219.02</v>
      </c>
    </row>
    <row r="254" spans="1:9" hidden="1" x14ac:dyDescent="0.25">
      <c r="A254">
        <v>442</v>
      </c>
      <c r="B254">
        <v>26</v>
      </c>
      <c r="C254" t="s">
        <v>18</v>
      </c>
      <c r="D254">
        <v>84460</v>
      </c>
      <c r="E254">
        <v>45</v>
      </c>
      <c r="F254">
        <v>1</v>
      </c>
      <c r="G254">
        <v>33</v>
      </c>
      <c r="H254" t="s">
        <v>17</v>
      </c>
      <c r="I254">
        <v>219.67</v>
      </c>
    </row>
    <row r="255" spans="1:9" hidden="1" x14ac:dyDescent="0.25">
      <c r="A255">
        <v>14</v>
      </c>
      <c r="B255">
        <v>64</v>
      </c>
      <c r="C255" t="s">
        <v>45</v>
      </c>
      <c r="D255">
        <v>33018</v>
      </c>
      <c r="E255">
        <v>46</v>
      </c>
      <c r="F255">
        <v>4</v>
      </c>
      <c r="G255">
        <v>3</v>
      </c>
      <c r="H255" t="s">
        <v>15</v>
      </c>
      <c r="I255">
        <v>221.35</v>
      </c>
    </row>
    <row r="256" spans="1:9" hidden="1" x14ac:dyDescent="0.25">
      <c r="A256">
        <v>555</v>
      </c>
      <c r="B256">
        <v>66</v>
      </c>
      <c r="C256" t="s">
        <v>45</v>
      </c>
      <c r="D256">
        <v>53345</v>
      </c>
      <c r="E256">
        <v>100</v>
      </c>
      <c r="F256">
        <v>4</v>
      </c>
      <c r="G256">
        <v>22</v>
      </c>
      <c r="H256" t="s">
        <v>15</v>
      </c>
      <c r="I256">
        <v>221.75</v>
      </c>
    </row>
    <row r="257" spans="1:9" hidden="1" x14ac:dyDescent="0.25">
      <c r="A257">
        <v>183</v>
      </c>
      <c r="B257">
        <v>43</v>
      </c>
      <c r="C257" t="s">
        <v>18</v>
      </c>
      <c r="D257">
        <v>32512</v>
      </c>
      <c r="E257">
        <v>95</v>
      </c>
      <c r="F257">
        <v>4</v>
      </c>
      <c r="G257">
        <v>49</v>
      </c>
      <c r="H257" t="s">
        <v>13</v>
      </c>
      <c r="I257">
        <v>223.39</v>
      </c>
    </row>
    <row r="258" spans="1:9" hidden="1" x14ac:dyDescent="0.25">
      <c r="A258">
        <v>251</v>
      </c>
      <c r="B258">
        <v>43</v>
      </c>
      <c r="C258" t="s">
        <v>12</v>
      </c>
      <c r="D258">
        <v>89688</v>
      </c>
      <c r="E258">
        <v>27</v>
      </c>
      <c r="F258">
        <v>10</v>
      </c>
      <c r="G258">
        <v>30</v>
      </c>
      <c r="H258" t="s">
        <v>14</v>
      </c>
      <c r="I258">
        <v>223.64</v>
      </c>
    </row>
    <row r="259" spans="1:9" hidden="1" x14ac:dyDescent="0.25">
      <c r="A259">
        <v>788</v>
      </c>
      <c r="B259">
        <v>33</v>
      </c>
      <c r="C259" t="s">
        <v>12</v>
      </c>
      <c r="D259">
        <v>38558</v>
      </c>
      <c r="E259">
        <v>71</v>
      </c>
      <c r="F259">
        <v>8</v>
      </c>
      <c r="G259">
        <v>22</v>
      </c>
      <c r="H259" t="s">
        <v>13</v>
      </c>
      <c r="I259">
        <v>223.73</v>
      </c>
    </row>
    <row r="260" spans="1:9" hidden="1" x14ac:dyDescent="0.25">
      <c r="A260">
        <v>284</v>
      </c>
      <c r="B260">
        <v>43</v>
      </c>
      <c r="C260" t="s">
        <v>12</v>
      </c>
      <c r="D260">
        <v>77006</v>
      </c>
      <c r="E260">
        <v>27</v>
      </c>
      <c r="F260">
        <v>3</v>
      </c>
      <c r="G260">
        <v>36</v>
      </c>
      <c r="H260" t="s">
        <v>14</v>
      </c>
      <c r="I260">
        <v>223.98</v>
      </c>
    </row>
    <row r="261" spans="1:9" hidden="1" x14ac:dyDescent="0.25">
      <c r="A261">
        <v>61</v>
      </c>
      <c r="B261">
        <v>23</v>
      </c>
      <c r="C261" t="s">
        <v>12</v>
      </c>
      <c r="D261">
        <v>69133</v>
      </c>
      <c r="E261">
        <v>14</v>
      </c>
      <c r="F261">
        <v>6</v>
      </c>
      <c r="G261">
        <v>7</v>
      </c>
      <c r="H261" t="s">
        <v>16</v>
      </c>
      <c r="I261">
        <v>224.86</v>
      </c>
    </row>
    <row r="262" spans="1:9" hidden="1" x14ac:dyDescent="0.25">
      <c r="A262">
        <v>16</v>
      </c>
      <c r="B262">
        <v>53</v>
      </c>
      <c r="C262" t="s">
        <v>12</v>
      </c>
      <c r="D262">
        <v>129284</v>
      </c>
      <c r="E262">
        <v>17</v>
      </c>
      <c r="F262">
        <v>6</v>
      </c>
      <c r="G262">
        <v>26</v>
      </c>
      <c r="H262" t="s">
        <v>17</v>
      </c>
      <c r="I262">
        <v>225.4</v>
      </c>
    </row>
    <row r="263" spans="1:9" hidden="1" x14ac:dyDescent="0.25">
      <c r="A263">
        <v>163</v>
      </c>
      <c r="B263">
        <v>45</v>
      </c>
      <c r="C263" t="s">
        <v>12</v>
      </c>
      <c r="D263">
        <v>76259</v>
      </c>
      <c r="E263">
        <v>72</v>
      </c>
      <c r="F263">
        <v>5</v>
      </c>
      <c r="G263">
        <v>41</v>
      </c>
      <c r="H263" t="s">
        <v>15</v>
      </c>
      <c r="I263">
        <v>228.88</v>
      </c>
    </row>
    <row r="264" spans="1:9" hidden="1" x14ac:dyDescent="0.25">
      <c r="A264">
        <v>93</v>
      </c>
      <c r="B264">
        <v>65</v>
      </c>
      <c r="C264" t="s">
        <v>12</v>
      </c>
      <c r="D264">
        <v>62792</v>
      </c>
      <c r="E264">
        <v>83</v>
      </c>
      <c r="F264">
        <v>8</v>
      </c>
      <c r="G264">
        <v>11</v>
      </c>
      <c r="H264" t="s">
        <v>14</v>
      </c>
      <c r="I264">
        <v>230.58</v>
      </c>
    </row>
    <row r="265" spans="1:9" hidden="1" x14ac:dyDescent="0.25">
      <c r="A265">
        <v>819</v>
      </c>
      <c r="B265">
        <v>46</v>
      </c>
      <c r="C265" t="s">
        <v>45</v>
      </c>
      <c r="D265">
        <v>58692</v>
      </c>
      <c r="E265">
        <v>2</v>
      </c>
      <c r="F265">
        <v>9</v>
      </c>
      <c r="G265">
        <v>22</v>
      </c>
      <c r="H265" t="s">
        <v>13</v>
      </c>
      <c r="I265">
        <v>230.66</v>
      </c>
    </row>
    <row r="266" spans="1:9" hidden="1" x14ac:dyDescent="0.25">
      <c r="A266">
        <v>961</v>
      </c>
      <c r="B266">
        <v>23</v>
      </c>
      <c r="C266" t="s">
        <v>18</v>
      </c>
      <c r="D266">
        <v>60808</v>
      </c>
      <c r="E266">
        <v>96</v>
      </c>
      <c r="F266">
        <v>2</v>
      </c>
      <c r="G266">
        <v>12</v>
      </c>
      <c r="H266" t="s">
        <v>13</v>
      </c>
      <c r="I266">
        <v>231.03</v>
      </c>
    </row>
    <row r="267" spans="1:9" hidden="1" x14ac:dyDescent="0.25">
      <c r="A267">
        <v>653</v>
      </c>
      <c r="B267">
        <v>41</v>
      </c>
      <c r="C267" t="s">
        <v>12</v>
      </c>
      <c r="D267">
        <v>140959</v>
      </c>
      <c r="E267">
        <v>35</v>
      </c>
      <c r="F267">
        <v>7</v>
      </c>
      <c r="G267">
        <v>14</v>
      </c>
      <c r="H267" t="s">
        <v>13</v>
      </c>
      <c r="I267">
        <v>232.42</v>
      </c>
    </row>
    <row r="268" spans="1:9" hidden="1" x14ac:dyDescent="0.25">
      <c r="A268">
        <v>404</v>
      </c>
      <c r="B268">
        <v>36</v>
      </c>
      <c r="C268" t="s">
        <v>12</v>
      </c>
      <c r="D268">
        <v>30121</v>
      </c>
      <c r="E268">
        <v>39</v>
      </c>
      <c r="F268">
        <v>10</v>
      </c>
      <c r="G268">
        <v>16</v>
      </c>
      <c r="H268" t="s">
        <v>16</v>
      </c>
      <c r="I268">
        <v>233.08</v>
      </c>
    </row>
    <row r="269" spans="1:9" hidden="1" x14ac:dyDescent="0.25">
      <c r="A269">
        <v>717</v>
      </c>
      <c r="B269">
        <v>47</v>
      </c>
      <c r="C269" t="s">
        <v>12</v>
      </c>
      <c r="D269">
        <v>136278</v>
      </c>
      <c r="E269">
        <v>76</v>
      </c>
      <c r="F269">
        <v>10</v>
      </c>
      <c r="G269">
        <v>48</v>
      </c>
      <c r="H269" t="s">
        <v>17</v>
      </c>
      <c r="I269">
        <v>233.64</v>
      </c>
    </row>
    <row r="270" spans="1:9" hidden="1" x14ac:dyDescent="0.25">
      <c r="A270">
        <v>775</v>
      </c>
      <c r="B270">
        <v>24</v>
      </c>
      <c r="C270" t="s">
        <v>12</v>
      </c>
      <c r="D270">
        <v>51225</v>
      </c>
      <c r="E270">
        <v>21</v>
      </c>
      <c r="F270">
        <v>6</v>
      </c>
      <c r="G270">
        <v>31</v>
      </c>
      <c r="H270" t="s">
        <v>15</v>
      </c>
      <c r="I270">
        <v>235.64</v>
      </c>
    </row>
    <row r="271" spans="1:9" hidden="1" x14ac:dyDescent="0.25">
      <c r="A271">
        <v>915</v>
      </c>
      <c r="B271">
        <v>18</v>
      </c>
      <c r="C271" t="s">
        <v>45</v>
      </c>
      <c r="D271">
        <v>69502</v>
      </c>
      <c r="E271">
        <v>83</v>
      </c>
      <c r="F271">
        <v>6</v>
      </c>
      <c r="G271">
        <v>32</v>
      </c>
      <c r="H271" t="s">
        <v>15</v>
      </c>
      <c r="I271">
        <v>236.83</v>
      </c>
    </row>
    <row r="272" spans="1:9" hidden="1" x14ac:dyDescent="0.25">
      <c r="A272">
        <v>604</v>
      </c>
      <c r="B272">
        <v>47</v>
      </c>
      <c r="C272" t="s">
        <v>12</v>
      </c>
      <c r="D272">
        <v>64592</v>
      </c>
      <c r="E272">
        <v>25</v>
      </c>
      <c r="F272">
        <v>4</v>
      </c>
      <c r="G272">
        <v>12</v>
      </c>
      <c r="H272" t="s">
        <v>13</v>
      </c>
      <c r="I272">
        <v>237.34</v>
      </c>
    </row>
    <row r="273" spans="1:9" hidden="1" x14ac:dyDescent="0.25">
      <c r="A273">
        <v>453</v>
      </c>
      <c r="B273">
        <v>30</v>
      </c>
      <c r="C273" t="s">
        <v>12</v>
      </c>
      <c r="D273">
        <v>35565</v>
      </c>
      <c r="E273">
        <v>83</v>
      </c>
      <c r="F273">
        <v>8</v>
      </c>
      <c r="G273">
        <v>17</v>
      </c>
      <c r="H273" t="s">
        <v>14</v>
      </c>
      <c r="I273">
        <v>238.79</v>
      </c>
    </row>
    <row r="274" spans="1:9" hidden="1" x14ac:dyDescent="0.25">
      <c r="A274">
        <v>225</v>
      </c>
      <c r="B274">
        <v>54</v>
      </c>
      <c r="C274" t="s">
        <v>18</v>
      </c>
      <c r="D274">
        <v>92156</v>
      </c>
      <c r="E274">
        <v>18</v>
      </c>
      <c r="F274">
        <v>7</v>
      </c>
      <c r="G274">
        <v>14</v>
      </c>
      <c r="H274" t="s">
        <v>14</v>
      </c>
      <c r="I274">
        <v>238.87</v>
      </c>
    </row>
    <row r="275" spans="1:9" hidden="1" x14ac:dyDescent="0.25">
      <c r="A275">
        <v>344</v>
      </c>
      <c r="B275">
        <v>41</v>
      </c>
      <c r="C275" t="s">
        <v>12</v>
      </c>
      <c r="D275">
        <v>136928</v>
      </c>
      <c r="E275">
        <v>42</v>
      </c>
      <c r="F275">
        <v>5</v>
      </c>
      <c r="G275">
        <v>33</v>
      </c>
      <c r="H275" t="s">
        <v>13</v>
      </c>
      <c r="I275">
        <v>239.72</v>
      </c>
    </row>
    <row r="276" spans="1:9" hidden="1" x14ac:dyDescent="0.25">
      <c r="A276">
        <v>504</v>
      </c>
      <c r="B276">
        <v>18</v>
      </c>
      <c r="C276" t="s">
        <v>45</v>
      </c>
      <c r="D276">
        <v>142641</v>
      </c>
      <c r="E276">
        <v>40</v>
      </c>
      <c r="F276">
        <v>7</v>
      </c>
      <c r="G276">
        <v>31</v>
      </c>
      <c r="H276" t="s">
        <v>14</v>
      </c>
      <c r="I276">
        <v>240.64</v>
      </c>
    </row>
    <row r="277" spans="1:9" hidden="1" x14ac:dyDescent="0.25">
      <c r="A277">
        <v>924</v>
      </c>
      <c r="B277">
        <v>20</v>
      </c>
      <c r="C277" t="s">
        <v>12</v>
      </c>
      <c r="D277">
        <v>88778</v>
      </c>
      <c r="E277">
        <v>56</v>
      </c>
      <c r="F277">
        <v>2</v>
      </c>
      <c r="G277">
        <v>28</v>
      </c>
      <c r="H277" t="s">
        <v>16</v>
      </c>
      <c r="I277">
        <v>240.93</v>
      </c>
    </row>
    <row r="278" spans="1:9" hidden="1" x14ac:dyDescent="0.25">
      <c r="A278">
        <v>869</v>
      </c>
      <c r="B278">
        <v>49</v>
      </c>
      <c r="C278" t="s">
        <v>18</v>
      </c>
      <c r="D278">
        <v>61376</v>
      </c>
      <c r="E278">
        <v>47</v>
      </c>
      <c r="F278">
        <v>5</v>
      </c>
      <c r="G278">
        <v>16</v>
      </c>
      <c r="H278" t="s">
        <v>13</v>
      </c>
      <c r="I278">
        <v>241.25</v>
      </c>
    </row>
    <row r="279" spans="1:9" hidden="1" x14ac:dyDescent="0.25">
      <c r="A279">
        <v>101</v>
      </c>
      <c r="B279">
        <v>40</v>
      </c>
      <c r="C279" t="s">
        <v>18</v>
      </c>
      <c r="D279">
        <v>115569</v>
      </c>
      <c r="E279">
        <v>1</v>
      </c>
      <c r="F279">
        <v>2</v>
      </c>
      <c r="G279">
        <v>5</v>
      </c>
      <c r="H279" t="s">
        <v>16</v>
      </c>
      <c r="I279">
        <v>241.91</v>
      </c>
    </row>
    <row r="280" spans="1:9" hidden="1" x14ac:dyDescent="0.25">
      <c r="A280">
        <v>884</v>
      </c>
      <c r="B280">
        <v>50</v>
      </c>
      <c r="C280" t="s">
        <v>18</v>
      </c>
      <c r="D280">
        <v>59695</v>
      </c>
      <c r="E280">
        <v>70</v>
      </c>
      <c r="F280">
        <v>5</v>
      </c>
      <c r="G280">
        <v>6</v>
      </c>
      <c r="H280" t="s">
        <v>17</v>
      </c>
      <c r="I280">
        <v>241.99</v>
      </c>
    </row>
    <row r="281" spans="1:9" hidden="1" x14ac:dyDescent="0.25">
      <c r="A281">
        <v>247</v>
      </c>
      <c r="B281">
        <v>54</v>
      </c>
      <c r="C281" t="s">
        <v>45</v>
      </c>
      <c r="D281">
        <v>48896</v>
      </c>
      <c r="E281">
        <v>28</v>
      </c>
      <c r="F281">
        <v>9</v>
      </c>
      <c r="G281">
        <v>25</v>
      </c>
      <c r="H281" t="s">
        <v>15</v>
      </c>
      <c r="I281">
        <v>244.79</v>
      </c>
    </row>
    <row r="282" spans="1:9" hidden="1" x14ac:dyDescent="0.25">
      <c r="A282">
        <v>804</v>
      </c>
      <c r="B282">
        <v>59</v>
      </c>
      <c r="C282" t="s">
        <v>18</v>
      </c>
      <c r="D282">
        <v>58656</v>
      </c>
      <c r="E282">
        <v>47</v>
      </c>
      <c r="F282">
        <v>6</v>
      </c>
      <c r="G282">
        <v>6</v>
      </c>
      <c r="H282" t="s">
        <v>16</v>
      </c>
      <c r="I282">
        <v>246.07</v>
      </c>
    </row>
    <row r="283" spans="1:9" hidden="1" x14ac:dyDescent="0.25">
      <c r="A283">
        <v>878</v>
      </c>
      <c r="B283">
        <v>45</v>
      </c>
      <c r="C283" t="s">
        <v>18</v>
      </c>
      <c r="D283">
        <v>51646</v>
      </c>
      <c r="E283">
        <v>61</v>
      </c>
      <c r="F283">
        <v>5</v>
      </c>
      <c r="G283">
        <v>41</v>
      </c>
      <c r="H283" t="s">
        <v>13</v>
      </c>
      <c r="I283">
        <v>246.41</v>
      </c>
    </row>
    <row r="284" spans="1:9" hidden="1" x14ac:dyDescent="0.25">
      <c r="A284">
        <v>383</v>
      </c>
      <c r="B284">
        <v>65</v>
      </c>
      <c r="C284" t="s">
        <v>12</v>
      </c>
      <c r="D284">
        <v>124796</v>
      </c>
      <c r="E284">
        <v>4</v>
      </c>
      <c r="F284">
        <v>5</v>
      </c>
      <c r="G284">
        <v>38</v>
      </c>
      <c r="H284" t="s">
        <v>15</v>
      </c>
      <c r="I284">
        <v>247.96</v>
      </c>
    </row>
    <row r="285" spans="1:9" hidden="1" x14ac:dyDescent="0.25">
      <c r="A285">
        <v>635</v>
      </c>
      <c r="B285">
        <v>23</v>
      </c>
      <c r="C285" t="s">
        <v>18</v>
      </c>
      <c r="D285">
        <v>122669</v>
      </c>
      <c r="E285">
        <v>15</v>
      </c>
      <c r="F285">
        <v>3</v>
      </c>
      <c r="G285">
        <v>4</v>
      </c>
      <c r="H285" t="s">
        <v>14</v>
      </c>
      <c r="I285">
        <v>248.68</v>
      </c>
    </row>
    <row r="286" spans="1:9" hidden="1" x14ac:dyDescent="0.25">
      <c r="A286">
        <v>334</v>
      </c>
      <c r="B286">
        <v>58</v>
      </c>
      <c r="C286" t="s">
        <v>45</v>
      </c>
      <c r="D286">
        <v>99475</v>
      </c>
      <c r="E286">
        <v>27</v>
      </c>
      <c r="F286">
        <v>9</v>
      </c>
      <c r="G286">
        <v>9</v>
      </c>
      <c r="H286" t="s">
        <v>16</v>
      </c>
      <c r="I286">
        <v>249.39</v>
      </c>
    </row>
    <row r="287" spans="1:9" hidden="1" x14ac:dyDescent="0.25">
      <c r="A287">
        <v>688</v>
      </c>
      <c r="B287">
        <v>30</v>
      </c>
      <c r="C287" t="s">
        <v>12</v>
      </c>
      <c r="D287">
        <v>94970</v>
      </c>
      <c r="E287">
        <v>15</v>
      </c>
      <c r="F287">
        <v>4</v>
      </c>
      <c r="G287">
        <v>11</v>
      </c>
      <c r="H287" t="s">
        <v>15</v>
      </c>
      <c r="I287">
        <v>250.07</v>
      </c>
    </row>
    <row r="288" spans="1:9" hidden="1" x14ac:dyDescent="0.25">
      <c r="A288">
        <v>603</v>
      </c>
      <c r="B288">
        <v>33</v>
      </c>
      <c r="C288" t="s">
        <v>18</v>
      </c>
      <c r="D288">
        <v>53219</v>
      </c>
      <c r="E288">
        <v>33</v>
      </c>
      <c r="F288">
        <v>4</v>
      </c>
      <c r="G288">
        <v>47</v>
      </c>
      <c r="H288" t="s">
        <v>17</v>
      </c>
      <c r="I288">
        <v>251.23</v>
      </c>
    </row>
    <row r="289" spans="1:9" hidden="1" x14ac:dyDescent="0.25">
      <c r="A289">
        <v>978</v>
      </c>
      <c r="B289">
        <v>45</v>
      </c>
      <c r="C289" t="s">
        <v>18</v>
      </c>
      <c r="D289">
        <v>91381</v>
      </c>
      <c r="E289">
        <v>48</v>
      </c>
      <c r="F289">
        <v>8</v>
      </c>
      <c r="G289">
        <v>16</v>
      </c>
      <c r="H289" t="s">
        <v>15</v>
      </c>
      <c r="I289">
        <v>253.13</v>
      </c>
    </row>
    <row r="290" spans="1:9" hidden="1" x14ac:dyDescent="0.25">
      <c r="A290">
        <v>357</v>
      </c>
      <c r="B290">
        <v>49</v>
      </c>
      <c r="C290" t="s">
        <v>45</v>
      </c>
      <c r="D290">
        <v>103191</v>
      </c>
      <c r="E290">
        <v>34</v>
      </c>
      <c r="F290">
        <v>5</v>
      </c>
      <c r="G290">
        <v>41</v>
      </c>
      <c r="H290" t="s">
        <v>17</v>
      </c>
      <c r="I290">
        <v>253.63</v>
      </c>
    </row>
    <row r="291" spans="1:9" hidden="1" x14ac:dyDescent="0.25">
      <c r="A291">
        <v>785</v>
      </c>
      <c r="B291">
        <v>45</v>
      </c>
      <c r="C291" t="s">
        <v>18</v>
      </c>
      <c r="D291">
        <v>88366</v>
      </c>
      <c r="E291">
        <v>22</v>
      </c>
      <c r="F291">
        <v>10</v>
      </c>
      <c r="G291">
        <v>24</v>
      </c>
      <c r="H291" t="s">
        <v>14</v>
      </c>
      <c r="I291">
        <v>253.64</v>
      </c>
    </row>
    <row r="292" spans="1:9" hidden="1" x14ac:dyDescent="0.25">
      <c r="A292">
        <v>525</v>
      </c>
      <c r="B292">
        <v>33</v>
      </c>
      <c r="C292" t="s">
        <v>18</v>
      </c>
      <c r="D292">
        <v>90232</v>
      </c>
      <c r="E292">
        <v>19</v>
      </c>
      <c r="F292">
        <v>2</v>
      </c>
      <c r="G292">
        <v>8</v>
      </c>
      <c r="H292" t="s">
        <v>17</v>
      </c>
      <c r="I292">
        <v>255.08</v>
      </c>
    </row>
    <row r="293" spans="1:9" hidden="1" x14ac:dyDescent="0.25">
      <c r="A293">
        <v>948</v>
      </c>
      <c r="B293">
        <v>21</v>
      </c>
      <c r="C293" t="s">
        <v>45</v>
      </c>
      <c r="D293">
        <v>117520</v>
      </c>
      <c r="E293">
        <v>34</v>
      </c>
      <c r="F293">
        <v>3</v>
      </c>
      <c r="G293">
        <v>32</v>
      </c>
      <c r="H293" t="s">
        <v>15</v>
      </c>
      <c r="I293">
        <v>256.98</v>
      </c>
    </row>
    <row r="294" spans="1:9" hidden="1" x14ac:dyDescent="0.25">
      <c r="A294">
        <v>706</v>
      </c>
      <c r="B294">
        <v>29</v>
      </c>
      <c r="C294" t="s">
        <v>18</v>
      </c>
      <c r="D294">
        <v>102972</v>
      </c>
      <c r="E294">
        <v>68</v>
      </c>
      <c r="F294">
        <v>3</v>
      </c>
      <c r="G294">
        <v>39</v>
      </c>
      <c r="H294" t="s">
        <v>17</v>
      </c>
      <c r="I294">
        <v>258.08999999999997</v>
      </c>
    </row>
    <row r="295" spans="1:9" hidden="1" x14ac:dyDescent="0.25">
      <c r="A295">
        <v>195</v>
      </c>
      <c r="B295">
        <v>67</v>
      </c>
      <c r="C295" t="s">
        <v>45</v>
      </c>
      <c r="D295">
        <v>31806</v>
      </c>
      <c r="E295">
        <v>79</v>
      </c>
      <c r="F295">
        <v>8</v>
      </c>
      <c r="G295">
        <v>13</v>
      </c>
      <c r="H295" t="s">
        <v>14</v>
      </c>
      <c r="I295">
        <v>261.07</v>
      </c>
    </row>
    <row r="296" spans="1:9" hidden="1" x14ac:dyDescent="0.25">
      <c r="A296">
        <v>321</v>
      </c>
      <c r="B296">
        <v>43</v>
      </c>
      <c r="C296" t="s">
        <v>18</v>
      </c>
      <c r="D296">
        <v>78858</v>
      </c>
      <c r="E296">
        <v>4</v>
      </c>
      <c r="F296">
        <v>3</v>
      </c>
      <c r="G296">
        <v>38</v>
      </c>
      <c r="H296" t="s">
        <v>15</v>
      </c>
      <c r="I296">
        <v>261.19</v>
      </c>
    </row>
    <row r="297" spans="1:9" hidden="1" x14ac:dyDescent="0.25">
      <c r="A297">
        <v>276</v>
      </c>
      <c r="B297">
        <v>39</v>
      </c>
      <c r="C297" t="s">
        <v>18</v>
      </c>
      <c r="D297">
        <v>39931</v>
      </c>
      <c r="E297">
        <v>43</v>
      </c>
      <c r="F297">
        <v>1</v>
      </c>
      <c r="G297">
        <v>28</v>
      </c>
      <c r="H297" t="s">
        <v>16</v>
      </c>
      <c r="I297">
        <v>261.36</v>
      </c>
    </row>
    <row r="298" spans="1:9" hidden="1" x14ac:dyDescent="0.25">
      <c r="A298">
        <v>179</v>
      </c>
      <c r="B298">
        <v>45</v>
      </c>
      <c r="C298" t="s">
        <v>18</v>
      </c>
      <c r="D298">
        <v>102050</v>
      </c>
      <c r="E298">
        <v>57</v>
      </c>
      <c r="F298">
        <v>8</v>
      </c>
      <c r="G298">
        <v>39</v>
      </c>
      <c r="H298" t="s">
        <v>16</v>
      </c>
      <c r="I298">
        <v>263.93</v>
      </c>
    </row>
    <row r="299" spans="1:9" hidden="1" x14ac:dyDescent="0.25">
      <c r="A299">
        <v>83</v>
      </c>
      <c r="B299">
        <v>36</v>
      </c>
      <c r="C299" t="s">
        <v>18</v>
      </c>
      <c r="D299">
        <v>99427</v>
      </c>
      <c r="E299">
        <v>94</v>
      </c>
      <c r="F299">
        <v>8</v>
      </c>
      <c r="G299">
        <v>15</v>
      </c>
      <c r="H299" t="s">
        <v>15</v>
      </c>
      <c r="I299">
        <v>265.04000000000002</v>
      </c>
    </row>
    <row r="300" spans="1:9" hidden="1" x14ac:dyDescent="0.25">
      <c r="A300">
        <v>343</v>
      </c>
      <c r="B300">
        <v>32</v>
      </c>
      <c r="C300" t="s">
        <v>12</v>
      </c>
      <c r="D300">
        <v>48445</v>
      </c>
      <c r="E300">
        <v>91</v>
      </c>
      <c r="F300">
        <v>8</v>
      </c>
      <c r="G300">
        <v>27</v>
      </c>
      <c r="H300" t="s">
        <v>13</v>
      </c>
      <c r="I300">
        <v>265.17</v>
      </c>
    </row>
    <row r="301" spans="1:9" hidden="1" x14ac:dyDescent="0.25">
      <c r="A301">
        <v>576</v>
      </c>
      <c r="B301">
        <v>51</v>
      </c>
      <c r="C301" t="s">
        <v>18</v>
      </c>
      <c r="D301">
        <v>149256</v>
      </c>
      <c r="E301">
        <v>96</v>
      </c>
      <c r="F301">
        <v>1</v>
      </c>
      <c r="G301">
        <v>31</v>
      </c>
      <c r="H301" t="s">
        <v>14</v>
      </c>
      <c r="I301">
        <v>266.83</v>
      </c>
    </row>
    <row r="302" spans="1:9" hidden="1" x14ac:dyDescent="0.25">
      <c r="A302">
        <v>854</v>
      </c>
      <c r="B302">
        <v>27</v>
      </c>
      <c r="C302" t="s">
        <v>18</v>
      </c>
      <c r="D302">
        <v>40595</v>
      </c>
      <c r="E302">
        <v>84</v>
      </c>
      <c r="F302">
        <v>6</v>
      </c>
      <c r="G302">
        <v>15</v>
      </c>
      <c r="H302" t="s">
        <v>16</v>
      </c>
      <c r="I302">
        <v>268.76</v>
      </c>
    </row>
    <row r="303" spans="1:9" hidden="1" x14ac:dyDescent="0.25">
      <c r="A303">
        <v>682</v>
      </c>
      <c r="B303">
        <v>61</v>
      </c>
      <c r="C303" t="s">
        <v>12</v>
      </c>
      <c r="D303">
        <v>136973</v>
      </c>
      <c r="E303">
        <v>27</v>
      </c>
      <c r="F303">
        <v>7</v>
      </c>
      <c r="G303">
        <v>2</v>
      </c>
      <c r="H303" t="s">
        <v>14</v>
      </c>
      <c r="I303">
        <v>269.2</v>
      </c>
    </row>
    <row r="304" spans="1:9" hidden="1" x14ac:dyDescent="0.25">
      <c r="A304">
        <v>778</v>
      </c>
      <c r="B304">
        <v>46</v>
      </c>
      <c r="C304" t="s">
        <v>18</v>
      </c>
      <c r="D304">
        <v>78023</v>
      </c>
      <c r="E304">
        <v>83</v>
      </c>
      <c r="F304">
        <v>7</v>
      </c>
      <c r="G304">
        <v>28</v>
      </c>
      <c r="H304" t="s">
        <v>15</v>
      </c>
      <c r="I304">
        <v>270.14999999999998</v>
      </c>
    </row>
    <row r="305" spans="1:9" hidden="1" x14ac:dyDescent="0.25">
      <c r="A305">
        <v>919</v>
      </c>
      <c r="B305">
        <v>28</v>
      </c>
      <c r="C305" t="s">
        <v>45</v>
      </c>
      <c r="D305">
        <v>57107</v>
      </c>
      <c r="E305">
        <v>82</v>
      </c>
      <c r="F305">
        <v>5</v>
      </c>
      <c r="G305">
        <v>2</v>
      </c>
      <c r="H305" t="s">
        <v>13</v>
      </c>
      <c r="I305">
        <v>271.17</v>
      </c>
    </row>
    <row r="306" spans="1:9" hidden="1" x14ac:dyDescent="0.25">
      <c r="A306">
        <v>253</v>
      </c>
      <c r="B306">
        <v>49</v>
      </c>
      <c r="C306" t="s">
        <v>45</v>
      </c>
      <c r="D306">
        <v>129014</v>
      </c>
      <c r="E306">
        <v>25</v>
      </c>
      <c r="F306">
        <v>7</v>
      </c>
      <c r="G306">
        <v>21</v>
      </c>
      <c r="H306" t="s">
        <v>16</v>
      </c>
      <c r="I306">
        <v>271.52</v>
      </c>
    </row>
    <row r="307" spans="1:9" hidden="1" x14ac:dyDescent="0.25">
      <c r="A307">
        <v>149</v>
      </c>
      <c r="B307">
        <v>34</v>
      </c>
      <c r="C307" t="s">
        <v>45</v>
      </c>
      <c r="D307">
        <v>79949</v>
      </c>
      <c r="E307">
        <v>89</v>
      </c>
      <c r="F307">
        <v>3</v>
      </c>
      <c r="G307">
        <v>19</v>
      </c>
      <c r="H307" t="s">
        <v>16</v>
      </c>
      <c r="I307">
        <v>273.33999999999997</v>
      </c>
    </row>
    <row r="308" spans="1:9" hidden="1" x14ac:dyDescent="0.25">
      <c r="A308">
        <v>438</v>
      </c>
      <c r="B308">
        <v>47</v>
      </c>
      <c r="C308" t="s">
        <v>18</v>
      </c>
      <c r="D308">
        <v>95033</v>
      </c>
      <c r="E308">
        <v>25</v>
      </c>
      <c r="F308">
        <v>3</v>
      </c>
      <c r="G308">
        <v>35</v>
      </c>
      <c r="H308" t="s">
        <v>14</v>
      </c>
      <c r="I308">
        <v>273.38</v>
      </c>
    </row>
    <row r="309" spans="1:9" hidden="1" x14ac:dyDescent="0.25">
      <c r="A309">
        <v>828</v>
      </c>
      <c r="B309">
        <v>34</v>
      </c>
      <c r="C309" t="s">
        <v>12</v>
      </c>
      <c r="D309">
        <v>43316</v>
      </c>
      <c r="E309">
        <v>72</v>
      </c>
      <c r="F309">
        <v>7</v>
      </c>
      <c r="G309">
        <v>13</v>
      </c>
      <c r="H309" t="s">
        <v>14</v>
      </c>
      <c r="I309">
        <v>274.88</v>
      </c>
    </row>
    <row r="310" spans="1:9" hidden="1" x14ac:dyDescent="0.25">
      <c r="A310">
        <v>590</v>
      </c>
      <c r="B310">
        <v>33</v>
      </c>
      <c r="C310" t="s">
        <v>12</v>
      </c>
      <c r="D310">
        <v>93599</v>
      </c>
      <c r="E310">
        <v>22</v>
      </c>
      <c r="F310">
        <v>4</v>
      </c>
      <c r="G310">
        <v>37</v>
      </c>
      <c r="H310" t="s">
        <v>15</v>
      </c>
      <c r="I310">
        <v>274.95999999999998</v>
      </c>
    </row>
    <row r="311" spans="1:9" hidden="1" x14ac:dyDescent="0.25">
      <c r="A311">
        <v>430</v>
      </c>
      <c r="B311">
        <v>64</v>
      </c>
      <c r="C311" t="s">
        <v>45</v>
      </c>
      <c r="D311">
        <v>124369</v>
      </c>
      <c r="E311">
        <v>74</v>
      </c>
      <c r="F311">
        <v>2</v>
      </c>
      <c r="G311">
        <v>3</v>
      </c>
      <c r="H311" t="s">
        <v>13</v>
      </c>
      <c r="I311">
        <v>275.39999999999998</v>
      </c>
    </row>
    <row r="312" spans="1:9" hidden="1" x14ac:dyDescent="0.25">
      <c r="A312">
        <v>507</v>
      </c>
      <c r="B312">
        <v>58</v>
      </c>
      <c r="C312" t="s">
        <v>12</v>
      </c>
      <c r="D312">
        <v>132215</v>
      </c>
      <c r="E312">
        <v>91</v>
      </c>
      <c r="F312">
        <v>8</v>
      </c>
      <c r="G312">
        <v>6</v>
      </c>
      <c r="H312" t="s">
        <v>15</v>
      </c>
      <c r="I312">
        <v>275.70999999999998</v>
      </c>
    </row>
    <row r="313" spans="1:9" hidden="1" x14ac:dyDescent="0.25">
      <c r="A313">
        <v>365</v>
      </c>
      <c r="B313">
        <v>21</v>
      </c>
      <c r="C313" t="s">
        <v>45</v>
      </c>
      <c r="D313">
        <v>90000</v>
      </c>
      <c r="E313">
        <v>42</v>
      </c>
      <c r="F313">
        <v>4</v>
      </c>
      <c r="G313">
        <v>23</v>
      </c>
      <c r="H313" t="s">
        <v>13</v>
      </c>
      <c r="I313">
        <v>278.14999999999998</v>
      </c>
    </row>
    <row r="314" spans="1:9" hidden="1" x14ac:dyDescent="0.25">
      <c r="A314">
        <v>226</v>
      </c>
      <c r="B314">
        <v>19</v>
      </c>
      <c r="C314" t="s">
        <v>18</v>
      </c>
      <c r="D314">
        <v>51355</v>
      </c>
      <c r="E314">
        <v>48</v>
      </c>
      <c r="F314">
        <v>8</v>
      </c>
      <c r="G314">
        <v>28</v>
      </c>
      <c r="H314" t="s">
        <v>13</v>
      </c>
      <c r="I314">
        <v>278.20999999999998</v>
      </c>
    </row>
    <row r="315" spans="1:9" hidden="1" x14ac:dyDescent="0.25">
      <c r="A315">
        <v>347</v>
      </c>
      <c r="B315">
        <v>38</v>
      </c>
      <c r="C315" t="s">
        <v>18</v>
      </c>
      <c r="D315">
        <v>42378</v>
      </c>
      <c r="E315">
        <v>36</v>
      </c>
      <c r="F315">
        <v>5</v>
      </c>
      <c r="G315">
        <v>20</v>
      </c>
      <c r="H315" t="s">
        <v>15</v>
      </c>
      <c r="I315">
        <v>279.77</v>
      </c>
    </row>
    <row r="316" spans="1:9" hidden="1" x14ac:dyDescent="0.25">
      <c r="A316">
        <v>200</v>
      </c>
      <c r="B316">
        <v>63</v>
      </c>
      <c r="C316" t="s">
        <v>18</v>
      </c>
      <c r="D316">
        <v>113240</v>
      </c>
      <c r="E316">
        <v>47</v>
      </c>
      <c r="F316">
        <v>9</v>
      </c>
      <c r="G316">
        <v>22</v>
      </c>
      <c r="H316" t="s">
        <v>17</v>
      </c>
      <c r="I316">
        <v>279.95999999999998</v>
      </c>
    </row>
    <row r="317" spans="1:9" hidden="1" x14ac:dyDescent="0.25">
      <c r="A317">
        <v>188</v>
      </c>
      <c r="B317">
        <v>55</v>
      </c>
      <c r="C317" t="s">
        <v>12</v>
      </c>
      <c r="D317">
        <v>77060</v>
      </c>
      <c r="E317">
        <v>14</v>
      </c>
      <c r="F317">
        <v>2</v>
      </c>
      <c r="G317">
        <v>16</v>
      </c>
      <c r="H317" t="s">
        <v>15</v>
      </c>
      <c r="I317">
        <v>286.79000000000002</v>
      </c>
    </row>
    <row r="318" spans="1:9" hidden="1" x14ac:dyDescent="0.25">
      <c r="A318">
        <v>965</v>
      </c>
      <c r="B318">
        <v>49</v>
      </c>
      <c r="C318" t="s">
        <v>45</v>
      </c>
      <c r="D318">
        <v>94218</v>
      </c>
      <c r="E318">
        <v>4</v>
      </c>
      <c r="F318">
        <v>10</v>
      </c>
      <c r="G318">
        <v>5</v>
      </c>
      <c r="H318" t="s">
        <v>14</v>
      </c>
      <c r="I318">
        <v>287.36</v>
      </c>
    </row>
    <row r="319" spans="1:9" hidden="1" x14ac:dyDescent="0.25">
      <c r="A319">
        <v>849</v>
      </c>
      <c r="B319">
        <v>56</v>
      </c>
      <c r="C319" t="s">
        <v>18</v>
      </c>
      <c r="D319">
        <v>86142</v>
      </c>
      <c r="E319">
        <v>87</v>
      </c>
      <c r="F319">
        <v>7</v>
      </c>
      <c r="G319">
        <v>8</v>
      </c>
      <c r="H319" t="s">
        <v>15</v>
      </c>
      <c r="I319">
        <v>291.95999999999998</v>
      </c>
    </row>
    <row r="320" spans="1:9" hidden="1" x14ac:dyDescent="0.25">
      <c r="A320">
        <v>847</v>
      </c>
      <c r="B320">
        <v>22</v>
      </c>
      <c r="C320" t="s">
        <v>12</v>
      </c>
      <c r="D320">
        <v>134801</v>
      </c>
      <c r="E320">
        <v>47</v>
      </c>
      <c r="F320">
        <v>1</v>
      </c>
      <c r="G320">
        <v>49</v>
      </c>
      <c r="H320" t="s">
        <v>16</v>
      </c>
      <c r="I320">
        <v>292.92</v>
      </c>
    </row>
    <row r="321" spans="1:9" hidden="1" x14ac:dyDescent="0.25">
      <c r="A321">
        <v>956</v>
      </c>
      <c r="B321">
        <v>60</v>
      </c>
      <c r="C321" t="s">
        <v>45</v>
      </c>
      <c r="D321">
        <v>48802</v>
      </c>
      <c r="E321">
        <v>68</v>
      </c>
      <c r="F321">
        <v>1</v>
      </c>
      <c r="G321">
        <v>40</v>
      </c>
      <c r="H321" t="s">
        <v>16</v>
      </c>
      <c r="I321">
        <v>296.76</v>
      </c>
    </row>
    <row r="322" spans="1:9" hidden="1" x14ac:dyDescent="0.25">
      <c r="A322">
        <v>737</v>
      </c>
      <c r="B322">
        <v>28</v>
      </c>
      <c r="C322" t="s">
        <v>12</v>
      </c>
      <c r="D322">
        <v>104971</v>
      </c>
      <c r="E322">
        <v>74</v>
      </c>
      <c r="F322">
        <v>4</v>
      </c>
      <c r="G322">
        <v>10</v>
      </c>
      <c r="H322" t="s">
        <v>17</v>
      </c>
      <c r="I322">
        <v>297.17</v>
      </c>
    </row>
    <row r="323" spans="1:9" hidden="1" x14ac:dyDescent="0.25">
      <c r="A323">
        <v>767</v>
      </c>
      <c r="B323">
        <v>45</v>
      </c>
      <c r="C323" t="s">
        <v>45</v>
      </c>
      <c r="D323">
        <v>62582</v>
      </c>
      <c r="E323">
        <v>1</v>
      </c>
      <c r="F323">
        <v>6</v>
      </c>
      <c r="G323">
        <v>46</v>
      </c>
      <c r="H323" t="s">
        <v>17</v>
      </c>
      <c r="I323">
        <v>298.11</v>
      </c>
    </row>
    <row r="324" spans="1:9" hidden="1" x14ac:dyDescent="0.25">
      <c r="A324">
        <v>824</v>
      </c>
      <c r="B324">
        <v>38</v>
      </c>
      <c r="C324" t="s">
        <v>18</v>
      </c>
      <c r="D324">
        <v>81244</v>
      </c>
      <c r="E324">
        <v>57</v>
      </c>
      <c r="F324">
        <v>5</v>
      </c>
      <c r="G324">
        <v>3</v>
      </c>
      <c r="H324" t="s">
        <v>13</v>
      </c>
      <c r="I324">
        <v>301.58999999999997</v>
      </c>
    </row>
    <row r="325" spans="1:9" hidden="1" x14ac:dyDescent="0.25">
      <c r="A325">
        <v>496</v>
      </c>
      <c r="B325">
        <v>33</v>
      </c>
      <c r="C325" t="s">
        <v>18</v>
      </c>
      <c r="D325">
        <v>65486</v>
      </c>
      <c r="E325">
        <v>76</v>
      </c>
      <c r="F325">
        <v>2</v>
      </c>
      <c r="G325">
        <v>11</v>
      </c>
      <c r="H325" t="s">
        <v>15</v>
      </c>
      <c r="I325">
        <v>302.05</v>
      </c>
    </row>
    <row r="326" spans="1:9" hidden="1" x14ac:dyDescent="0.25">
      <c r="A326">
        <v>936</v>
      </c>
      <c r="B326">
        <v>51</v>
      </c>
      <c r="C326" t="s">
        <v>12</v>
      </c>
      <c r="D326">
        <v>148784</v>
      </c>
      <c r="E326">
        <v>17</v>
      </c>
      <c r="F326">
        <v>1</v>
      </c>
      <c r="G326">
        <v>50</v>
      </c>
      <c r="H326" t="s">
        <v>13</v>
      </c>
      <c r="I326">
        <v>302.81</v>
      </c>
    </row>
    <row r="327" spans="1:9" hidden="1" x14ac:dyDescent="0.25">
      <c r="A327">
        <v>874</v>
      </c>
      <c r="B327">
        <v>35</v>
      </c>
      <c r="C327" t="s">
        <v>12</v>
      </c>
      <c r="D327">
        <v>121037</v>
      </c>
      <c r="E327">
        <v>70</v>
      </c>
      <c r="F327">
        <v>1</v>
      </c>
      <c r="G327">
        <v>28</v>
      </c>
      <c r="H327" t="s">
        <v>16</v>
      </c>
      <c r="I327">
        <v>304.08</v>
      </c>
    </row>
    <row r="328" spans="1:9" hidden="1" x14ac:dyDescent="0.25">
      <c r="A328">
        <v>638</v>
      </c>
      <c r="B328">
        <v>34</v>
      </c>
      <c r="C328" t="s">
        <v>18</v>
      </c>
      <c r="D328">
        <v>60489</v>
      </c>
      <c r="E328">
        <v>95</v>
      </c>
      <c r="F328">
        <v>3</v>
      </c>
      <c r="G328">
        <v>38</v>
      </c>
      <c r="H328" t="s">
        <v>13</v>
      </c>
      <c r="I328">
        <v>304.86</v>
      </c>
    </row>
    <row r="329" spans="1:9" hidden="1" x14ac:dyDescent="0.25">
      <c r="A329">
        <v>747</v>
      </c>
      <c r="B329">
        <v>26</v>
      </c>
      <c r="C329" t="s">
        <v>12</v>
      </c>
      <c r="D329">
        <v>44725</v>
      </c>
      <c r="E329">
        <v>40</v>
      </c>
      <c r="F329">
        <v>10</v>
      </c>
      <c r="G329">
        <v>17</v>
      </c>
      <c r="H329" t="s">
        <v>16</v>
      </c>
      <c r="I329">
        <v>307.42</v>
      </c>
    </row>
    <row r="330" spans="1:9" hidden="1" x14ac:dyDescent="0.25">
      <c r="A330">
        <v>850</v>
      </c>
      <c r="B330">
        <v>48</v>
      </c>
      <c r="C330" t="s">
        <v>18</v>
      </c>
      <c r="D330">
        <v>126398</v>
      </c>
      <c r="E330">
        <v>19</v>
      </c>
      <c r="F330">
        <v>1</v>
      </c>
      <c r="G330">
        <v>18</v>
      </c>
      <c r="H330" t="s">
        <v>17</v>
      </c>
      <c r="I330">
        <v>311.08</v>
      </c>
    </row>
    <row r="331" spans="1:9" hidden="1" x14ac:dyDescent="0.25">
      <c r="A331">
        <v>870</v>
      </c>
      <c r="B331">
        <v>57</v>
      </c>
      <c r="C331" t="s">
        <v>45</v>
      </c>
      <c r="D331">
        <v>112212</v>
      </c>
      <c r="E331">
        <v>6</v>
      </c>
      <c r="F331">
        <v>6</v>
      </c>
      <c r="G331">
        <v>44</v>
      </c>
      <c r="H331" t="s">
        <v>13</v>
      </c>
      <c r="I331">
        <v>312.64</v>
      </c>
    </row>
    <row r="332" spans="1:9" hidden="1" x14ac:dyDescent="0.25">
      <c r="A332">
        <v>996</v>
      </c>
      <c r="B332">
        <v>57</v>
      </c>
      <c r="C332" t="s">
        <v>12</v>
      </c>
      <c r="D332">
        <v>112170</v>
      </c>
      <c r="E332">
        <v>57</v>
      </c>
      <c r="F332">
        <v>6</v>
      </c>
      <c r="G332">
        <v>1</v>
      </c>
      <c r="H332" t="s">
        <v>17</v>
      </c>
      <c r="I332">
        <v>313.64</v>
      </c>
    </row>
    <row r="333" spans="1:9" hidden="1" x14ac:dyDescent="0.25">
      <c r="A333">
        <v>313</v>
      </c>
      <c r="B333">
        <v>69</v>
      </c>
      <c r="C333" t="s">
        <v>45</v>
      </c>
      <c r="D333">
        <v>35218</v>
      </c>
      <c r="E333">
        <v>47</v>
      </c>
      <c r="F333">
        <v>4</v>
      </c>
      <c r="G333">
        <v>33</v>
      </c>
      <c r="H333" t="s">
        <v>14</v>
      </c>
      <c r="I333">
        <v>315.49</v>
      </c>
    </row>
    <row r="334" spans="1:9" hidden="1" x14ac:dyDescent="0.25">
      <c r="A334">
        <v>139</v>
      </c>
      <c r="B334">
        <v>18</v>
      </c>
      <c r="C334" t="s">
        <v>18</v>
      </c>
      <c r="D334">
        <v>99638</v>
      </c>
      <c r="E334">
        <v>33</v>
      </c>
      <c r="F334">
        <v>8</v>
      </c>
      <c r="G334">
        <v>23</v>
      </c>
      <c r="H334" t="s">
        <v>16</v>
      </c>
      <c r="I334">
        <v>316.27</v>
      </c>
    </row>
    <row r="335" spans="1:9" hidden="1" x14ac:dyDescent="0.25">
      <c r="A335">
        <v>769</v>
      </c>
      <c r="B335">
        <v>19</v>
      </c>
      <c r="C335" t="s">
        <v>12</v>
      </c>
      <c r="D335">
        <v>85583</v>
      </c>
      <c r="E335">
        <v>61</v>
      </c>
      <c r="F335">
        <v>5</v>
      </c>
      <c r="G335">
        <v>43</v>
      </c>
      <c r="H335" t="s">
        <v>15</v>
      </c>
      <c r="I335">
        <v>316.35000000000002</v>
      </c>
    </row>
    <row r="336" spans="1:9" hidden="1" x14ac:dyDescent="0.25">
      <c r="A336">
        <v>930</v>
      </c>
      <c r="B336">
        <v>42</v>
      </c>
      <c r="C336" t="s">
        <v>45</v>
      </c>
      <c r="D336">
        <v>128064</v>
      </c>
      <c r="E336">
        <v>8</v>
      </c>
      <c r="F336">
        <v>8</v>
      </c>
      <c r="G336">
        <v>44</v>
      </c>
      <c r="H336" t="s">
        <v>16</v>
      </c>
      <c r="I336">
        <v>316.5</v>
      </c>
    </row>
    <row r="337" spans="1:9" hidden="1" x14ac:dyDescent="0.25">
      <c r="A337">
        <v>740</v>
      </c>
      <c r="B337">
        <v>62</v>
      </c>
      <c r="C337" t="s">
        <v>18</v>
      </c>
      <c r="D337">
        <v>119083</v>
      </c>
      <c r="E337">
        <v>18</v>
      </c>
      <c r="F337">
        <v>4</v>
      </c>
      <c r="G337">
        <v>28</v>
      </c>
      <c r="H337" t="s">
        <v>14</v>
      </c>
      <c r="I337">
        <v>317.77999999999997</v>
      </c>
    </row>
    <row r="338" spans="1:9" hidden="1" x14ac:dyDescent="0.25">
      <c r="A338">
        <v>499</v>
      </c>
      <c r="B338">
        <v>25</v>
      </c>
      <c r="C338" t="s">
        <v>12</v>
      </c>
      <c r="D338">
        <v>33065</v>
      </c>
      <c r="E338">
        <v>61</v>
      </c>
      <c r="F338">
        <v>7</v>
      </c>
      <c r="G338">
        <v>40</v>
      </c>
      <c r="H338" t="s">
        <v>16</v>
      </c>
      <c r="I338">
        <v>317.98</v>
      </c>
    </row>
    <row r="339" spans="1:9" hidden="1" x14ac:dyDescent="0.25">
      <c r="A339">
        <v>979</v>
      </c>
      <c r="B339">
        <v>66</v>
      </c>
      <c r="C339" t="s">
        <v>18</v>
      </c>
      <c r="D339">
        <v>74055</v>
      </c>
      <c r="E339">
        <v>100</v>
      </c>
      <c r="F339">
        <v>6</v>
      </c>
      <c r="G339">
        <v>17</v>
      </c>
      <c r="H339" t="s">
        <v>15</v>
      </c>
      <c r="I339">
        <v>318.7</v>
      </c>
    </row>
    <row r="340" spans="1:9" hidden="1" x14ac:dyDescent="0.25">
      <c r="A340">
        <v>791</v>
      </c>
      <c r="B340">
        <v>59</v>
      </c>
      <c r="C340" t="s">
        <v>18</v>
      </c>
      <c r="D340">
        <v>97756</v>
      </c>
      <c r="E340">
        <v>89</v>
      </c>
      <c r="F340">
        <v>6</v>
      </c>
      <c r="G340">
        <v>3</v>
      </c>
      <c r="H340" t="s">
        <v>13</v>
      </c>
      <c r="I340">
        <v>318.74</v>
      </c>
    </row>
    <row r="341" spans="1:9" hidden="1" x14ac:dyDescent="0.25">
      <c r="A341">
        <v>64</v>
      </c>
      <c r="B341">
        <v>50</v>
      </c>
      <c r="C341" t="s">
        <v>18</v>
      </c>
      <c r="D341">
        <v>85111</v>
      </c>
      <c r="E341">
        <v>31</v>
      </c>
      <c r="F341">
        <v>1</v>
      </c>
      <c r="G341">
        <v>19</v>
      </c>
      <c r="H341" t="s">
        <v>14</v>
      </c>
      <c r="I341">
        <v>319.05</v>
      </c>
    </row>
    <row r="342" spans="1:9" hidden="1" x14ac:dyDescent="0.25">
      <c r="A342">
        <v>893</v>
      </c>
      <c r="B342">
        <v>24</v>
      </c>
      <c r="C342" t="s">
        <v>18</v>
      </c>
      <c r="D342">
        <v>60763</v>
      </c>
      <c r="E342">
        <v>92</v>
      </c>
      <c r="F342">
        <v>5</v>
      </c>
      <c r="G342">
        <v>29</v>
      </c>
      <c r="H342" t="s">
        <v>13</v>
      </c>
      <c r="I342">
        <v>320.7</v>
      </c>
    </row>
    <row r="343" spans="1:9" hidden="1" x14ac:dyDescent="0.25">
      <c r="A343">
        <v>623</v>
      </c>
      <c r="B343">
        <v>30</v>
      </c>
      <c r="C343" t="s">
        <v>18</v>
      </c>
      <c r="D343">
        <v>97829</v>
      </c>
      <c r="E343">
        <v>99</v>
      </c>
      <c r="F343">
        <v>4</v>
      </c>
      <c r="G343">
        <v>27</v>
      </c>
      <c r="H343" t="s">
        <v>17</v>
      </c>
      <c r="I343">
        <v>320.95</v>
      </c>
    </row>
    <row r="344" spans="1:9" hidden="1" x14ac:dyDescent="0.25">
      <c r="A344">
        <v>820</v>
      </c>
      <c r="B344">
        <v>52</v>
      </c>
      <c r="C344" t="s">
        <v>45</v>
      </c>
      <c r="D344">
        <v>73723</v>
      </c>
      <c r="E344">
        <v>69</v>
      </c>
      <c r="F344">
        <v>10</v>
      </c>
      <c r="G344">
        <v>19</v>
      </c>
      <c r="H344" t="s">
        <v>15</v>
      </c>
      <c r="I344">
        <v>321.92</v>
      </c>
    </row>
    <row r="345" spans="1:9" hidden="1" x14ac:dyDescent="0.25">
      <c r="A345">
        <v>436</v>
      </c>
      <c r="B345">
        <v>52</v>
      </c>
      <c r="C345" t="s">
        <v>45</v>
      </c>
      <c r="D345">
        <v>136827</v>
      </c>
      <c r="E345">
        <v>87</v>
      </c>
      <c r="F345">
        <v>5</v>
      </c>
      <c r="G345">
        <v>20</v>
      </c>
      <c r="H345" t="s">
        <v>15</v>
      </c>
      <c r="I345">
        <v>322.29000000000002</v>
      </c>
    </row>
    <row r="346" spans="1:9" hidden="1" x14ac:dyDescent="0.25">
      <c r="A346">
        <v>734</v>
      </c>
      <c r="B346">
        <v>23</v>
      </c>
      <c r="C346" t="s">
        <v>45</v>
      </c>
      <c r="D346">
        <v>66886</v>
      </c>
      <c r="E346">
        <v>7</v>
      </c>
      <c r="F346">
        <v>6</v>
      </c>
      <c r="G346">
        <v>40</v>
      </c>
      <c r="H346" t="s">
        <v>14</v>
      </c>
      <c r="I346">
        <v>322.64</v>
      </c>
    </row>
    <row r="347" spans="1:9" hidden="1" x14ac:dyDescent="0.25">
      <c r="A347">
        <v>594</v>
      </c>
      <c r="B347">
        <v>29</v>
      </c>
      <c r="C347" t="s">
        <v>45</v>
      </c>
      <c r="D347">
        <v>98150</v>
      </c>
      <c r="E347">
        <v>42</v>
      </c>
      <c r="F347">
        <v>9</v>
      </c>
      <c r="G347">
        <v>34</v>
      </c>
      <c r="H347" t="s">
        <v>15</v>
      </c>
      <c r="I347">
        <v>324.11</v>
      </c>
    </row>
    <row r="348" spans="1:9" hidden="1" x14ac:dyDescent="0.25">
      <c r="A348">
        <v>207</v>
      </c>
      <c r="B348">
        <v>58</v>
      </c>
      <c r="C348" t="s">
        <v>12</v>
      </c>
      <c r="D348">
        <v>48714</v>
      </c>
      <c r="E348">
        <v>75</v>
      </c>
      <c r="F348">
        <v>10</v>
      </c>
      <c r="G348">
        <v>40</v>
      </c>
      <c r="H348" t="s">
        <v>15</v>
      </c>
      <c r="I348">
        <v>324.91000000000003</v>
      </c>
    </row>
    <row r="349" spans="1:9" hidden="1" x14ac:dyDescent="0.25">
      <c r="A349">
        <v>491</v>
      </c>
      <c r="B349">
        <v>22</v>
      </c>
      <c r="C349" t="s">
        <v>18</v>
      </c>
      <c r="D349">
        <v>46900</v>
      </c>
      <c r="E349">
        <v>70</v>
      </c>
      <c r="F349">
        <v>1</v>
      </c>
      <c r="G349">
        <v>24</v>
      </c>
      <c r="H349" t="s">
        <v>16</v>
      </c>
      <c r="I349">
        <v>325.45999999999998</v>
      </c>
    </row>
    <row r="350" spans="1:9" hidden="1" x14ac:dyDescent="0.25">
      <c r="A350">
        <v>350</v>
      </c>
      <c r="B350">
        <v>56</v>
      </c>
      <c r="C350" t="s">
        <v>18</v>
      </c>
      <c r="D350">
        <v>148694</v>
      </c>
      <c r="E350">
        <v>44</v>
      </c>
      <c r="F350">
        <v>7</v>
      </c>
      <c r="G350">
        <v>13</v>
      </c>
      <c r="H350" t="s">
        <v>14</v>
      </c>
      <c r="I350">
        <v>326.5</v>
      </c>
    </row>
    <row r="351" spans="1:9" hidden="1" x14ac:dyDescent="0.25">
      <c r="A351">
        <v>880</v>
      </c>
      <c r="B351">
        <v>59</v>
      </c>
      <c r="C351" t="s">
        <v>45</v>
      </c>
      <c r="D351">
        <v>97355</v>
      </c>
      <c r="E351">
        <v>63</v>
      </c>
      <c r="F351">
        <v>2</v>
      </c>
      <c r="G351">
        <v>22</v>
      </c>
      <c r="H351" t="s">
        <v>16</v>
      </c>
      <c r="I351">
        <v>329.18</v>
      </c>
    </row>
    <row r="352" spans="1:9" hidden="1" x14ac:dyDescent="0.25">
      <c r="A352">
        <v>384</v>
      </c>
      <c r="B352">
        <v>46</v>
      </c>
      <c r="C352" t="s">
        <v>12</v>
      </c>
      <c r="D352">
        <v>120914</v>
      </c>
      <c r="E352">
        <v>1</v>
      </c>
      <c r="F352">
        <v>1</v>
      </c>
      <c r="G352">
        <v>41</v>
      </c>
      <c r="H352" t="s">
        <v>13</v>
      </c>
      <c r="I352">
        <v>329.9</v>
      </c>
    </row>
    <row r="353" spans="1:9" hidden="1" x14ac:dyDescent="0.25">
      <c r="A353">
        <v>852</v>
      </c>
      <c r="B353">
        <v>64</v>
      </c>
      <c r="C353" t="s">
        <v>18</v>
      </c>
      <c r="D353">
        <v>63123</v>
      </c>
      <c r="E353">
        <v>88</v>
      </c>
      <c r="F353">
        <v>1</v>
      </c>
      <c r="G353">
        <v>16</v>
      </c>
      <c r="H353" t="s">
        <v>16</v>
      </c>
      <c r="I353">
        <v>330.95</v>
      </c>
    </row>
    <row r="354" spans="1:9" hidden="1" x14ac:dyDescent="0.25">
      <c r="A354">
        <v>54</v>
      </c>
      <c r="B354">
        <v>33</v>
      </c>
      <c r="C354" t="s">
        <v>18</v>
      </c>
      <c r="D354">
        <v>45136</v>
      </c>
      <c r="E354">
        <v>84</v>
      </c>
      <c r="F354">
        <v>9</v>
      </c>
      <c r="G354">
        <v>38</v>
      </c>
      <c r="H354" t="s">
        <v>13</v>
      </c>
      <c r="I354">
        <v>332.34</v>
      </c>
    </row>
    <row r="355" spans="1:9" hidden="1" x14ac:dyDescent="0.25">
      <c r="A355">
        <v>800</v>
      </c>
      <c r="B355">
        <v>35</v>
      </c>
      <c r="C355" t="s">
        <v>45</v>
      </c>
      <c r="D355">
        <v>114874</v>
      </c>
      <c r="E355">
        <v>40</v>
      </c>
      <c r="F355">
        <v>3</v>
      </c>
      <c r="G355">
        <v>15</v>
      </c>
      <c r="H355" t="s">
        <v>15</v>
      </c>
      <c r="I355">
        <v>333.55</v>
      </c>
    </row>
    <row r="356" spans="1:9" hidden="1" x14ac:dyDescent="0.25">
      <c r="A356">
        <v>506</v>
      </c>
      <c r="B356">
        <v>66</v>
      </c>
      <c r="C356" t="s">
        <v>12</v>
      </c>
      <c r="D356">
        <v>149505</v>
      </c>
      <c r="E356">
        <v>79</v>
      </c>
      <c r="F356">
        <v>4</v>
      </c>
      <c r="G356">
        <v>8</v>
      </c>
      <c r="H356" t="s">
        <v>15</v>
      </c>
      <c r="I356">
        <v>334.95</v>
      </c>
    </row>
    <row r="357" spans="1:9" hidden="1" x14ac:dyDescent="0.25">
      <c r="A357">
        <v>150</v>
      </c>
      <c r="B357">
        <v>54</v>
      </c>
      <c r="C357" t="s">
        <v>12</v>
      </c>
      <c r="D357">
        <v>100745</v>
      </c>
      <c r="E357">
        <v>29</v>
      </c>
      <c r="F357">
        <v>6</v>
      </c>
      <c r="G357">
        <v>42</v>
      </c>
      <c r="H357" t="s">
        <v>17</v>
      </c>
      <c r="I357">
        <v>335.15</v>
      </c>
    </row>
    <row r="358" spans="1:9" hidden="1" x14ac:dyDescent="0.25">
      <c r="A358">
        <v>67</v>
      </c>
      <c r="B358">
        <v>36</v>
      </c>
      <c r="C358" t="s">
        <v>18</v>
      </c>
      <c r="D358">
        <v>127346</v>
      </c>
      <c r="E358">
        <v>75</v>
      </c>
      <c r="F358">
        <v>5</v>
      </c>
      <c r="G358">
        <v>7</v>
      </c>
      <c r="H358" t="s">
        <v>14</v>
      </c>
      <c r="I358">
        <v>335.98</v>
      </c>
    </row>
    <row r="359" spans="1:9" hidden="1" x14ac:dyDescent="0.25">
      <c r="A359">
        <v>550</v>
      </c>
      <c r="B359">
        <v>53</v>
      </c>
      <c r="C359" t="s">
        <v>12</v>
      </c>
      <c r="D359">
        <v>47499</v>
      </c>
      <c r="E359">
        <v>85</v>
      </c>
      <c r="F359">
        <v>2</v>
      </c>
      <c r="G359">
        <v>45</v>
      </c>
      <c r="H359" t="s">
        <v>15</v>
      </c>
      <c r="I359">
        <v>338.69</v>
      </c>
    </row>
    <row r="360" spans="1:9" hidden="1" x14ac:dyDescent="0.25">
      <c r="A360">
        <v>215</v>
      </c>
      <c r="B360">
        <v>69</v>
      </c>
      <c r="C360" t="s">
        <v>45</v>
      </c>
      <c r="D360">
        <v>127086</v>
      </c>
      <c r="E360">
        <v>93</v>
      </c>
      <c r="F360">
        <v>4</v>
      </c>
      <c r="G360">
        <v>45</v>
      </c>
      <c r="H360" t="s">
        <v>14</v>
      </c>
      <c r="I360">
        <v>339.9</v>
      </c>
    </row>
    <row r="361" spans="1:9" hidden="1" x14ac:dyDescent="0.25">
      <c r="A361">
        <v>394</v>
      </c>
      <c r="B361">
        <v>69</v>
      </c>
      <c r="C361" t="s">
        <v>18</v>
      </c>
      <c r="D361">
        <v>74331</v>
      </c>
      <c r="E361">
        <v>83</v>
      </c>
      <c r="F361">
        <v>9</v>
      </c>
      <c r="G361">
        <v>11</v>
      </c>
      <c r="H361" t="s">
        <v>17</v>
      </c>
      <c r="I361">
        <v>341.63</v>
      </c>
    </row>
    <row r="362" spans="1:9" hidden="1" x14ac:dyDescent="0.25">
      <c r="A362">
        <v>922</v>
      </c>
      <c r="B362">
        <v>58</v>
      </c>
      <c r="C362" t="s">
        <v>12</v>
      </c>
      <c r="D362">
        <v>105157</v>
      </c>
      <c r="E362">
        <v>51</v>
      </c>
      <c r="F362">
        <v>3</v>
      </c>
      <c r="G362">
        <v>27</v>
      </c>
      <c r="H362" t="s">
        <v>17</v>
      </c>
      <c r="I362">
        <v>344.39</v>
      </c>
    </row>
    <row r="363" spans="1:9" hidden="1" x14ac:dyDescent="0.25">
      <c r="A363">
        <v>904</v>
      </c>
      <c r="B363">
        <v>64</v>
      </c>
      <c r="C363" t="s">
        <v>18</v>
      </c>
      <c r="D363">
        <v>122557</v>
      </c>
      <c r="E363">
        <v>87</v>
      </c>
      <c r="F363">
        <v>2</v>
      </c>
      <c r="G363">
        <v>5</v>
      </c>
      <c r="H363" t="s">
        <v>16</v>
      </c>
      <c r="I363">
        <v>344.59</v>
      </c>
    </row>
    <row r="364" spans="1:9" hidden="1" x14ac:dyDescent="0.25">
      <c r="A364">
        <v>228</v>
      </c>
      <c r="B364">
        <v>53</v>
      </c>
      <c r="C364" t="s">
        <v>12</v>
      </c>
      <c r="D364">
        <v>57651</v>
      </c>
      <c r="E364">
        <v>27</v>
      </c>
      <c r="F364">
        <v>7</v>
      </c>
      <c r="G364">
        <v>16</v>
      </c>
      <c r="H364" t="s">
        <v>13</v>
      </c>
      <c r="I364">
        <v>345.62</v>
      </c>
    </row>
    <row r="365" spans="1:9" hidden="1" x14ac:dyDescent="0.25">
      <c r="A365">
        <v>5</v>
      </c>
      <c r="B365">
        <v>65</v>
      </c>
      <c r="C365" t="s">
        <v>18</v>
      </c>
      <c r="D365">
        <v>140621</v>
      </c>
      <c r="E365">
        <v>21</v>
      </c>
      <c r="F365">
        <v>3</v>
      </c>
      <c r="G365">
        <v>25</v>
      </c>
      <c r="H365" t="s">
        <v>14</v>
      </c>
      <c r="I365">
        <v>347.08</v>
      </c>
    </row>
    <row r="366" spans="1:9" hidden="1" x14ac:dyDescent="0.25">
      <c r="A366">
        <v>726</v>
      </c>
      <c r="B366">
        <v>40</v>
      </c>
      <c r="C366" t="s">
        <v>45</v>
      </c>
      <c r="D366">
        <v>105994</v>
      </c>
      <c r="E366">
        <v>39</v>
      </c>
      <c r="F366">
        <v>9</v>
      </c>
      <c r="G366">
        <v>17</v>
      </c>
      <c r="H366" t="s">
        <v>13</v>
      </c>
      <c r="I366">
        <v>347.21</v>
      </c>
    </row>
    <row r="367" spans="1:9" hidden="1" x14ac:dyDescent="0.25">
      <c r="A367">
        <v>727</v>
      </c>
      <c r="B367">
        <v>18</v>
      </c>
      <c r="C367" t="s">
        <v>45</v>
      </c>
      <c r="D367">
        <v>84764</v>
      </c>
      <c r="E367">
        <v>2</v>
      </c>
      <c r="F367">
        <v>6</v>
      </c>
      <c r="G367">
        <v>49</v>
      </c>
      <c r="H367" t="s">
        <v>13</v>
      </c>
      <c r="I367">
        <v>348.51</v>
      </c>
    </row>
    <row r="368" spans="1:9" hidden="1" x14ac:dyDescent="0.25">
      <c r="A368">
        <v>355</v>
      </c>
      <c r="B368">
        <v>38</v>
      </c>
      <c r="C368" t="s">
        <v>45</v>
      </c>
      <c r="D368">
        <v>81837</v>
      </c>
      <c r="E368">
        <v>68</v>
      </c>
      <c r="F368">
        <v>5</v>
      </c>
      <c r="G368">
        <v>6</v>
      </c>
      <c r="H368" t="s">
        <v>15</v>
      </c>
      <c r="I368">
        <v>349.35</v>
      </c>
    </row>
    <row r="369" spans="1:9" hidden="1" x14ac:dyDescent="0.25">
      <c r="A369">
        <v>967</v>
      </c>
      <c r="B369">
        <v>46</v>
      </c>
      <c r="C369" t="s">
        <v>18</v>
      </c>
      <c r="D369">
        <v>67361</v>
      </c>
      <c r="E369">
        <v>80</v>
      </c>
      <c r="F369">
        <v>6</v>
      </c>
      <c r="G369">
        <v>25</v>
      </c>
      <c r="H369" t="s">
        <v>15</v>
      </c>
      <c r="I369">
        <v>350.08</v>
      </c>
    </row>
    <row r="370" spans="1:9" hidden="1" x14ac:dyDescent="0.25">
      <c r="A370">
        <v>429</v>
      </c>
      <c r="B370">
        <v>20</v>
      </c>
      <c r="C370" t="s">
        <v>12</v>
      </c>
      <c r="D370">
        <v>49308</v>
      </c>
      <c r="E370">
        <v>29</v>
      </c>
      <c r="F370">
        <v>6</v>
      </c>
      <c r="G370">
        <v>19</v>
      </c>
      <c r="H370" t="s">
        <v>14</v>
      </c>
      <c r="I370">
        <v>351.64</v>
      </c>
    </row>
    <row r="371" spans="1:9" hidden="1" x14ac:dyDescent="0.25">
      <c r="A371">
        <v>938</v>
      </c>
      <c r="B371">
        <v>64</v>
      </c>
      <c r="C371" t="s">
        <v>45</v>
      </c>
      <c r="D371">
        <v>65498</v>
      </c>
      <c r="E371">
        <v>23</v>
      </c>
      <c r="F371">
        <v>5</v>
      </c>
      <c r="G371">
        <v>24</v>
      </c>
      <c r="H371" t="s">
        <v>17</v>
      </c>
      <c r="I371">
        <v>351.94</v>
      </c>
    </row>
    <row r="372" spans="1:9" hidden="1" x14ac:dyDescent="0.25">
      <c r="A372">
        <v>203</v>
      </c>
      <c r="B372">
        <v>66</v>
      </c>
      <c r="C372" t="s">
        <v>45</v>
      </c>
      <c r="D372">
        <v>106631</v>
      </c>
      <c r="E372">
        <v>41</v>
      </c>
      <c r="F372">
        <v>6</v>
      </c>
      <c r="G372">
        <v>9</v>
      </c>
      <c r="H372" t="s">
        <v>13</v>
      </c>
      <c r="I372">
        <v>354.46</v>
      </c>
    </row>
    <row r="373" spans="1:9" hidden="1" x14ac:dyDescent="0.25">
      <c r="A373">
        <v>47</v>
      </c>
      <c r="B373">
        <v>56</v>
      </c>
      <c r="C373" t="s">
        <v>12</v>
      </c>
      <c r="D373">
        <v>129005</v>
      </c>
      <c r="E373">
        <v>40</v>
      </c>
      <c r="F373">
        <v>6</v>
      </c>
      <c r="G373">
        <v>8</v>
      </c>
      <c r="H373" t="s">
        <v>14</v>
      </c>
      <c r="I373">
        <v>355.34</v>
      </c>
    </row>
    <row r="374" spans="1:9" hidden="1" x14ac:dyDescent="0.25">
      <c r="A374">
        <v>906</v>
      </c>
      <c r="B374">
        <v>25</v>
      </c>
      <c r="C374" t="s">
        <v>12</v>
      </c>
      <c r="D374">
        <v>130604</v>
      </c>
      <c r="E374">
        <v>100</v>
      </c>
      <c r="F374">
        <v>4</v>
      </c>
      <c r="G374">
        <v>41</v>
      </c>
      <c r="H374" t="s">
        <v>14</v>
      </c>
      <c r="I374">
        <v>355.45</v>
      </c>
    </row>
    <row r="375" spans="1:9" hidden="1" x14ac:dyDescent="0.25">
      <c r="A375">
        <v>776</v>
      </c>
      <c r="B375">
        <v>31</v>
      </c>
      <c r="C375" t="s">
        <v>18</v>
      </c>
      <c r="D375">
        <v>123947</v>
      </c>
      <c r="E375">
        <v>25</v>
      </c>
      <c r="F375">
        <v>2</v>
      </c>
      <c r="G375">
        <v>39</v>
      </c>
      <c r="H375" t="s">
        <v>16</v>
      </c>
      <c r="I375">
        <v>355.67</v>
      </c>
    </row>
    <row r="376" spans="1:9" hidden="1" x14ac:dyDescent="0.25">
      <c r="A376">
        <v>211</v>
      </c>
      <c r="B376">
        <v>40</v>
      </c>
      <c r="C376" t="s">
        <v>18</v>
      </c>
      <c r="D376">
        <v>83445</v>
      </c>
      <c r="E376">
        <v>89</v>
      </c>
      <c r="F376">
        <v>7</v>
      </c>
      <c r="G376">
        <v>11</v>
      </c>
      <c r="H376" t="s">
        <v>17</v>
      </c>
      <c r="I376">
        <v>356.35</v>
      </c>
    </row>
    <row r="377" spans="1:9" hidden="1" x14ac:dyDescent="0.25">
      <c r="A377">
        <v>622</v>
      </c>
      <c r="B377">
        <v>33</v>
      </c>
      <c r="C377" t="s">
        <v>45</v>
      </c>
      <c r="D377">
        <v>102269</v>
      </c>
      <c r="E377">
        <v>26</v>
      </c>
      <c r="F377">
        <v>8</v>
      </c>
      <c r="G377">
        <v>47</v>
      </c>
      <c r="H377" t="s">
        <v>15</v>
      </c>
      <c r="I377">
        <v>356.67</v>
      </c>
    </row>
    <row r="378" spans="1:9" hidden="1" x14ac:dyDescent="0.25">
      <c r="A378">
        <v>703</v>
      </c>
      <c r="B378">
        <v>26</v>
      </c>
      <c r="C378" t="s">
        <v>18</v>
      </c>
      <c r="D378">
        <v>56466</v>
      </c>
      <c r="E378">
        <v>61</v>
      </c>
      <c r="F378">
        <v>3</v>
      </c>
      <c r="G378">
        <v>12</v>
      </c>
      <c r="H378" t="s">
        <v>13</v>
      </c>
      <c r="I378">
        <v>358.22</v>
      </c>
    </row>
    <row r="379" spans="1:9" hidden="1" x14ac:dyDescent="0.25">
      <c r="A379">
        <v>563</v>
      </c>
      <c r="B379">
        <v>23</v>
      </c>
      <c r="C379" t="s">
        <v>12</v>
      </c>
      <c r="D379">
        <v>143899</v>
      </c>
      <c r="E379">
        <v>10</v>
      </c>
      <c r="F379">
        <v>3</v>
      </c>
      <c r="G379">
        <v>47</v>
      </c>
      <c r="H379" t="s">
        <v>16</v>
      </c>
      <c r="I379">
        <v>361.81</v>
      </c>
    </row>
    <row r="380" spans="1:9" hidden="1" x14ac:dyDescent="0.25">
      <c r="A380">
        <v>392</v>
      </c>
      <c r="B380">
        <v>28</v>
      </c>
      <c r="C380" t="s">
        <v>12</v>
      </c>
      <c r="D380">
        <v>59278</v>
      </c>
      <c r="E380">
        <v>60</v>
      </c>
      <c r="F380">
        <v>2</v>
      </c>
      <c r="G380">
        <v>8</v>
      </c>
      <c r="H380" t="s">
        <v>13</v>
      </c>
      <c r="I380">
        <v>362.41</v>
      </c>
    </row>
    <row r="381" spans="1:9" hidden="1" x14ac:dyDescent="0.25">
      <c r="A381">
        <v>578</v>
      </c>
      <c r="B381">
        <v>64</v>
      </c>
      <c r="C381" t="s">
        <v>12</v>
      </c>
      <c r="D381">
        <v>43175</v>
      </c>
      <c r="E381">
        <v>59</v>
      </c>
      <c r="F381">
        <v>10</v>
      </c>
      <c r="G381">
        <v>35</v>
      </c>
      <c r="H381" t="s">
        <v>14</v>
      </c>
      <c r="I381">
        <v>363.86</v>
      </c>
    </row>
    <row r="382" spans="1:9" hidden="1" x14ac:dyDescent="0.25">
      <c r="A382">
        <v>983</v>
      </c>
      <c r="B382">
        <v>68</v>
      </c>
      <c r="C382" t="s">
        <v>18</v>
      </c>
      <c r="D382">
        <v>117203</v>
      </c>
      <c r="E382">
        <v>76</v>
      </c>
      <c r="F382">
        <v>7</v>
      </c>
      <c r="G382">
        <v>38</v>
      </c>
      <c r="H382" t="s">
        <v>14</v>
      </c>
      <c r="I382">
        <v>363.94</v>
      </c>
    </row>
    <row r="383" spans="1:9" hidden="1" x14ac:dyDescent="0.25">
      <c r="A383">
        <v>768</v>
      </c>
      <c r="B383">
        <v>33</v>
      </c>
      <c r="C383" t="s">
        <v>45</v>
      </c>
      <c r="D383">
        <v>92798</v>
      </c>
      <c r="E383">
        <v>80</v>
      </c>
      <c r="F383">
        <v>3</v>
      </c>
      <c r="G383">
        <v>44</v>
      </c>
      <c r="H383" t="s">
        <v>16</v>
      </c>
      <c r="I383">
        <v>367.85</v>
      </c>
    </row>
    <row r="384" spans="1:9" hidden="1" x14ac:dyDescent="0.25">
      <c r="A384">
        <v>160</v>
      </c>
      <c r="B384">
        <v>36</v>
      </c>
      <c r="C384" t="s">
        <v>45</v>
      </c>
      <c r="D384">
        <v>83511</v>
      </c>
      <c r="E384">
        <v>28</v>
      </c>
      <c r="F384">
        <v>5</v>
      </c>
      <c r="G384">
        <v>49</v>
      </c>
      <c r="H384" t="s">
        <v>13</v>
      </c>
      <c r="I384">
        <v>367.97</v>
      </c>
    </row>
    <row r="385" spans="1:9" hidden="1" x14ac:dyDescent="0.25">
      <c r="A385">
        <v>151</v>
      </c>
      <c r="B385">
        <v>55</v>
      </c>
      <c r="C385" t="s">
        <v>45</v>
      </c>
      <c r="D385">
        <v>138064</v>
      </c>
      <c r="E385">
        <v>86</v>
      </c>
      <c r="F385">
        <v>5</v>
      </c>
      <c r="G385">
        <v>22</v>
      </c>
      <c r="H385" t="s">
        <v>14</v>
      </c>
      <c r="I385">
        <v>368.75</v>
      </c>
    </row>
    <row r="386" spans="1:9" hidden="1" x14ac:dyDescent="0.25">
      <c r="A386">
        <v>128</v>
      </c>
      <c r="B386">
        <v>40</v>
      </c>
      <c r="C386" t="s">
        <v>45</v>
      </c>
      <c r="D386">
        <v>81037</v>
      </c>
      <c r="E386">
        <v>70</v>
      </c>
      <c r="F386">
        <v>10</v>
      </c>
      <c r="G386">
        <v>45</v>
      </c>
      <c r="H386" t="s">
        <v>14</v>
      </c>
      <c r="I386">
        <v>370.75</v>
      </c>
    </row>
    <row r="387" spans="1:9" hidden="1" x14ac:dyDescent="0.25">
      <c r="A387">
        <v>449</v>
      </c>
      <c r="B387">
        <v>50</v>
      </c>
      <c r="C387" t="s">
        <v>12</v>
      </c>
      <c r="D387">
        <v>46524</v>
      </c>
      <c r="E387">
        <v>1</v>
      </c>
      <c r="F387">
        <v>4</v>
      </c>
      <c r="G387">
        <v>7</v>
      </c>
      <c r="H387" t="s">
        <v>13</v>
      </c>
      <c r="I387">
        <v>371.62</v>
      </c>
    </row>
    <row r="388" spans="1:9" hidden="1" x14ac:dyDescent="0.25">
      <c r="A388">
        <v>571</v>
      </c>
      <c r="B388">
        <v>36</v>
      </c>
      <c r="C388" t="s">
        <v>18</v>
      </c>
      <c r="D388">
        <v>31458</v>
      </c>
      <c r="E388">
        <v>40</v>
      </c>
      <c r="F388">
        <v>4</v>
      </c>
      <c r="G388">
        <v>6</v>
      </c>
      <c r="H388" t="s">
        <v>14</v>
      </c>
      <c r="I388">
        <v>371.77</v>
      </c>
    </row>
    <row r="389" spans="1:9" hidden="1" x14ac:dyDescent="0.25">
      <c r="A389">
        <v>941</v>
      </c>
      <c r="B389">
        <v>54</v>
      </c>
      <c r="C389" t="s">
        <v>12</v>
      </c>
      <c r="D389">
        <v>33706</v>
      </c>
      <c r="E389">
        <v>64</v>
      </c>
      <c r="F389">
        <v>9</v>
      </c>
      <c r="G389">
        <v>1</v>
      </c>
      <c r="H389" t="s">
        <v>17</v>
      </c>
      <c r="I389">
        <v>371.93</v>
      </c>
    </row>
    <row r="390" spans="1:9" hidden="1" x14ac:dyDescent="0.25">
      <c r="A390">
        <v>372</v>
      </c>
      <c r="B390">
        <v>39</v>
      </c>
      <c r="C390" t="s">
        <v>18</v>
      </c>
      <c r="D390">
        <v>53805</v>
      </c>
      <c r="E390">
        <v>71</v>
      </c>
      <c r="F390">
        <v>5</v>
      </c>
      <c r="G390">
        <v>16</v>
      </c>
      <c r="H390" t="s">
        <v>15</v>
      </c>
      <c r="I390">
        <v>372.03</v>
      </c>
    </row>
    <row r="391" spans="1:9" hidden="1" x14ac:dyDescent="0.25">
      <c r="A391">
        <v>816</v>
      </c>
      <c r="B391">
        <v>50</v>
      </c>
      <c r="C391" t="s">
        <v>45</v>
      </c>
      <c r="D391">
        <v>143612</v>
      </c>
      <c r="E391">
        <v>71</v>
      </c>
      <c r="F391">
        <v>9</v>
      </c>
      <c r="G391">
        <v>28</v>
      </c>
      <c r="H391" t="s">
        <v>16</v>
      </c>
      <c r="I391">
        <v>372.69</v>
      </c>
    </row>
    <row r="392" spans="1:9" hidden="1" x14ac:dyDescent="0.25">
      <c r="A392">
        <v>842</v>
      </c>
      <c r="B392">
        <v>33</v>
      </c>
      <c r="C392" t="s">
        <v>18</v>
      </c>
      <c r="D392">
        <v>96916</v>
      </c>
      <c r="E392">
        <v>23</v>
      </c>
      <c r="F392">
        <v>6</v>
      </c>
      <c r="G392">
        <v>12</v>
      </c>
      <c r="H392" t="s">
        <v>15</v>
      </c>
      <c r="I392">
        <v>373.49</v>
      </c>
    </row>
    <row r="393" spans="1:9" hidden="1" x14ac:dyDescent="0.25">
      <c r="A393">
        <v>885</v>
      </c>
      <c r="B393">
        <v>58</v>
      </c>
      <c r="C393" t="s">
        <v>45</v>
      </c>
      <c r="D393">
        <v>149723</v>
      </c>
      <c r="E393">
        <v>70</v>
      </c>
      <c r="F393">
        <v>9</v>
      </c>
      <c r="G393">
        <v>23</v>
      </c>
      <c r="H393" t="s">
        <v>14</v>
      </c>
      <c r="I393">
        <v>374.59</v>
      </c>
    </row>
    <row r="394" spans="1:9" hidden="1" x14ac:dyDescent="0.25">
      <c r="A394">
        <v>96</v>
      </c>
      <c r="B394">
        <v>23</v>
      </c>
      <c r="C394" t="s">
        <v>12</v>
      </c>
      <c r="D394">
        <v>108480</v>
      </c>
      <c r="E394">
        <v>46</v>
      </c>
      <c r="F394">
        <v>10</v>
      </c>
      <c r="G394">
        <v>21</v>
      </c>
      <c r="H394" t="s">
        <v>17</v>
      </c>
      <c r="I394">
        <v>377.31</v>
      </c>
    </row>
    <row r="395" spans="1:9" hidden="1" x14ac:dyDescent="0.25">
      <c r="A395">
        <v>193</v>
      </c>
      <c r="B395">
        <v>69</v>
      </c>
      <c r="C395" t="s">
        <v>18</v>
      </c>
      <c r="D395">
        <v>39509</v>
      </c>
      <c r="E395">
        <v>10</v>
      </c>
      <c r="F395">
        <v>6</v>
      </c>
      <c r="G395">
        <v>27</v>
      </c>
      <c r="H395" t="s">
        <v>16</v>
      </c>
      <c r="I395">
        <v>377.66</v>
      </c>
    </row>
    <row r="396" spans="1:9" hidden="1" x14ac:dyDescent="0.25">
      <c r="A396">
        <v>533</v>
      </c>
      <c r="B396">
        <v>36</v>
      </c>
      <c r="C396" t="s">
        <v>45</v>
      </c>
      <c r="D396">
        <v>113794</v>
      </c>
      <c r="E396">
        <v>74</v>
      </c>
      <c r="F396">
        <v>1</v>
      </c>
      <c r="G396">
        <v>27</v>
      </c>
      <c r="H396" t="s">
        <v>15</v>
      </c>
      <c r="I396">
        <v>377.75</v>
      </c>
    </row>
    <row r="397" spans="1:9" hidden="1" x14ac:dyDescent="0.25">
      <c r="A397">
        <v>136</v>
      </c>
      <c r="B397">
        <v>31</v>
      </c>
      <c r="C397" t="s">
        <v>12</v>
      </c>
      <c r="D397">
        <v>145261</v>
      </c>
      <c r="E397">
        <v>25</v>
      </c>
      <c r="F397">
        <v>10</v>
      </c>
      <c r="G397">
        <v>37</v>
      </c>
      <c r="H397" t="s">
        <v>15</v>
      </c>
      <c r="I397">
        <v>378.4</v>
      </c>
    </row>
    <row r="398" spans="1:9" hidden="1" x14ac:dyDescent="0.25">
      <c r="A398">
        <v>17</v>
      </c>
      <c r="B398">
        <v>57</v>
      </c>
      <c r="C398" t="s">
        <v>12</v>
      </c>
      <c r="D398">
        <v>102535</v>
      </c>
      <c r="E398">
        <v>29</v>
      </c>
      <c r="F398">
        <v>5</v>
      </c>
      <c r="G398">
        <v>13</v>
      </c>
      <c r="H398" t="s">
        <v>17</v>
      </c>
      <c r="I398">
        <v>378.47</v>
      </c>
    </row>
    <row r="399" spans="1:9" hidden="1" x14ac:dyDescent="0.25">
      <c r="A399">
        <v>730</v>
      </c>
      <c r="B399">
        <v>19</v>
      </c>
      <c r="C399" t="s">
        <v>12</v>
      </c>
      <c r="D399">
        <v>85349</v>
      </c>
      <c r="E399">
        <v>77</v>
      </c>
      <c r="F399">
        <v>8</v>
      </c>
      <c r="G399">
        <v>29</v>
      </c>
      <c r="H399" t="s">
        <v>13</v>
      </c>
      <c r="I399">
        <v>381.04</v>
      </c>
    </row>
    <row r="400" spans="1:9" hidden="1" x14ac:dyDescent="0.25">
      <c r="A400">
        <v>380</v>
      </c>
      <c r="B400">
        <v>59</v>
      </c>
      <c r="C400" t="s">
        <v>45</v>
      </c>
      <c r="D400">
        <v>140349</v>
      </c>
      <c r="E400">
        <v>75</v>
      </c>
      <c r="F400">
        <v>2</v>
      </c>
      <c r="G400">
        <v>6</v>
      </c>
      <c r="H400" t="s">
        <v>15</v>
      </c>
      <c r="I400">
        <v>383.64</v>
      </c>
    </row>
    <row r="401" spans="1:9" hidden="1" x14ac:dyDescent="0.25">
      <c r="A401">
        <v>713</v>
      </c>
      <c r="B401">
        <v>19</v>
      </c>
      <c r="C401" t="s">
        <v>18</v>
      </c>
      <c r="D401">
        <v>76416</v>
      </c>
      <c r="E401">
        <v>26</v>
      </c>
      <c r="F401">
        <v>6</v>
      </c>
      <c r="G401">
        <v>20</v>
      </c>
      <c r="H401" t="s">
        <v>14</v>
      </c>
      <c r="I401">
        <v>385.1</v>
      </c>
    </row>
    <row r="402" spans="1:9" hidden="1" x14ac:dyDescent="0.25">
      <c r="A402">
        <v>793</v>
      </c>
      <c r="B402">
        <v>63</v>
      </c>
      <c r="C402" t="s">
        <v>18</v>
      </c>
      <c r="D402">
        <v>123481</v>
      </c>
      <c r="E402">
        <v>26</v>
      </c>
      <c r="F402">
        <v>1</v>
      </c>
      <c r="G402">
        <v>26</v>
      </c>
      <c r="H402" t="s">
        <v>13</v>
      </c>
      <c r="I402">
        <v>386.51</v>
      </c>
    </row>
    <row r="403" spans="1:9" hidden="1" x14ac:dyDescent="0.25">
      <c r="A403">
        <v>466</v>
      </c>
      <c r="B403">
        <v>69</v>
      </c>
      <c r="C403" t="s">
        <v>45</v>
      </c>
      <c r="D403">
        <v>143640</v>
      </c>
      <c r="E403">
        <v>14</v>
      </c>
      <c r="F403">
        <v>8</v>
      </c>
      <c r="G403">
        <v>2</v>
      </c>
      <c r="H403" t="s">
        <v>17</v>
      </c>
      <c r="I403">
        <v>387.39</v>
      </c>
    </row>
    <row r="404" spans="1:9" hidden="1" x14ac:dyDescent="0.25">
      <c r="A404">
        <v>378</v>
      </c>
      <c r="B404">
        <v>45</v>
      </c>
      <c r="C404" t="s">
        <v>18</v>
      </c>
      <c r="D404">
        <v>110174</v>
      </c>
      <c r="E404">
        <v>87</v>
      </c>
      <c r="F404">
        <v>5</v>
      </c>
      <c r="G404">
        <v>32</v>
      </c>
      <c r="H404" t="s">
        <v>13</v>
      </c>
      <c r="I404">
        <v>388.15</v>
      </c>
    </row>
    <row r="405" spans="1:9" hidden="1" x14ac:dyDescent="0.25">
      <c r="A405">
        <v>126</v>
      </c>
      <c r="B405">
        <v>26</v>
      </c>
      <c r="C405" t="s">
        <v>18</v>
      </c>
      <c r="D405">
        <v>69795</v>
      </c>
      <c r="E405">
        <v>60</v>
      </c>
      <c r="F405">
        <v>9</v>
      </c>
      <c r="G405">
        <v>29</v>
      </c>
      <c r="H405" t="s">
        <v>14</v>
      </c>
      <c r="I405">
        <v>389.37</v>
      </c>
    </row>
    <row r="406" spans="1:9" hidden="1" x14ac:dyDescent="0.25">
      <c r="A406">
        <v>376</v>
      </c>
      <c r="B406">
        <v>25</v>
      </c>
      <c r="C406" t="s">
        <v>18</v>
      </c>
      <c r="D406">
        <v>56110</v>
      </c>
      <c r="E406">
        <v>36</v>
      </c>
      <c r="F406">
        <v>5</v>
      </c>
      <c r="G406">
        <v>42</v>
      </c>
      <c r="H406" t="s">
        <v>14</v>
      </c>
      <c r="I406">
        <v>389.97</v>
      </c>
    </row>
    <row r="407" spans="1:9" hidden="1" x14ac:dyDescent="0.25">
      <c r="A407">
        <v>560</v>
      </c>
      <c r="B407">
        <v>63</v>
      </c>
      <c r="C407" t="s">
        <v>12</v>
      </c>
      <c r="D407">
        <v>82296</v>
      </c>
      <c r="E407">
        <v>61</v>
      </c>
      <c r="F407">
        <v>4</v>
      </c>
      <c r="G407">
        <v>43</v>
      </c>
      <c r="H407" t="s">
        <v>13</v>
      </c>
      <c r="I407">
        <v>390.89</v>
      </c>
    </row>
    <row r="408" spans="1:9" hidden="1" x14ac:dyDescent="0.25">
      <c r="A408">
        <v>452</v>
      </c>
      <c r="B408">
        <v>45</v>
      </c>
      <c r="C408" t="s">
        <v>18</v>
      </c>
      <c r="D408">
        <v>93800</v>
      </c>
      <c r="E408">
        <v>33</v>
      </c>
      <c r="F408">
        <v>10</v>
      </c>
      <c r="G408">
        <v>32</v>
      </c>
      <c r="H408" t="s">
        <v>15</v>
      </c>
      <c r="I408">
        <v>391.45</v>
      </c>
    </row>
    <row r="409" spans="1:9" hidden="1" x14ac:dyDescent="0.25">
      <c r="A409">
        <v>441</v>
      </c>
      <c r="B409">
        <v>46</v>
      </c>
      <c r="C409" t="s">
        <v>12</v>
      </c>
      <c r="D409">
        <v>68970</v>
      </c>
      <c r="E409">
        <v>50</v>
      </c>
      <c r="F409">
        <v>9</v>
      </c>
      <c r="G409">
        <v>46</v>
      </c>
      <c r="H409" t="s">
        <v>17</v>
      </c>
      <c r="I409">
        <v>392.35</v>
      </c>
    </row>
    <row r="410" spans="1:9" hidden="1" x14ac:dyDescent="0.25">
      <c r="A410">
        <v>85</v>
      </c>
      <c r="B410">
        <v>19</v>
      </c>
      <c r="C410" t="s">
        <v>12</v>
      </c>
      <c r="D410">
        <v>101100</v>
      </c>
      <c r="E410">
        <v>43</v>
      </c>
      <c r="F410">
        <v>3</v>
      </c>
      <c r="G410">
        <v>14</v>
      </c>
      <c r="H410" t="s">
        <v>17</v>
      </c>
      <c r="I410">
        <v>392.36</v>
      </c>
    </row>
    <row r="411" spans="1:9" hidden="1" x14ac:dyDescent="0.25">
      <c r="A411">
        <v>158</v>
      </c>
      <c r="B411">
        <v>61</v>
      </c>
      <c r="C411" t="s">
        <v>45</v>
      </c>
      <c r="D411">
        <v>46738</v>
      </c>
      <c r="E411">
        <v>36</v>
      </c>
      <c r="F411">
        <v>3</v>
      </c>
      <c r="G411">
        <v>26</v>
      </c>
      <c r="H411" t="s">
        <v>16</v>
      </c>
      <c r="I411">
        <v>393.6</v>
      </c>
    </row>
    <row r="412" spans="1:9" hidden="1" x14ac:dyDescent="0.25">
      <c r="A412">
        <v>424</v>
      </c>
      <c r="B412">
        <v>56</v>
      </c>
      <c r="C412" t="s">
        <v>12</v>
      </c>
      <c r="D412">
        <v>134502</v>
      </c>
      <c r="E412">
        <v>46</v>
      </c>
      <c r="F412">
        <v>5</v>
      </c>
      <c r="G412">
        <v>5</v>
      </c>
      <c r="H412" t="s">
        <v>16</v>
      </c>
      <c r="I412">
        <v>394.49</v>
      </c>
    </row>
    <row r="413" spans="1:9" hidden="1" x14ac:dyDescent="0.25">
      <c r="A413">
        <v>724</v>
      </c>
      <c r="B413">
        <v>21</v>
      </c>
      <c r="C413" t="s">
        <v>45</v>
      </c>
      <c r="D413">
        <v>114762</v>
      </c>
      <c r="E413">
        <v>28</v>
      </c>
      <c r="F413">
        <v>3</v>
      </c>
      <c r="G413">
        <v>7</v>
      </c>
      <c r="H413" t="s">
        <v>15</v>
      </c>
      <c r="I413">
        <v>397.54</v>
      </c>
    </row>
    <row r="414" spans="1:9" hidden="1" x14ac:dyDescent="0.25">
      <c r="A414">
        <v>60</v>
      </c>
      <c r="B414">
        <v>21</v>
      </c>
      <c r="C414" t="s">
        <v>18</v>
      </c>
      <c r="D414">
        <v>139387</v>
      </c>
      <c r="E414">
        <v>1</v>
      </c>
      <c r="F414">
        <v>5</v>
      </c>
      <c r="G414">
        <v>7</v>
      </c>
      <c r="H414" t="s">
        <v>17</v>
      </c>
      <c r="I414">
        <v>399.58</v>
      </c>
    </row>
    <row r="415" spans="1:9" hidden="1" x14ac:dyDescent="0.25">
      <c r="A415">
        <v>705</v>
      </c>
      <c r="B415">
        <v>42</v>
      </c>
      <c r="C415" t="s">
        <v>12</v>
      </c>
      <c r="D415">
        <v>49140</v>
      </c>
      <c r="E415">
        <v>23</v>
      </c>
      <c r="F415">
        <v>9</v>
      </c>
      <c r="G415">
        <v>35</v>
      </c>
      <c r="H415" t="s">
        <v>17</v>
      </c>
      <c r="I415">
        <v>400.23</v>
      </c>
    </row>
    <row r="416" spans="1:9" hidden="1" x14ac:dyDescent="0.25">
      <c r="A416">
        <v>185</v>
      </c>
      <c r="B416">
        <v>41</v>
      </c>
      <c r="C416" t="s">
        <v>18</v>
      </c>
      <c r="D416">
        <v>104337</v>
      </c>
      <c r="E416">
        <v>91</v>
      </c>
      <c r="F416">
        <v>6</v>
      </c>
      <c r="G416">
        <v>27</v>
      </c>
      <c r="H416" t="s">
        <v>13</v>
      </c>
      <c r="I416">
        <v>401.63</v>
      </c>
    </row>
    <row r="417" spans="1:9" hidden="1" x14ac:dyDescent="0.25">
      <c r="A417">
        <v>127</v>
      </c>
      <c r="B417">
        <v>58</v>
      </c>
      <c r="C417" t="s">
        <v>12</v>
      </c>
      <c r="D417">
        <v>32860</v>
      </c>
      <c r="E417">
        <v>90</v>
      </c>
      <c r="F417">
        <v>5</v>
      </c>
      <c r="G417">
        <v>18</v>
      </c>
      <c r="H417" t="s">
        <v>15</v>
      </c>
      <c r="I417">
        <v>405.05</v>
      </c>
    </row>
    <row r="418" spans="1:9" hidden="1" x14ac:dyDescent="0.25">
      <c r="A418">
        <v>513</v>
      </c>
      <c r="B418">
        <v>19</v>
      </c>
      <c r="C418" t="s">
        <v>12</v>
      </c>
      <c r="D418">
        <v>82506</v>
      </c>
      <c r="E418">
        <v>10</v>
      </c>
      <c r="F418">
        <v>5</v>
      </c>
      <c r="G418">
        <v>41</v>
      </c>
      <c r="H418" t="s">
        <v>15</v>
      </c>
      <c r="I418">
        <v>406.32</v>
      </c>
    </row>
    <row r="419" spans="1:9" hidden="1" x14ac:dyDescent="0.25">
      <c r="A419">
        <v>210</v>
      </c>
      <c r="B419">
        <v>47</v>
      </c>
      <c r="C419" t="s">
        <v>45</v>
      </c>
      <c r="D419">
        <v>93783</v>
      </c>
      <c r="E419">
        <v>24</v>
      </c>
      <c r="F419">
        <v>10</v>
      </c>
      <c r="G419">
        <v>3</v>
      </c>
      <c r="H419" t="s">
        <v>14</v>
      </c>
      <c r="I419">
        <v>406.56</v>
      </c>
    </row>
    <row r="420" spans="1:9" hidden="1" x14ac:dyDescent="0.25">
      <c r="A420">
        <v>946</v>
      </c>
      <c r="B420">
        <v>59</v>
      </c>
      <c r="C420" t="s">
        <v>12</v>
      </c>
      <c r="D420">
        <v>149936</v>
      </c>
      <c r="E420">
        <v>80</v>
      </c>
      <c r="F420">
        <v>7</v>
      </c>
      <c r="G420">
        <v>37</v>
      </c>
      <c r="H420" t="s">
        <v>16</v>
      </c>
      <c r="I420">
        <v>406.6</v>
      </c>
    </row>
    <row r="421" spans="1:9" hidden="1" x14ac:dyDescent="0.25">
      <c r="A421">
        <v>815</v>
      </c>
      <c r="B421">
        <v>53</v>
      </c>
      <c r="C421" t="s">
        <v>18</v>
      </c>
      <c r="D421">
        <v>58486</v>
      </c>
      <c r="E421">
        <v>87</v>
      </c>
      <c r="F421">
        <v>8</v>
      </c>
      <c r="G421">
        <v>23</v>
      </c>
      <c r="H421" t="s">
        <v>13</v>
      </c>
      <c r="I421">
        <v>409.35</v>
      </c>
    </row>
    <row r="422" spans="1:9" hidden="1" x14ac:dyDescent="0.25">
      <c r="A422">
        <v>577</v>
      </c>
      <c r="B422">
        <v>32</v>
      </c>
      <c r="C422" t="s">
        <v>18</v>
      </c>
      <c r="D422">
        <v>46610</v>
      </c>
      <c r="E422">
        <v>92</v>
      </c>
      <c r="F422">
        <v>5</v>
      </c>
      <c r="G422">
        <v>9</v>
      </c>
      <c r="H422" t="s">
        <v>16</v>
      </c>
      <c r="I422">
        <v>409.85</v>
      </c>
    </row>
    <row r="423" spans="1:9" hidden="1" x14ac:dyDescent="0.25">
      <c r="A423">
        <v>196</v>
      </c>
      <c r="B423">
        <v>48</v>
      </c>
      <c r="C423" t="s">
        <v>12</v>
      </c>
      <c r="D423">
        <v>108550</v>
      </c>
      <c r="E423">
        <v>5</v>
      </c>
      <c r="F423">
        <v>6</v>
      </c>
      <c r="G423">
        <v>35</v>
      </c>
      <c r="H423" t="s">
        <v>13</v>
      </c>
      <c r="I423">
        <v>410.05</v>
      </c>
    </row>
    <row r="424" spans="1:9" hidden="1" x14ac:dyDescent="0.25">
      <c r="A424">
        <v>628</v>
      </c>
      <c r="B424">
        <v>39</v>
      </c>
      <c r="C424" t="s">
        <v>45</v>
      </c>
      <c r="D424">
        <v>108744</v>
      </c>
      <c r="E424">
        <v>63</v>
      </c>
      <c r="F424">
        <v>2</v>
      </c>
      <c r="G424">
        <v>23</v>
      </c>
      <c r="H424" t="s">
        <v>15</v>
      </c>
      <c r="I424">
        <v>411.86</v>
      </c>
    </row>
    <row r="425" spans="1:9" hidden="1" x14ac:dyDescent="0.25">
      <c r="A425">
        <v>301</v>
      </c>
      <c r="B425">
        <v>52</v>
      </c>
      <c r="C425" t="s">
        <v>18</v>
      </c>
      <c r="D425">
        <v>106147</v>
      </c>
      <c r="E425">
        <v>2</v>
      </c>
      <c r="F425">
        <v>6</v>
      </c>
      <c r="G425">
        <v>19</v>
      </c>
      <c r="H425" t="s">
        <v>16</v>
      </c>
      <c r="I425">
        <v>412.65</v>
      </c>
    </row>
    <row r="426" spans="1:9" hidden="1" x14ac:dyDescent="0.25">
      <c r="A426">
        <v>877</v>
      </c>
      <c r="B426">
        <v>51</v>
      </c>
      <c r="C426" t="s">
        <v>18</v>
      </c>
      <c r="D426">
        <v>127950</v>
      </c>
      <c r="E426">
        <v>27</v>
      </c>
      <c r="F426">
        <v>3</v>
      </c>
      <c r="G426">
        <v>45</v>
      </c>
      <c r="H426" t="s">
        <v>13</v>
      </c>
      <c r="I426">
        <v>412.76</v>
      </c>
    </row>
    <row r="427" spans="1:9" hidden="1" x14ac:dyDescent="0.25">
      <c r="A427">
        <v>777</v>
      </c>
      <c r="B427">
        <v>19</v>
      </c>
      <c r="C427" t="s">
        <v>45</v>
      </c>
      <c r="D427">
        <v>45781</v>
      </c>
      <c r="E427">
        <v>93</v>
      </c>
      <c r="F427">
        <v>6</v>
      </c>
      <c r="G427">
        <v>43</v>
      </c>
      <c r="H427" t="s">
        <v>15</v>
      </c>
      <c r="I427">
        <v>412.99</v>
      </c>
    </row>
    <row r="428" spans="1:9" hidden="1" x14ac:dyDescent="0.25">
      <c r="A428">
        <v>933</v>
      </c>
      <c r="B428">
        <v>18</v>
      </c>
      <c r="C428" t="s">
        <v>12</v>
      </c>
      <c r="D428">
        <v>117893</v>
      </c>
      <c r="E428">
        <v>84</v>
      </c>
      <c r="F428">
        <v>3</v>
      </c>
      <c r="G428">
        <v>24</v>
      </c>
      <c r="H428" t="s">
        <v>14</v>
      </c>
      <c r="I428">
        <v>413.27</v>
      </c>
    </row>
    <row r="429" spans="1:9" hidden="1" x14ac:dyDescent="0.25">
      <c r="A429">
        <v>606</v>
      </c>
      <c r="B429">
        <v>39</v>
      </c>
      <c r="C429" t="s">
        <v>12</v>
      </c>
      <c r="D429">
        <v>48641</v>
      </c>
      <c r="E429">
        <v>45</v>
      </c>
      <c r="F429">
        <v>3</v>
      </c>
      <c r="G429">
        <v>46</v>
      </c>
      <c r="H429" t="s">
        <v>13</v>
      </c>
      <c r="I429">
        <v>415.19</v>
      </c>
    </row>
    <row r="430" spans="1:9" hidden="1" x14ac:dyDescent="0.25">
      <c r="A430">
        <v>114</v>
      </c>
      <c r="B430">
        <v>32</v>
      </c>
      <c r="C430" t="s">
        <v>12</v>
      </c>
      <c r="D430">
        <v>35514</v>
      </c>
      <c r="E430">
        <v>4</v>
      </c>
      <c r="F430">
        <v>5</v>
      </c>
      <c r="G430">
        <v>36</v>
      </c>
      <c r="H430" t="s">
        <v>15</v>
      </c>
      <c r="I430">
        <v>415.44</v>
      </c>
    </row>
    <row r="431" spans="1:9" hidden="1" x14ac:dyDescent="0.25">
      <c r="A431">
        <v>648</v>
      </c>
      <c r="B431">
        <v>43</v>
      </c>
      <c r="C431" t="s">
        <v>18</v>
      </c>
      <c r="D431">
        <v>67979</v>
      </c>
      <c r="E431">
        <v>49</v>
      </c>
      <c r="F431">
        <v>2</v>
      </c>
      <c r="G431">
        <v>6</v>
      </c>
      <c r="H431" t="s">
        <v>16</v>
      </c>
      <c r="I431">
        <v>420.03</v>
      </c>
    </row>
    <row r="432" spans="1:9" hidden="1" x14ac:dyDescent="0.25">
      <c r="A432">
        <v>413</v>
      </c>
      <c r="B432">
        <v>19</v>
      </c>
      <c r="C432" t="s">
        <v>18</v>
      </c>
      <c r="D432">
        <v>105731</v>
      </c>
      <c r="E432">
        <v>9</v>
      </c>
      <c r="F432">
        <v>7</v>
      </c>
      <c r="G432">
        <v>10</v>
      </c>
      <c r="H432" t="s">
        <v>13</v>
      </c>
      <c r="I432">
        <v>421.08</v>
      </c>
    </row>
    <row r="433" spans="1:9" hidden="1" x14ac:dyDescent="0.25">
      <c r="A433">
        <v>144</v>
      </c>
      <c r="B433">
        <v>41</v>
      </c>
      <c r="C433" t="s">
        <v>18</v>
      </c>
      <c r="D433">
        <v>82613</v>
      </c>
      <c r="E433">
        <v>49</v>
      </c>
      <c r="F433">
        <v>3</v>
      </c>
      <c r="G433">
        <v>10</v>
      </c>
      <c r="H433" t="s">
        <v>13</v>
      </c>
      <c r="I433">
        <v>421.24</v>
      </c>
    </row>
    <row r="434" spans="1:9" hidden="1" x14ac:dyDescent="0.25">
      <c r="A434">
        <v>559</v>
      </c>
      <c r="B434">
        <v>33</v>
      </c>
      <c r="C434" t="s">
        <v>12</v>
      </c>
      <c r="D434">
        <v>121639</v>
      </c>
      <c r="E434">
        <v>17</v>
      </c>
      <c r="F434">
        <v>7</v>
      </c>
      <c r="G434">
        <v>28</v>
      </c>
      <c r="H434" t="s">
        <v>13</v>
      </c>
      <c r="I434">
        <v>422.14</v>
      </c>
    </row>
    <row r="435" spans="1:9" hidden="1" x14ac:dyDescent="0.25">
      <c r="A435">
        <v>497</v>
      </c>
      <c r="B435">
        <v>56</v>
      </c>
      <c r="C435" t="s">
        <v>12</v>
      </c>
      <c r="D435">
        <v>145254</v>
      </c>
      <c r="E435">
        <v>48</v>
      </c>
      <c r="F435">
        <v>6</v>
      </c>
      <c r="G435">
        <v>43</v>
      </c>
      <c r="H435" t="s">
        <v>15</v>
      </c>
      <c r="I435">
        <v>422.32</v>
      </c>
    </row>
    <row r="436" spans="1:9" hidden="1" x14ac:dyDescent="0.25">
      <c r="A436">
        <v>980</v>
      </c>
      <c r="B436">
        <v>45</v>
      </c>
      <c r="C436" t="s">
        <v>18</v>
      </c>
      <c r="D436">
        <v>135047</v>
      </c>
      <c r="E436">
        <v>11</v>
      </c>
      <c r="F436">
        <v>9</v>
      </c>
      <c r="G436">
        <v>42</v>
      </c>
      <c r="H436" t="s">
        <v>17</v>
      </c>
      <c r="I436">
        <v>422.93</v>
      </c>
    </row>
    <row r="437" spans="1:9" hidden="1" x14ac:dyDescent="0.25">
      <c r="A437">
        <v>829</v>
      </c>
      <c r="B437">
        <v>37</v>
      </c>
      <c r="C437" t="s">
        <v>12</v>
      </c>
      <c r="D437">
        <v>112949</v>
      </c>
      <c r="E437">
        <v>33</v>
      </c>
      <c r="F437">
        <v>8</v>
      </c>
      <c r="G437">
        <v>40</v>
      </c>
      <c r="H437" t="s">
        <v>13</v>
      </c>
      <c r="I437">
        <v>424.07</v>
      </c>
    </row>
    <row r="438" spans="1:9" hidden="1" x14ac:dyDescent="0.25">
      <c r="A438">
        <v>3</v>
      </c>
      <c r="B438">
        <v>60</v>
      </c>
      <c r="C438" t="s">
        <v>18</v>
      </c>
      <c r="D438">
        <v>126573</v>
      </c>
      <c r="E438">
        <v>30</v>
      </c>
      <c r="F438">
        <v>2</v>
      </c>
      <c r="G438">
        <v>28</v>
      </c>
      <c r="H438" t="s">
        <v>17</v>
      </c>
      <c r="I438">
        <v>424.36</v>
      </c>
    </row>
    <row r="439" spans="1:9" hidden="1" x14ac:dyDescent="0.25">
      <c r="A439">
        <v>186</v>
      </c>
      <c r="B439">
        <v>40</v>
      </c>
      <c r="C439" t="s">
        <v>45</v>
      </c>
      <c r="D439">
        <v>124138</v>
      </c>
      <c r="E439">
        <v>84</v>
      </c>
      <c r="F439">
        <v>10</v>
      </c>
      <c r="G439">
        <v>41</v>
      </c>
      <c r="H439" t="s">
        <v>16</v>
      </c>
      <c r="I439">
        <v>426.62</v>
      </c>
    </row>
    <row r="440" spans="1:9" hidden="1" x14ac:dyDescent="0.25">
      <c r="A440">
        <v>907</v>
      </c>
      <c r="B440">
        <v>62</v>
      </c>
      <c r="C440" t="s">
        <v>45</v>
      </c>
      <c r="D440">
        <v>113706</v>
      </c>
      <c r="E440">
        <v>19</v>
      </c>
      <c r="F440">
        <v>1</v>
      </c>
      <c r="G440">
        <v>13</v>
      </c>
      <c r="H440" t="s">
        <v>13</v>
      </c>
      <c r="I440">
        <v>427.68</v>
      </c>
    </row>
    <row r="441" spans="1:9" hidden="1" x14ac:dyDescent="0.25">
      <c r="A441">
        <v>712</v>
      </c>
      <c r="B441">
        <v>18</v>
      </c>
      <c r="C441" t="s">
        <v>12</v>
      </c>
      <c r="D441">
        <v>141318</v>
      </c>
      <c r="E441">
        <v>37</v>
      </c>
      <c r="F441">
        <v>6</v>
      </c>
      <c r="G441">
        <v>28</v>
      </c>
      <c r="H441" t="s">
        <v>13</v>
      </c>
      <c r="I441">
        <v>428.33</v>
      </c>
    </row>
    <row r="442" spans="1:9" hidden="1" x14ac:dyDescent="0.25">
      <c r="A442">
        <v>446</v>
      </c>
      <c r="B442">
        <v>53</v>
      </c>
      <c r="C442" t="s">
        <v>12</v>
      </c>
      <c r="D442">
        <v>56570</v>
      </c>
      <c r="E442">
        <v>29</v>
      </c>
      <c r="F442">
        <v>7</v>
      </c>
      <c r="G442">
        <v>37</v>
      </c>
      <c r="H442" t="s">
        <v>14</v>
      </c>
      <c r="I442">
        <v>432.65</v>
      </c>
    </row>
    <row r="443" spans="1:9" hidden="1" x14ac:dyDescent="0.25">
      <c r="A443">
        <v>451</v>
      </c>
      <c r="B443">
        <v>24</v>
      </c>
      <c r="C443" t="s">
        <v>45</v>
      </c>
      <c r="D443">
        <v>147555</v>
      </c>
      <c r="E443">
        <v>65</v>
      </c>
      <c r="F443">
        <v>4</v>
      </c>
      <c r="G443">
        <v>28</v>
      </c>
      <c r="H443" t="s">
        <v>16</v>
      </c>
      <c r="I443">
        <v>434.84</v>
      </c>
    </row>
    <row r="444" spans="1:9" hidden="1" x14ac:dyDescent="0.25">
      <c r="A444">
        <v>11</v>
      </c>
      <c r="B444">
        <v>23</v>
      </c>
      <c r="C444" t="s">
        <v>45</v>
      </c>
      <c r="D444">
        <v>69659</v>
      </c>
      <c r="E444">
        <v>16</v>
      </c>
      <c r="F444">
        <v>7</v>
      </c>
      <c r="G444">
        <v>24</v>
      </c>
      <c r="H444" t="s">
        <v>17</v>
      </c>
      <c r="I444">
        <v>434.97</v>
      </c>
    </row>
    <row r="445" spans="1:9" hidden="1" x14ac:dyDescent="0.25">
      <c r="A445">
        <v>598</v>
      </c>
      <c r="B445">
        <v>56</v>
      </c>
      <c r="C445" t="s">
        <v>45</v>
      </c>
      <c r="D445">
        <v>55695</v>
      </c>
      <c r="E445">
        <v>58</v>
      </c>
      <c r="F445">
        <v>7</v>
      </c>
      <c r="G445">
        <v>30</v>
      </c>
      <c r="H445" t="s">
        <v>14</v>
      </c>
      <c r="I445">
        <v>435.76</v>
      </c>
    </row>
    <row r="446" spans="1:9" hidden="1" x14ac:dyDescent="0.25">
      <c r="A446">
        <v>204</v>
      </c>
      <c r="B446">
        <v>49</v>
      </c>
      <c r="C446" t="s">
        <v>12</v>
      </c>
      <c r="D446">
        <v>100258</v>
      </c>
      <c r="E446">
        <v>53</v>
      </c>
      <c r="F446">
        <v>6</v>
      </c>
      <c r="G446">
        <v>27</v>
      </c>
      <c r="H446" t="s">
        <v>13</v>
      </c>
      <c r="I446">
        <v>436.43</v>
      </c>
    </row>
    <row r="447" spans="1:9" hidden="1" x14ac:dyDescent="0.25">
      <c r="A447">
        <v>888</v>
      </c>
      <c r="B447">
        <v>29</v>
      </c>
      <c r="C447" t="s">
        <v>12</v>
      </c>
      <c r="D447">
        <v>149973</v>
      </c>
      <c r="E447">
        <v>2</v>
      </c>
      <c r="F447">
        <v>2</v>
      </c>
      <c r="G447">
        <v>19</v>
      </c>
      <c r="H447" t="s">
        <v>16</v>
      </c>
      <c r="I447">
        <v>437.1</v>
      </c>
    </row>
    <row r="448" spans="1:9" hidden="1" x14ac:dyDescent="0.25">
      <c r="A448">
        <v>784</v>
      </c>
      <c r="B448">
        <v>47</v>
      </c>
      <c r="C448" t="s">
        <v>45</v>
      </c>
      <c r="D448">
        <v>64229</v>
      </c>
      <c r="E448">
        <v>74</v>
      </c>
      <c r="F448">
        <v>5</v>
      </c>
      <c r="G448">
        <v>22</v>
      </c>
      <c r="H448" t="s">
        <v>16</v>
      </c>
      <c r="I448">
        <v>438.95</v>
      </c>
    </row>
    <row r="449" spans="1:9" hidden="1" x14ac:dyDescent="0.25">
      <c r="A449">
        <v>914</v>
      </c>
      <c r="B449">
        <v>55</v>
      </c>
      <c r="C449" t="s">
        <v>12</v>
      </c>
      <c r="D449">
        <v>109314</v>
      </c>
      <c r="E449">
        <v>72</v>
      </c>
      <c r="F449">
        <v>10</v>
      </c>
      <c r="G449">
        <v>47</v>
      </c>
      <c r="H449" t="s">
        <v>14</v>
      </c>
      <c r="I449">
        <v>438.97</v>
      </c>
    </row>
    <row r="450" spans="1:9" hidden="1" x14ac:dyDescent="0.25">
      <c r="A450">
        <v>883</v>
      </c>
      <c r="B450">
        <v>62</v>
      </c>
      <c r="C450" t="s">
        <v>45</v>
      </c>
      <c r="D450">
        <v>97909</v>
      </c>
      <c r="E450">
        <v>100</v>
      </c>
      <c r="F450">
        <v>1</v>
      </c>
      <c r="G450">
        <v>5</v>
      </c>
      <c r="H450" t="s">
        <v>13</v>
      </c>
      <c r="I450">
        <v>439.63</v>
      </c>
    </row>
    <row r="451" spans="1:9" hidden="1" x14ac:dyDescent="0.25">
      <c r="A451">
        <v>402</v>
      </c>
      <c r="B451">
        <v>63</v>
      </c>
      <c r="C451" t="s">
        <v>12</v>
      </c>
      <c r="D451">
        <v>149062</v>
      </c>
      <c r="E451">
        <v>66</v>
      </c>
      <c r="F451">
        <v>9</v>
      </c>
      <c r="G451">
        <v>7</v>
      </c>
      <c r="H451" t="s">
        <v>17</v>
      </c>
      <c r="I451">
        <v>441.11</v>
      </c>
    </row>
    <row r="452" spans="1:9" hidden="1" x14ac:dyDescent="0.25">
      <c r="A452">
        <v>792</v>
      </c>
      <c r="B452">
        <v>18</v>
      </c>
      <c r="C452" t="s">
        <v>45</v>
      </c>
      <c r="D452">
        <v>140475</v>
      </c>
      <c r="E452">
        <v>38</v>
      </c>
      <c r="F452">
        <v>8</v>
      </c>
      <c r="G452">
        <v>7</v>
      </c>
      <c r="H452" t="s">
        <v>15</v>
      </c>
      <c r="I452">
        <v>442.42</v>
      </c>
    </row>
    <row r="453" spans="1:9" hidden="1" x14ac:dyDescent="0.25">
      <c r="A453">
        <v>901</v>
      </c>
      <c r="B453">
        <v>57</v>
      </c>
      <c r="C453" t="s">
        <v>18</v>
      </c>
      <c r="D453">
        <v>135440</v>
      </c>
      <c r="E453">
        <v>46</v>
      </c>
      <c r="F453">
        <v>8</v>
      </c>
      <c r="G453">
        <v>3</v>
      </c>
      <c r="H453" t="s">
        <v>13</v>
      </c>
      <c r="I453">
        <v>442.46</v>
      </c>
    </row>
    <row r="454" spans="1:9" hidden="1" x14ac:dyDescent="0.25">
      <c r="A454">
        <v>457</v>
      </c>
      <c r="B454">
        <v>30</v>
      </c>
      <c r="C454" t="s">
        <v>45</v>
      </c>
      <c r="D454">
        <v>120083</v>
      </c>
      <c r="E454">
        <v>47</v>
      </c>
      <c r="F454">
        <v>1</v>
      </c>
      <c r="G454">
        <v>49</v>
      </c>
      <c r="H454" t="s">
        <v>14</v>
      </c>
      <c r="I454">
        <v>443.12</v>
      </c>
    </row>
    <row r="455" spans="1:9" hidden="1" x14ac:dyDescent="0.25">
      <c r="A455">
        <v>837</v>
      </c>
      <c r="B455">
        <v>69</v>
      </c>
      <c r="C455" t="s">
        <v>18</v>
      </c>
      <c r="D455">
        <v>106629</v>
      </c>
      <c r="E455">
        <v>4</v>
      </c>
      <c r="F455">
        <v>7</v>
      </c>
      <c r="G455">
        <v>9</v>
      </c>
      <c r="H455" t="s">
        <v>16</v>
      </c>
      <c r="I455">
        <v>443.22</v>
      </c>
    </row>
    <row r="456" spans="1:9" hidden="1" x14ac:dyDescent="0.25">
      <c r="A456">
        <v>731</v>
      </c>
      <c r="B456">
        <v>53</v>
      </c>
      <c r="C456" t="s">
        <v>18</v>
      </c>
      <c r="D456">
        <v>52855</v>
      </c>
      <c r="E456">
        <v>12</v>
      </c>
      <c r="F456">
        <v>5</v>
      </c>
      <c r="G456">
        <v>33</v>
      </c>
      <c r="H456" t="s">
        <v>16</v>
      </c>
      <c r="I456">
        <v>444.09</v>
      </c>
    </row>
    <row r="457" spans="1:9" hidden="1" x14ac:dyDescent="0.25">
      <c r="A457">
        <v>807</v>
      </c>
      <c r="B457">
        <v>24</v>
      </c>
      <c r="C457" t="s">
        <v>12</v>
      </c>
      <c r="D457">
        <v>68172</v>
      </c>
      <c r="E457">
        <v>6</v>
      </c>
      <c r="F457">
        <v>1</v>
      </c>
      <c r="G457">
        <v>28</v>
      </c>
      <c r="H457" t="s">
        <v>17</v>
      </c>
      <c r="I457">
        <v>445.3</v>
      </c>
    </row>
    <row r="458" spans="1:9" hidden="1" x14ac:dyDescent="0.25">
      <c r="A458">
        <v>113</v>
      </c>
      <c r="B458">
        <v>58</v>
      </c>
      <c r="C458" t="s">
        <v>12</v>
      </c>
      <c r="D458">
        <v>82856</v>
      </c>
      <c r="E458">
        <v>33</v>
      </c>
      <c r="F458">
        <v>7</v>
      </c>
      <c r="G458">
        <v>20</v>
      </c>
      <c r="H458" t="s">
        <v>16</v>
      </c>
      <c r="I458">
        <v>450.72</v>
      </c>
    </row>
    <row r="459" spans="1:9" hidden="1" x14ac:dyDescent="0.25">
      <c r="A459">
        <v>116</v>
      </c>
      <c r="B459">
        <v>59</v>
      </c>
      <c r="C459" t="s">
        <v>12</v>
      </c>
      <c r="D459">
        <v>125014</v>
      </c>
      <c r="E459">
        <v>89</v>
      </c>
      <c r="F459">
        <v>7</v>
      </c>
      <c r="G459">
        <v>42</v>
      </c>
      <c r="H459" t="s">
        <v>13</v>
      </c>
      <c r="I459">
        <v>451.82</v>
      </c>
    </row>
    <row r="460" spans="1:9" hidden="1" x14ac:dyDescent="0.25">
      <c r="A460">
        <v>676</v>
      </c>
      <c r="B460">
        <v>64</v>
      </c>
      <c r="C460" t="s">
        <v>18</v>
      </c>
      <c r="D460">
        <v>48169</v>
      </c>
      <c r="E460">
        <v>39</v>
      </c>
      <c r="F460">
        <v>5</v>
      </c>
      <c r="G460">
        <v>33</v>
      </c>
      <c r="H460" t="s">
        <v>16</v>
      </c>
      <c r="I460">
        <v>451.86</v>
      </c>
    </row>
    <row r="461" spans="1:9" hidden="1" x14ac:dyDescent="0.25">
      <c r="A461">
        <v>566</v>
      </c>
      <c r="B461">
        <v>29</v>
      </c>
      <c r="C461" t="s">
        <v>12</v>
      </c>
      <c r="D461">
        <v>60262</v>
      </c>
      <c r="E461">
        <v>56</v>
      </c>
      <c r="F461">
        <v>4</v>
      </c>
      <c r="G461">
        <v>27</v>
      </c>
      <c r="H461" t="s">
        <v>17</v>
      </c>
      <c r="I461">
        <v>452.32</v>
      </c>
    </row>
    <row r="462" spans="1:9" hidden="1" x14ac:dyDescent="0.25">
      <c r="A462">
        <v>140</v>
      </c>
      <c r="B462">
        <v>18</v>
      </c>
      <c r="C462" t="s">
        <v>18</v>
      </c>
      <c r="D462">
        <v>78097</v>
      </c>
      <c r="E462">
        <v>84</v>
      </c>
      <c r="F462">
        <v>3</v>
      </c>
      <c r="G462">
        <v>26</v>
      </c>
      <c r="H462" t="s">
        <v>17</v>
      </c>
      <c r="I462">
        <v>453.34</v>
      </c>
    </row>
    <row r="463" spans="1:9" hidden="1" x14ac:dyDescent="0.25">
      <c r="A463">
        <v>19</v>
      </c>
      <c r="B463">
        <v>37</v>
      </c>
      <c r="C463" t="s">
        <v>12</v>
      </c>
      <c r="D463">
        <v>95491</v>
      </c>
      <c r="E463">
        <v>90</v>
      </c>
      <c r="F463">
        <v>6</v>
      </c>
      <c r="G463">
        <v>21</v>
      </c>
      <c r="H463" t="s">
        <v>13</v>
      </c>
      <c r="I463">
        <v>454.83</v>
      </c>
    </row>
    <row r="464" spans="1:9" hidden="1" x14ac:dyDescent="0.25">
      <c r="A464">
        <v>853</v>
      </c>
      <c r="B464">
        <v>22</v>
      </c>
      <c r="C464" t="s">
        <v>45</v>
      </c>
      <c r="D464">
        <v>120644</v>
      </c>
      <c r="E464">
        <v>75</v>
      </c>
      <c r="F464">
        <v>1</v>
      </c>
      <c r="G464">
        <v>4</v>
      </c>
      <c r="H464" t="s">
        <v>17</v>
      </c>
      <c r="I464">
        <v>456.11</v>
      </c>
    </row>
    <row r="465" spans="1:9" hidden="1" x14ac:dyDescent="0.25">
      <c r="A465">
        <v>325</v>
      </c>
      <c r="B465">
        <v>41</v>
      </c>
      <c r="C465" t="s">
        <v>45</v>
      </c>
      <c r="D465">
        <v>71410</v>
      </c>
      <c r="E465">
        <v>69</v>
      </c>
      <c r="F465">
        <v>1</v>
      </c>
      <c r="G465">
        <v>32</v>
      </c>
      <c r="H465" t="s">
        <v>13</v>
      </c>
      <c r="I465">
        <v>456.67</v>
      </c>
    </row>
    <row r="466" spans="1:9" hidden="1" x14ac:dyDescent="0.25">
      <c r="A466">
        <v>991</v>
      </c>
      <c r="B466">
        <v>21</v>
      </c>
      <c r="C466" t="s">
        <v>45</v>
      </c>
      <c r="D466">
        <v>80264</v>
      </c>
      <c r="E466">
        <v>41</v>
      </c>
      <c r="F466">
        <v>4</v>
      </c>
      <c r="G466">
        <v>26</v>
      </c>
      <c r="H466" t="s">
        <v>15</v>
      </c>
      <c r="I466">
        <v>458.93</v>
      </c>
    </row>
    <row r="467" spans="1:9" hidden="1" x14ac:dyDescent="0.25">
      <c r="A467">
        <v>592</v>
      </c>
      <c r="B467">
        <v>22</v>
      </c>
      <c r="C467" t="s">
        <v>12</v>
      </c>
      <c r="D467">
        <v>100730</v>
      </c>
      <c r="E467">
        <v>4</v>
      </c>
      <c r="F467">
        <v>5</v>
      </c>
      <c r="G467">
        <v>10</v>
      </c>
      <c r="H467" t="s">
        <v>15</v>
      </c>
      <c r="I467">
        <v>459.58</v>
      </c>
    </row>
    <row r="468" spans="1:9" hidden="1" x14ac:dyDescent="0.25">
      <c r="A468">
        <v>371</v>
      </c>
      <c r="B468">
        <v>20</v>
      </c>
      <c r="C468" t="s">
        <v>12</v>
      </c>
      <c r="D468">
        <v>87520</v>
      </c>
      <c r="E468">
        <v>93</v>
      </c>
      <c r="F468">
        <v>4</v>
      </c>
      <c r="G468">
        <v>3</v>
      </c>
      <c r="H468" t="s">
        <v>16</v>
      </c>
      <c r="I468">
        <v>459.87</v>
      </c>
    </row>
    <row r="469" spans="1:9" hidden="1" x14ac:dyDescent="0.25">
      <c r="A469">
        <v>608</v>
      </c>
      <c r="B469">
        <v>41</v>
      </c>
      <c r="C469" t="s">
        <v>45</v>
      </c>
      <c r="D469">
        <v>67215</v>
      </c>
      <c r="E469">
        <v>34</v>
      </c>
      <c r="F469">
        <v>3</v>
      </c>
      <c r="G469">
        <v>30</v>
      </c>
      <c r="H469" t="s">
        <v>13</v>
      </c>
      <c r="I469">
        <v>460.25</v>
      </c>
    </row>
    <row r="470" spans="1:9" hidden="1" x14ac:dyDescent="0.25">
      <c r="A470">
        <v>464</v>
      </c>
      <c r="B470">
        <v>65</v>
      </c>
      <c r="C470" t="s">
        <v>18</v>
      </c>
      <c r="D470">
        <v>138529</v>
      </c>
      <c r="E470">
        <v>87</v>
      </c>
      <c r="F470">
        <v>10</v>
      </c>
      <c r="G470">
        <v>14</v>
      </c>
      <c r="H470" t="s">
        <v>15</v>
      </c>
      <c r="I470">
        <v>461.61</v>
      </c>
    </row>
    <row r="471" spans="1:9" hidden="1" x14ac:dyDescent="0.25">
      <c r="A471">
        <v>509</v>
      </c>
      <c r="B471">
        <v>68</v>
      </c>
      <c r="C471" t="s">
        <v>45</v>
      </c>
      <c r="D471">
        <v>113760</v>
      </c>
      <c r="E471">
        <v>64</v>
      </c>
      <c r="F471">
        <v>2</v>
      </c>
      <c r="G471">
        <v>37</v>
      </c>
      <c r="H471" t="s">
        <v>15</v>
      </c>
      <c r="I471">
        <v>462.62</v>
      </c>
    </row>
    <row r="472" spans="1:9" hidden="1" x14ac:dyDescent="0.25">
      <c r="A472">
        <v>306</v>
      </c>
      <c r="B472">
        <v>48</v>
      </c>
      <c r="C472" t="s">
        <v>12</v>
      </c>
      <c r="D472">
        <v>39407</v>
      </c>
      <c r="E472">
        <v>82</v>
      </c>
      <c r="F472">
        <v>5</v>
      </c>
      <c r="G472">
        <v>27</v>
      </c>
      <c r="H472" t="s">
        <v>15</v>
      </c>
      <c r="I472">
        <v>463.07</v>
      </c>
    </row>
    <row r="473" spans="1:9" hidden="1" x14ac:dyDescent="0.25">
      <c r="A473">
        <v>340</v>
      </c>
      <c r="B473">
        <v>48</v>
      </c>
      <c r="C473" t="s">
        <v>45</v>
      </c>
      <c r="D473">
        <v>30374</v>
      </c>
      <c r="E473">
        <v>28</v>
      </c>
      <c r="F473">
        <v>7</v>
      </c>
      <c r="G473">
        <v>34</v>
      </c>
      <c r="H473" t="s">
        <v>16</v>
      </c>
      <c r="I473">
        <v>463.78</v>
      </c>
    </row>
    <row r="474" spans="1:9" hidden="1" x14ac:dyDescent="0.25">
      <c r="A474">
        <v>246</v>
      </c>
      <c r="B474">
        <v>44</v>
      </c>
      <c r="C474" t="s">
        <v>12</v>
      </c>
      <c r="D474">
        <v>83880</v>
      </c>
      <c r="E474">
        <v>31</v>
      </c>
      <c r="F474">
        <v>6</v>
      </c>
      <c r="G474">
        <v>32</v>
      </c>
      <c r="H474" t="s">
        <v>14</v>
      </c>
      <c r="I474">
        <v>464.42</v>
      </c>
    </row>
    <row r="475" spans="1:9" hidden="1" x14ac:dyDescent="0.25">
      <c r="A475">
        <v>458</v>
      </c>
      <c r="B475">
        <v>62</v>
      </c>
      <c r="C475" t="s">
        <v>12</v>
      </c>
      <c r="D475">
        <v>32827</v>
      </c>
      <c r="E475">
        <v>69</v>
      </c>
      <c r="F475">
        <v>8</v>
      </c>
      <c r="G475">
        <v>2</v>
      </c>
      <c r="H475" t="s">
        <v>16</v>
      </c>
      <c r="I475">
        <v>468.37</v>
      </c>
    </row>
    <row r="476" spans="1:9" hidden="1" x14ac:dyDescent="0.25">
      <c r="A476">
        <v>859</v>
      </c>
      <c r="B476">
        <v>22</v>
      </c>
      <c r="C476" t="s">
        <v>12</v>
      </c>
      <c r="D476">
        <v>62752</v>
      </c>
      <c r="E476">
        <v>2</v>
      </c>
      <c r="F476">
        <v>10</v>
      </c>
      <c r="G476">
        <v>22</v>
      </c>
      <c r="H476" t="s">
        <v>14</v>
      </c>
      <c r="I476">
        <v>469.36</v>
      </c>
    </row>
    <row r="477" spans="1:9" hidden="1" x14ac:dyDescent="0.25">
      <c r="A477">
        <v>693</v>
      </c>
      <c r="B477">
        <v>28</v>
      </c>
      <c r="C477" t="s">
        <v>18</v>
      </c>
      <c r="D477">
        <v>142450</v>
      </c>
      <c r="E477">
        <v>80</v>
      </c>
      <c r="F477">
        <v>3</v>
      </c>
      <c r="G477">
        <v>22</v>
      </c>
      <c r="H477" t="s">
        <v>16</v>
      </c>
      <c r="I477">
        <v>471.87</v>
      </c>
    </row>
    <row r="478" spans="1:9" hidden="1" x14ac:dyDescent="0.25">
      <c r="A478">
        <v>875</v>
      </c>
      <c r="B478">
        <v>25</v>
      </c>
      <c r="C478" t="s">
        <v>18</v>
      </c>
      <c r="D478">
        <v>76606</v>
      </c>
      <c r="E478">
        <v>99</v>
      </c>
      <c r="F478">
        <v>10</v>
      </c>
      <c r="G478">
        <v>32</v>
      </c>
      <c r="H478" t="s">
        <v>13</v>
      </c>
      <c r="I478">
        <v>472.4</v>
      </c>
    </row>
    <row r="479" spans="1:9" hidden="1" x14ac:dyDescent="0.25">
      <c r="A479">
        <v>353</v>
      </c>
      <c r="B479">
        <v>61</v>
      </c>
      <c r="C479" t="s">
        <v>45</v>
      </c>
      <c r="D479">
        <v>120516</v>
      </c>
      <c r="E479">
        <v>100</v>
      </c>
      <c r="F479">
        <v>10</v>
      </c>
      <c r="G479">
        <v>47</v>
      </c>
      <c r="H479" t="s">
        <v>13</v>
      </c>
      <c r="I479">
        <v>475.52</v>
      </c>
    </row>
    <row r="480" spans="1:9" hidden="1" x14ac:dyDescent="0.25">
      <c r="A480">
        <v>79</v>
      </c>
      <c r="B480">
        <v>30</v>
      </c>
      <c r="C480" t="s">
        <v>45</v>
      </c>
      <c r="D480">
        <v>95501</v>
      </c>
      <c r="E480">
        <v>27</v>
      </c>
      <c r="F480">
        <v>3</v>
      </c>
      <c r="G480">
        <v>14</v>
      </c>
      <c r="H480" t="s">
        <v>16</v>
      </c>
      <c r="I480">
        <v>476.25</v>
      </c>
    </row>
    <row r="481" spans="1:9" hidden="1" x14ac:dyDescent="0.25">
      <c r="A481">
        <v>234</v>
      </c>
      <c r="B481">
        <v>29</v>
      </c>
      <c r="C481" t="s">
        <v>18</v>
      </c>
      <c r="D481">
        <v>96066</v>
      </c>
      <c r="E481">
        <v>45</v>
      </c>
      <c r="F481">
        <v>7</v>
      </c>
      <c r="G481">
        <v>24</v>
      </c>
      <c r="H481" t="s">
        <v>15</v>
      </c>
      <c r="I481">
        <v>479.36</v>
      </c>
    </row>
    <row r="482" spans="1:9" hidden="1" x14ac:dyDescent="0.25">
      <c r="A482">
        <v>574</v>
      </c>
      <c r="B482">
        <v>48</v>
      </c>
      <c r="C482" t="s">
        <v>45</v>
      </c>
      <c r="D482">
        <v>93084</v>
      </c>
      <c r="E482">
        <v>30</v>
      </c>
      <c r="F482">
        <v>7</v>
      </c>
      <c r="G482">
        <v>5</v>
      </c>
      <c r="H482" t="s">
        <v>17</v>
      </c>
      <c r="I482">
        <v>480.55</v>
      </c>
    </row>
    <row r="483" spans="1:9" hidden="1" x14ac:dyDescent="0.25">
      <c r="A483">
        <v>135</v>
      </c>
      <c r="B483">
        <v>29</v>
      </c>
      <c r="C483" t="s">
        <v>18</v>
      </c>
      <c r="D483">
        <v>100290</v>
      </c>
      <c r="E483">
        <v>85</v>
      </c>
      <c r="F483">
        <v>8</v>
      </c>
      <c r="G483">
        <v>29</v>
      </c>
      <c r="H483" t="s">
        <v>17</v>
      </c>
      <c r="I483">
        <v>480.87</v>
      </c>
    </row>
    <row r="484" spans="1:9" hidden="1" x14ac:dyDescent="0.25">
      <c r="A484">
        <v>397</v>
      </c>
      <c r="B484">
        <v>23</v>
      </c>
      <c r="C484" t="s">
        <v>45</v>
      </c>
      <c r="D484">
        <v>37713</v>
      </c>
      <c r="E484">
        <v>11</v>
      </c>
      <c r="F484">
        <v>8</v>
      </c>
      <c r="G484">
        <v>31</v>
      </c>
      <c r="H484" t="s">
        <v>14</v>
      </c>
      <c r="I484">
        <v>481.24</v>
      </c>
    </row>
    <row r="485" spans="1:9" hidden="1" x14ac:dyDescent="0.25">
      <c r="A485">
        <v>773</v>
      </c>
      <c r="B485">
        <v>51</v>
      </c>
      <c r="C485" t="s">
        <v>18</v>
      </c>
      <c r="D485">
        <v>70099</v>
      </c>
      <c r="E485">
        <v>42</v>
      </c>
      <c r="F485">
        <v>7</v>
      </c>
      <c r="G485">
        <v>12</v>
      </c>
      <c r="H485" t="s">
        <v>16</v>
      </c>
      <c r="I485">
        <v>481.56</v>
      </c>
    </row>
    <row r="486" spans="1:9" hidden="1" x14ac:dyDescent="0.25">
      <c r="A486">
        <v>24</v>
      </c>
      <c r="B486">
        <v>41</v>
      </c>
      <c r="C486" t="s">
        <v>45</v>
      </c>
      <c r="D486">
        <v>81758</v>
      </c>
      <c r="E486">
        <v>87</v>
      </c>
      <c r="F486">
        <v>7</v>
      </c>
      <c r="G486">
        <v>9</v>
      </c>
      <c r="H486" t="s">
        <v>17</v>
      </c>
      <c r="I486">
        <v>482.2</v>
      </c>
    </row>
    <row r="487" spans="1:9" hidden="1" x14ac:dyDescent="0.25">
      <c r="A487">
        <v>534</v>
      </c>
      <c r="B487">
        <v>28</v>
      </c>
      <c r="C487" t="s">
        <v>12</v>
      </c>
      <c r="D487">
        <v>121073</v>
      </c>
      <c r="E487">
        <v>44</v>
      </c>
      <c r="F487">
        <v>3</v>
      </c>
      <c r="G487">
        <v>16</v>
      </c>
      <c r="H487" t="s">
        <v>15</v>
      </c>
      <c r="I487">
        <v>482.35</v>
      </c>
    </row>
    <row r="488" spans="1:9" hidden="1" x14ac:dyDescent="0.25">
      <c r="A488">
        <v>561</v>
      </c>
      <c r="B488">
        <v>61</v>
      </c>
      <c r="C488" t="s">
        <v>45</v>
      </c>
      <c r="D488">
        <v>137276</v>
      </c>
      <c r="E488">
        <v>92</v>
      </c>
      <c r="F488">
        <v>5</v>
      </c>
      <c r="G488">
        <v>8</v>
      </c>
      <c r="H488" t="s">
        <v>16</v>
      </c>
      <c r="I488">
        <v>482.77</v>
      </c>
    </row>
    <row r="489" spans="1:9" hidden="1" x14ac:dyDescent="0.25">
      <c r="A489">
        <v>624</v>
      </c>
      <c r="B489">
        <v>59</v>
      </c>
      <c r="C489" t="s">
        <v>45</v>
      </c>
      <c r="D489">
        <v>66196</v>
      </c>
      <c r="E489">
        <v>37</v>
      </c>
      <c r="F489">
        <v>9</v>
      </c>
      <c r="G489">
        <v>44</v>
      </c>
      <c r="H489" t="s">
        <v>17</v>
      </c>
      <c r="I489">
        <v>483.66</v>
      </c>
    </row>
    <row r="490" spans="1:9" hidden="1" x14ac:dyDescent="0.25">
      <c r="A490">
        <v>873</v>
      </c>
      <c r="B490">
        <v>42</v>
      </c>
      <c r="C490" t="s">
        <v>18</v>
      </c>
      <c r="D490">
        <v>127546</v>
      </c>
      <c r="E490">
        <v>54</v>
      </c>
      <c r="F490">
        <v>1</v>
      </c>
      <c r="G490">
        <v>31</v>
      </c>
      <c r="H490" t="s">
        <v>17</v>
      </c>
      <c r="I490">
        <v>484.72</v>
      </c>
    </row>
    <row r="491" spans="1:9" hidden="1" x14ac:dyDescent="0.25">
      <c r="A491">
        <v>268</v>
      </c>
      <c r="B491">
        <v>23</v>
      </c>
      <c r="C491" t="s">
        <v>45</v>
      </c>
      <c r="D491">
        <v>101024</v>
      </c>
      <c r="E491">
        <v>29</v>
      </c>
      <c r="F491">
        <v>3</v>
      </c>
      <c r="G491">
        <v>41</v>
      </c>
      <c r="H491" t="s">
        <v>16</v>
      </c>
      <c r="I491">
        <v>484.85</v>
      </c>
    </row>
    <row r="492" spans="1:9" hidden="1" x14ac:dyDescent="0.25">
      <c r="A492">
        <v>287</v>
      </c>
      <c r="B492">
        <v>31</v>
      </c>
      <c r="C492" t="s">
        <v>12</v>
      </c>
      <c r="D492">
        <v>119460</v>
      </c>
      <c r="E492">
        <v>69</v>
      </c>
      <c r="F492">
        <v>2</v>
      </c>
      <c r="G492">
        <v>22</v>
      </c>
      <c r="H492" t="s">
        <v>17</v>
      </c>
      <c r="I492">
        <v>486.21</v>
      </c>
    </row>
    <row r="493" spans="1:9" hidden="1" x14ac:dyDescent="0.25">
      <c r="A493">
        <v>256</v>
      </c>
      <c r="B493">
        <v>46</v>
      </c>
      <c r="C493" t="s">
        <v>45</v>
      </c>
      <c r="D493">
        <v>38785</v>
      </c>
      <c r="E493">
        <v>55</v>
      </c>
      <c r="F493">
        <v>9</v>
      </c>
      <c r="G493">
        <v>22</v>
      </c>
      <c r="H493" t="s">
        <v>17</v>
      </c>
      <c r="I493">
        <v>486.25</v>
      </c>
    </row>
    <row r="494" spans="1:9" hidden="1" x14ac:dyDescent="0.25">
      <c r="A494">
        <v>596</v>
      </c>
      <c r="B494">
        <v>46</v>
      </c>
      <c r="C494" t="s">
        <v>12</v>
      </c>
      <c r="D494">
        <v>73370</v>
      </c>
      <c r="E494">
        <v>2</v>
      </c>
      <c r="F494">
        <v>4</v>
      </c>
      <c r="G494">
        <v>29</v>
      </c>
      <c r="H494" t="s">
        <v>13</v>
      </c>
      <c r="I494">
        <v>486.5</v>
      </c>
    </row>
    <row r="495" spans="1:9" hidden="1" x14ac:dyDescent="0.25">
      <c r="A495">
        <v>508</v>
      </c>
      <c r="B495">
        <v>48</v>
      </c>
      <c r="C495" t="s">
        <v>45</v>
      </c>
      <c r="D495">
        <v>72108</v>
      </c>
      <c r="E495">
        <v>85</v>
      </c>
      <c r="F495">
        <v>8</v>
      </c>
      <c r="G495">
        <v>13</v>
      </c>
      <c r="H495" t="s">
        <v>15</v>
      </c>
      <c r="I495">
        <v>486.58</v>
      </c>
    </row>
    <row r="496" spans="1:9" hidden="1" x14ac:dyDescent="0.25">
      <c r="A496">
        <v>889</v>
      </c>
      <c r="B496">
        <v>33</v>
      </c>
      <c r="C496" t="s">
        <v>45</v>
      </c>
      <c r="D496">
        <v>146269</v>
      </c>
      <c r="E496">
        <v>92</v>
      </c>
      <c r="F496">
        <v>6</v>
      </c>
      <c r="G496">
        <v>10</v>
      </c>
      <c r="H496" t="s">
        <v>15</v>
      </c>
      <c r="I496">
        <v>486.86</v>
      </c>
    </row>
    <row r="497" spans="1:9" hidden="1" x14ac:dyDescent="0.25">
      <c r="A497">
        <v>419</v>
      </c>
      <c r="B497">
        <v>64</v>
      </c>
      <c r="C497" t="s">
        <v>45</v>
      </c>
      <c r="D497">
        <v>71594</v>
      </c>
      <c r="E497">
        <v>40</v>
      </c>
      <c r="F497">
        <v>4</v>
      </c>
      <c r="G497">
        <v>42</v>
      </c>
      <c r="H497" t="s">
        <v>17</v>
      </c>
      <c r="I497">
        <v>487.73</v>
      </c>
    </row>
    <row r="498" spans="1:9" hidden="1" x14ac:dyDescent="0.25">
      <c r="A498">
        <v>328</v>
      </c>
      <c r="B498">
        <v>41</v>
      </c>
      <c r="C498" t="s">
        <v>18</v>
      </c>
      <c r="D498">
        <v>64634</v>
      </c>
      <c r="E498">
        <v>55</v>
      </c>
      <c r="F498">
        <v>9</v>
      </c>
      <c r="G498">
        <v>44</v>
      </c>
      <c r="H498" t="s">
        <v>16</v>
      </c>
      <c r="I498">
        <v>488.07</v>
      </c>
    </row>
    <row r="499" spans="1:9" hidden="1" x14ac:dyDescent="0.25">
      <c r="A499">
        <v>625</v>
      </c>
      <c r="B499">
        <v>41</v>
      </c>
      <c r="C499" t="s">
        <v>12</v>
      </c>
      <c r="D499">
        <v>36763</v>
      </c>
      <c r="E499">
        <v>50</v>
      </c>
      <c r="F499">
        <v>5</v>
      </c>
      <c r="G499">
        <v>36</v>
      </c>
      <c r="H499" t="s">
        <v>13</v>
      </c>
      <c r="I499">
        <v>490.62</v>
      </c>
    </row>
    <row r="500" spans="1:9" hidden="1" x14ac:dyDescent="0.25">
      <c r="A500">
        <v>573</v>
      </c>
      <c r="B500">
        <v>40</v>
      </c>
      <c r="C500" t="s">
        <v>18</v>
      </c>
      <c r="D500">
        <v>143338</v>
      </c>
      <c r="E500">
        <v>6</v>
      </c>
      <c r="F500">
        <v>8</v>
      </c>
      <c r="G500">
        <v>26</v>
      </c>
      <c r="H500" t="s">
        <v>16</v>
      </c>
      <c r="I500">
        <v>491.07</v>
      </c>
    </row>
    <row r="501" spans="1:9" hidden="1" x14ac:dyDescent="0.25">
      <c r="A501">
        <v>982</v>
      </c>
      <c r="B501">
        <v>59</v>
      </c>
      <c r="C501" t="s">
        <v>45</v>
      </c>
      <c r="D501">
        <v>87884</v>
      </c>
      <c r="E501">
        <v>79</v>
      </c>
      <c r="F501">
        <v>9</v>
      </c>
      <c r="G501">
        <v>28</v>
      </c>
      <c r="H501" t="s">
        <v>16</v>
      </c>
      <c r="I501">
        <v>491.55</v>
      </c>
    </row>
    <row r="502" spans="1:9" hidden="1" x14ac:dyDescent="0.25">
      <c r="A502">
        <v>505</v>
      </c>
      <c r="B502">
        <v>22</v>
      </c>
      <c r="C502" t="s">
        <v>12</v>
      </c>
      <c r="D502">
        <v>53863</v>
      </c>
      <c r="E502">
        <v>96</v>
      </c>
      <c r="F502">
        <v>10</v>
      </c>
      <c r="G502">
        <v>41</v>
      </c>
      <c r="H502" t="s">
        <v>14</v>
      </c>
      <c r="I502">
        <v>491.64</v>
      </c>
    </row>
    <row r="503" spans="1:9" hidden="1" x14ac:dyDescent="0.25">
      <c r="A503">
        <v>780</v>
      </c>
      <c r="B503">
        <v>65</v>
      </c>
      <c r="C503" t="s">
        <v>45</v>
      </c>
      <c r="D503">
        <v>80686</v>
      </c>
      <c r="E503">
        <v>2</v>
      </c>
      <c r="F503">
        <v>8</v>
      </c>
      <c r="G503">
        <v>30</v>
      </c>
      <c r="H503" t="s">
        <v>15</v>
      </c>
      <c r="I503">
        <v>491.8</v>
      </c>
    </row>
    <row r="504" spans="1:9" hidden="1" x14ac:dyDescent="0.25">
      <c r="A504">
        <v>303</v>
      </c>
      <c r="B504">
        <v>59</v>
      </c>
      <c r="C504" t="s">
        <v>18</v>
      </c>
      <c r="D504">
        <v>57745</v>
      </c>
      <c r="E504">
        <v>33</v>
      </c>
      <c r="F504">
        <v>7</v>
      </c>
      <c r="G504">
        <v>42</v>
      </c>
      <c r="H504" t="s">
        <v>14</v>
      </c>
      <c r="I504">
        <v>492.87</v>
      </c>
    </row>
    <row r="505" spans="1:9" hidden="1" x14ac:dyDescent="0.25">
      <c r="A505">
        <v>65</v>
      </c>
      <c r="B505">
        <v>27</v>
      </c>
      <c r="C505" t="s">
        <v>45</v>
      </c>
      <c r="D505">
        <v>90557</v>
      </c>
      <c r="E505">
        <v>36</v>
      </c>
      <c r="F505">
        <v>2</v>
      </c>
      <c r="G505">
        <v>2</v>
      </c>
      <c r="H505" t="s">
        <v>15</v>
      </c>
      <c r="I505">
        <v>494.55</v>
      </c>
    </row>
    <row r="506" spans="1:9" hidden="1" x14ac:dyDescent="0.25">
      <c r="A506">
        <v>602</v>
      </c>
      <c r="B506">
        <v>20</v>
      </c>
      <c r="C506" t="s">
        <v>12</v>
      </c>
      <c r="D506">
        <v>145924</v>
      </c>
      <c r="E506">
        <v>64</v>
      </c>
      <c r="F506">
        <v>5</v>
      </c>
      <c r="G506">
        <v>18</v>
      </c>
      <c r="H506" t="s">
        <v>14</v>
      </c>
      <c r="I506">
        <v>495.49</v>
      </c>
    </row>
    <row r="507" spans="1:9" hidden="1" x14ac:dyDescent="0.25">
      <c r="A507">
        <v>70</v>
      </c>
      <c r="B507">
        <v>49</v>
      </c>
      <c r="C507" t="s">
        <v>45</v>
      </c>
      <c r="D507">
        <v>40936</v>
      </c>
      <c r="E507">
        <v>32</v>
      </c>
      <c r="F507">
        <v>9</v>
      </c>
      <c r="G507">
        <v>49</v>
      </c>
      <c r="H507" t="s">
        <v>15</v>
      </c>
      <c r="I507">
        <v>495.62</v>
      </c>
    </row>
    <row r="508" spans="1:9" hidden="1" x14ac:dyDescent="0.25">
      <c r="A508">
        <v>651</v>
      </c>
      <c r="B508">
        <v>27</v>
      </c>
      <c r="C508" t="s">
        <v>18</v>
      </c>
      <c r="D508">
        <v>113174</v>
      </c>
      <c r="E508">
        <v>36</v>
      </c>
      <c r="F508">
        <v>3</v>
      </c>
      <c r="G508">
        <v>46</v>
      </c>
      <c r="H508" t="s">
        <v>14</v>
      </c>
      <c r="I508">
        <v>499.07</v>
      </c>
    </row>
    <row r="509" spans="1:9" hidden="1" x14ac:dyDescent="0.25">
      <c r="A509">
        <v>483</v>
      </c>
      <c r="B509">
        <v>44</v>
      </c>
      <c r="C509" t="s">
        <v>18</v>
      </c>
      <c r="D509">
        <v>43069</v>
      </c>
      <c r="E509">
        <v>55</v>
      </c>
      <c r="F509">
        <v>6</v>
      </c>
      <c r="G509">
        <v>33</v>
      </c>
      <c r="H509" t="s">
        <v>16</v>
      </c>
      <c r="I509">
        <v>501.34</v>
      </c>
    </row>
    <row r="510" spans="1:9" hidden="1" x14ac:dyDescent="0.25">
      <c r="A510">
        <v>190</v>
      </c>
      <c r="B510">
        <v>41</v>
      </c>
      <c r="C510" t="s">
        <v>45</v>
      </c>
      <c r="D510">
        <v>59408</v>
      </c>
      <c r="E510">
        <v>68</v>
      </c>
      <c r="F510">
        <v>1</v>
      </c>
      <c r="G510">
        <v>16</v>
      </c>
      <c r="H510" t="s">
        <v>14</v>
      </c>
      <c r="I510">
        <v>504.16</v>
      </c>
    </row>
    <row r="511" spans="1:9" hidden="1" x14ac:dyDescent="0.25">
      <c r="A511">
        <v>999</v>
      </c>
      <c r="B511">
        <v>22</v>
      </c>
      <c r="C511" t="s">
        <v>18</v>
      </c>
      <c r="D511">
        <v>113695</v>
      </c>
      <c r="E511">
        <v>63</v>
      </c>
      <c r="F511">
        <v>7</v>
      </c>
      <c r="G511">
        <v>44</v>
      </c>
      <c r="H511" t="s">
        <v>14</v>
      </c>
      <c r="I511">
        <v>505.16</v>
      </c>
    </row>
    <row r="512" spans="1:9" hidden="1" x14ac:dyDescent="0.25">
      <c r="A512">
        <v>743</v>
      </c>
      <c r="B512">
        <v>64</v>
      </c>
      <c r="C512" t="s">
        <v>12</v>
      </c>
      <c r="D512">
        <v>132277</v>
      </c>
      <c r="E512">
        <v>81</v>
      </c>
      <c r="F512">
        <v>5</v>
      </c>
      <c r="G512">
        <v>30</v>
      </c>
      <c r="H512" t="s">
        <v>15</v>
      </c>
      <c r="I512">
        <v>505.24</v>
      </c>
    </row>
    <row r="513" spans="1:9" hidden="1" x14ac:dyDescent="0.25">
      <c r="A513">
        <v>333</v>
      </c>
      <c r="B513">
        <v>21</v>
      </c>
      <c r="C513" t="s">
        <v>45</v>
      </c>
      <c r="D513">
        <v>126598</v>
      </c>
      <c r="E513">
        <v>14</v>
      </c>
      <c r="F513">
        <v>3</v>
      </c>
      <c r="G513">
        <v>1</v>
      </c>
      <c r="H513" t="s">
        <v>15</v>
      </c>
      <c r="I513">
        <v>505.98</v>
      </c>
    </row>
    <row r="514" spans="1:9" hidden="1" x14ac:dyDescent="0.25">
      <c r="A514">
        <v>316</v>
      </c>
      <c r="B514">
        <v>20</v>
      </c>
      <c r="C514" t="s">
        <v>18</v>
      </c>
      <c r="D514">
        <v>57260</v>
      </c>
      <c r="E514">
        <v>47</v>
      </c>
      <c r="F514">
        <v>2</v>
      </c>
      <c r="G514">
        <v>49</v>
      </c>
      <c r="H514" t="s">
        <v>14</v>
      </c>
      <c r="I514">
        <v>506.7</v>
      </c>
    </row>
    <row r="515" spans="1:9" hidden="1" x14ac:dyDescent="0.25">
      <c r="A515">
        <v>547</v>
      </c>
      <c r="B515">
        <v>60</v>
      </c>
      <c r="C515" t="s">
        <v>45</v>
      </c>
      <c r="D515">
        <v>108533</v>
      </c>
      <c r="E515">
        <v>23</v>
      </c>
      <c r="F515">
        <v>9</v>
      </c>
      <c r="G515">
        <v>24</v>
      </c>
      <c r="H515" t="s">
        <v>14</v>
      </c>
      <c r="I515">
        <v>506.98</v>
      </c>
    </row>
    <row r="516" spans="1:9" hidden="1" x14ac:dyDescent="0.25">
      <c r="A516">
        <v>632</v>
      </c>
      <c r="B516">
        <v>29</v>
      </c>
      <c r="C516" t="s">
        <v>18</v>
      </c>
      <c r="D516">
        <v>72125</v>
      </c>
      <c r="E516">
        <v>41</v>
      </c>
      <c r="F516">
        <v>5</v>
      </c>
      <c r="G516">
        <v>31</v>
      </c>
      <c r="H516" t="s">
        <v>15</v>
      </c>
      <c r="I516">
        <v>507.62</v>
      </c>
    </row>
    <row r="517" spans="1:9" hidden="1" x14ac:dyDescent="0.25">
      <c r="A517">
        <v>25</v>
      </c>
      <c r="B517">
        <v>69</v>
      </c>
      <c r="C517" t="s">
        <v>18</v>
      </c>
      <c r="D517">
        <v>36140</v>
      </c>
      <c r="E517">
        <v>78</v>
      </c>
      <c r="F517">
        <v>5</v>
      </c>
      <c r="G517">
        <v>39</v>
      </c>
      <c r="H517" t="s">
        <v>15</v>
      </c>
      <c r="I517">
        <v>508.86</v>
      </c>
    </row>
    <row r="518" spans="1:9" hidden="1" x14ac:dyDescent="0.25">
      <c r="A518">
        <v>309</v>
      </c>
      <c r="B518">
        <v>64</v>
      </c>
      <c r="C518" t="s">
        <v>18</v>
      </c>
      <c r="D518">
        <v>96182</v>
      </c>
      <c r="E518">
        <v>44</v>
      </c>
      <c r="F518">
        <v>4</v>
      </c>
      <c r="G518">
        <v>8</v>
      </c>
      <c r="H518" t="s">
        <v>16</v>
      </c>
      <c r="I518">
        <v>509.31</v>
      </c>
    </row>
    <row r="519" spans="1:9" hidden="1" x14ac:dyDescent="0.25">
      <c r="A519">
        <v>564</v>
      </c>
      <c r="B519">
        <v>56</v>
      </c>
      <c r="C519" t="s">
        <v>45</v>
      </c>
      <c r="D519">
        <v>134923</v>
      </c>
      <c r="E519">
        <v>18</v>
      </c>
      <c r="F519">
        <v>3</v>
      </c>
      <c r="G519">
        <v>31</v>
      </c>
      <c r="H519" t="s">
        <v>14</v>
      </c>
      <c r="I519">
        <v>515.16</v>
      </c>
    </row>
    <row r="520" spans="1:9" hidden="1" x14ac:dyDescent="0.25">
      <c r="A520">
        <v>28</v>
      </c>
      <c r="B520">
        <v>30</v>
      </c>
      <c r="C520" t="s">
        <v>18</v>
      </c>
      <c r="D520">
        <v>50680</v>
      </c>
      <c r="E520">
        <v>19</v>
      </c>
      <c r="F520">
        <v>7</v>
      </c>
      <c r="G520">
        <v>27</v>
      </c>
      <c r="H520" t="s">
        <v>15</v>
      </c>
      <c r="I520">
        <v>515.88</v>
      </c>
    </row>
    <row r="521" spans="1:9" hidden="1" x14ac:dyDescent="0.25">
      <c r="A521">
        <v>229</v>
      </c>
      <c r="B521">
        <v>19</v>
      </c>
      <c r="C521" t="s">
        <v>45</v>
      </c>
      <c r="D521">
        <v>52470</v>
      </c>
      <c r="E521">
        <v>90</v>
      </c>
      <c r="F521">
        <v>5</v>
      </c>
      <c r="G521">
        <v>35</v>
      </c>
      <c r="H521" t="s">
        <v>16</v>
      </c>
      <c r="I521">
        <v>515.99</v>
      </c>
    </row>
    <row r="522" spans="1:9" hidden="1" x14ac:dyDescent="0.25">
      <c r="A522">
        <v>147</v>
      </c>
      <c r="B522">
        <v>69</v>
      </c>
      <c r="C522" t="s">
        <v>12</v>
      </c>
      <c r="D522">
        <v>90929</v>
      </c>
      <c r="E522">
        <v>2</v>
      </c>
      <c r="F522">
        <v>10</v>
      </c>
      <c r="G522">
        <v>29</v>
      </c>
      <c r="H522" t="s">
        <v>14</v>
      </c>
      <c r="I522">
        <v>518.70000000000005</v>
      </c>
    </row>
    <row r="523" spans="1:9" hidden="1" x14ac:dyDescent="0.25">
      <c r="A523">
        <v>164</v>
      </c>
      <c r="B523">
        <v>60</v>
      </c>
      <c r="C523" t="s">
        <v>45</v>
      </c>
      <c r="D523">
        <v>98771</v>
      </c>
      <c r="E523">
        <v>37</v>
      </c>
      <c r="F523">
        <v>8</v>
      </c>
      <c r="G523">
        <v>42</v>
      </c>
      <c r="H523" t="s">
        <v>15</v>
      </c>
      <c r="I523">
        <v>520.37</v>
      </c>
    </row>
    <row r="524" spans="1:9" hidden="1" x14ac:dyDescent="0.25">
      <c r="A524">
        <v>806</v>
      </c>
      <c r="B524">
        <v>49</v>
      </c>
      <c r="C524" t="s">
        <v>12</v>
      </c>
      <c r="D524">
        <v>69864</v>
      </c>
      <c r="E524">
        <v>92</v>
      </c>
      <c r="F524">
        <v>10</v>
      </c>
      <c r="G524">
        <v>25</v>
      </c>
      <c r="H524" t="s">
        <v>16</v>
      </c>
      <c r="I524">
        <v>522.78</v>
      </c>
    </row>
    <row r="525" spans="1:9" hidden="1" x14ac:dyDescent="0.25">
      <c r="A525">
        <v>76</v>
      </c>
      <c r="B525">
        <v>60</v>
      </c>
      <c r="C525" t="s">
        <v>18</v>
      </c>
      <c r="D525">
        <v>131101</v>
      </c>
      <c r="E525">
        <v>68</v>
      </c>
      <c r="F525">
        <v>8</v>
      </c>
      <c r="G525">
        <v>28</v>
      </c>
      <c r="H525" t="s">
        <v>13</v>
      </c>
      <c r="I525">
        <v>522.95000000000005</v>
      </c>
    </row>
    <row r="526" spans="1:9" hidden="1" x14ac:dyDescent="0.25">
      <c r="A526">
        <v>601</v>
      </c>
      <c r="B526">
        <v>53</v>
      </c>
      <c r="C526" t="s">
        <v>18</v>
      </c>
      <c r="D526">
        <v>137854</v>
      </c>
      <c r="E526">
        <v>33</v>
      </c>
      <c r="F526">
        <v>10</v>
      </c>
      <c r="G526">
        <v>47</v>
      </c>
      <c r="H526" t="s">
        <v>16</v>
      </c>
      <c r="I526">
        <v>523.27</v>
      </c>
    </row>
    <row r="527" spans="1:9" hidden="1" x14ac:dyDescent="0.25">
      <c r="A527">
        <v>856</v>
      </c>
      <c r="B527">
        <v>45</v>
      </c>
      <c r="C527" t="s">
        <v>45</v>
      </c>
      <c r="D527">
        <v>135627</v>
      </c>
      <c r="E527">
        <v>67</v>
      </c>
      <c r="F527">
        <v>2</v>
      </c>
      <c r="G527">
        <v>46</v>
      </c>
      <c r="H527" t="s">
        <v>16</v>
      </c>
      <c r="I527">
        <v>524.16</v>
      </c>
    </row>
    <row r="528" spans="1:9" hidden="1" x14ac:dyDescent="0.25">
      <c r="A528">
        <v>839</v>
      </c>
      <c r="B528">
        <v>43</v>
      </c>
      <c r="C528" t="s">
        <v>12</v>
      </c>
      <c r="D528">
        <v>90687</v>
      </c>
      <c r="E528">
        <v>9</v>
      </c>
      <c r="F528">
        <v>5</v>
      </c>
      <c r="G528">
        <v>24</v>
      </c>
      <c r="H528" t="s">
        <v>15</v>
      </c>
      <c r="I528">
        <v>531.25</v>
      </c>
    </row>
    <row r="529" spans="1:9" hidden="1" x14ac:dyDescent="0.25">
      <c r="A529">
        <v>342</v>
      </c>
      <c r="B529">
        <v>69</v>
      </c>
      <c r="C529" t="s">
        <v>18</v>
      </c>
      <c r="D529">
        <v>71688</v>
      </c>
      <c r="E529">
        <v>69</v>
      </c>
      <c r="F529">
        <v>4</v>
      </c>
      <c r="G529">
        <v>25</v>
      </c>
      <c r="H529" t="s">
        <v>17</v>
      </c>
      <c r="I529">
        <v>532.23</v>
      </c>
    </row>
    <row r="530" spans="1:9" hidden="1" x14ac:dyDescent="0.25">
      <c r="A530">
        <v>103</v>
      </c>
      <c r="B530">
        <v>19</v>
      </c>
      <c r="C530" t="s">
        <v>12</v>
      </c>
      <c r="D530">
        <v>75430</v>
      </c>
      <c r="E530">
        <v>50</v>
      </c>
      <c r="F530">
        <v>7</v>
      </c>
      <c r="G530">
        <v>32</v>
      </c>
      <c r="H530" t="s">
        <v>17</v>
      </c>
      <c r="I530">
        <v>532.51</v>
      </c>
    </row>
    <row r="531" spans="1:9" hidden="1" x14ac:dyDescent="0.25">
      <c r="A531">
        <v>36</v>
      </c>
      <c r="B531">
        <v>30</v>
      </c>
      <c r="C531" t="s">
        <v>18</v>
      </c>
      <c r="D531">
        <v>73464</v>
      </c>
      <c r="E531">
        <v>37</v>
      </c>
      <c r="F531">
        <v>1</v>
      </c>
      <c r="G531">
        <v>6</v>
      </c>
      <c r="H531" t="s">
        <v>17</v>
      </c>
      <c r="I531">
        <v>532.51</v>
      </c>
    </row>
    <row r="532" spans="1:9" hidden="1" x14ac:dyDescent="0.25">
      <c r="A532">
        <v>362</v>
      </c>
      <c r="B532">
        <v>21</v>
      </c>
      <c r="C532" t="s">
        <v>12</v>
      </c>
      <c r="D532">
        <v>107934</v>
      </c>
      <c r="E532">
        <v>32</v>
      </c>
      <c r="F532">
        <v>5</v>
      </c>
      <c r="G532">
        <v>38</v>
      </c>
      <c r="H532" t="s">
        <v>13</v>
      </c>
      <c r="I532">
        <v>533.17999999999995</v>
      </c>
    </row>
    <row r="533" spans="1:9" hidden="1" x14ac:dyDescent="0.25">
      <c r="A533">
        <v>526</v>
      </c>
      <c r="B533">
        <v>52</v>
      </c>
      <c r="C533" t="s">
        <v>12</v>
      </c>
      <c r="D533">
        <v>133701</v>
      </c>
      <c r="E533">
        <v>64</v>
      </c>
      <c r="F533">
        <v>1</v>
      </c>
      <c r="G533">
        <v>34</v>
      </c>
      <c r="H533" t="s">
        <v>17</v>
      </c>
      <c r="I533">
        <v>534.25</v>
      </c>
    </row>
    <row r="534" spans="1:9" hidden="1" x14ac:dyDescent="0.25">
      <c r="A534">
        <v>899</v>
      </c>
      <c r="B534">
        <v>48</v>
      </c>
      <c r="C534" t="s">
        <v>12</v>
      </c>
      <c r="D534">
        <v>134463</v>
      </c>
      <c r="E534">
        <v>32</v>
      </c>
      <c r="F534">
        <v>2</v>
      </c>
      <c r="G534">
        <v>7</v>
      </c>
      <c r="H534" t="s">
        <v>14</v>
      </c>
      <c r="I534">
        <v>535.1</v>
      </c>
    </row>
    <row r="535" spans="1:9" hidden="1" x14ac:dyDescent="0.25">
      <c r="A535">
        <v>345</v>
      </c>
      <c r="B535">
        <v>33</v>
      </c>
      <c r="C535" t="s">
        <v>12</v>
      </c>
      <c r="D535">
        <v>112118</v>
      </c>
      <c r="E535">
        <v>27</v>
      </c>
      <c r="F535">
        <v>10</v>
      </c>
      <c r="G535">
        <v>9</v>
      </c>
      <c r="H535" t="s">
        <v>17</v>
      </c>
      <c r="I535">
        <v>535.28</v>
      </c>
    </row>
    <row r="536" spans="1:9" hidden="1" x14ac:dyDescent="0.25">
      <c r="A536">
        <v>925</v>
      </c>
      <c r="B536">
        <v>53</v>
      </c>
      <c r="C536" t="s">
        <v>45</v>
      </c>
      <c r="D536">
        <v>32539</v>
      </c>
      <c r="E536">
        <v>22</v>
      </c>
      <c r="F536">
        <v>6</v>
      </c>
      <c r="G536">
        <v>42</v>
      </c>
      <c r="H536" t="s">
        <v>13</v>
      </c>
      <c r="I536">
        <v>536.05999999999995</v>
      </c>
    </row>
    <row r="537" spans="1:9" hidden="1" x14ac:dyDescent="0.25">
      <c r="A537">
        <v>836</v>
      </c>
      <c r="B537">
        <v>30</v>
      </c>
      <c r="C537" t="s">
        <v>45</v>
      </c>
      <c r="D537">
        <v>42089</v>
      </c>
      <c r="E537">
        <v>29</v>
      </c>
      <c r="F537">
        <v>3</v>
      </c>
      <c r="G537">
        <v>3</v>
      </c>
      <c r="H537" t="s">
        <v>13</v>
      </c>
      <c r="I537">
        <v>536.52</v>
      </c>
    </row>
    <row r="538" spans="1:9" hidden="1" x14ac:dyDescent="0.25">
      <c r="A538">
        <v>809</v>
      </c>
      <c r="B538">
        <v>46</v>
      </c>
      <c r="C538" t="s">
        <v>45</v>
      </c>
      <c r="D538">
        <v>91845</v>
      </c>
      <c r="E538">
        <v>35</v>
      </c>
      <c r="F538">
        <v>8</v>
      </c>
      <c r="G538">
        <v>49</v>
      </c>
      <c r="H538" t="s">
        <v>14</v>
      </c>
      <c r="I538">
        <v>537.23</v>
      </c>
    </row>
    <row r="539" spans="1:9" hidden="1" x14ac:dyDescent="0.25">
      <c r="A539">
        <v>236</v>
      </c>
      <c r="B539">
        <v>42</v>
      </c>
      <c r="C539" t="s">
        <v>45</v>
      </c>
      <c r="D539">
        <v>66495</v>
      </c>
      <c r="E539">
        <v>79</v>
      </c>
      <c r="F539">
        <v>9</v>
      </c>
      <c r="G539">
        <v>31</v>
      </c>
      <c r="H539" t="s">
        <v>15</v>
      </c>
      <c r="I539">
        <v>537.66</v>
      </c>
    </row>
    <row r="540" spans="1:9" hidden="1" x14ac:dyDescent="0.25">
      <c r="A540">
        <v>317</v>
      </c>
      <c r="B540">
        <v>18</v>
      </c>
      <c r="C540" t="s">
        <v>45</v>
      </c>
      <c r="D540">
        <v>92363</v>
      </c>
      <c r="E540">
        <v>84</v>
      </c>
      <c r="F540">
        <v>1</v>
      </c>
      <c r="G540">
        <v>10</v>
      </c>
      <c r="H540" t="s">
        <v>14</v>
      </c>
      <c r="I540">
        <v>539.74</v>
      </c>
    </row>
    <row r="541" spans="1:9" hidden="1" x14ac:dyDescent="0.25">
      <c r="A541">
        <v>493</v>
      </c>
      <c r="B541">
        <v>51</v>
      </c>
      <c r="C541" t="s">
        <v>18</v>
      </c>
      <c r="D541">
        <v>120616</v>
      </c>
      <c r="E541">
        <v>71</v>
      </c>
      <c r="F541">
        <v>1</v>
      </c>
      <c r="G541">
        <v>16</v>
      </c>
      <c r="H541" t="s">
        <v>17</v>
      </c>
      <c r="I541">
        <v>542.03</v>
      </c>
    </row>
    <row r="542" spans="1:9" hidden="1" x14ac:dyDescent="0.25">
      <c r="A542">
        <v>266</v>
      </c>
      <c r="B542">
        <v>53</v>
      </c>
      <c r="C542" t="s">
        <v>45</v>
      </c>
      <c r="D542">
        <v>84616</v>
      </c>
      <c r="E542">
        <v>68</v>
      </c>
      <c r="F542">
        <v>10</v>
      </c>
      <c r="G542">
        <v>8</v>
      </c>
      <c r="H542" t="s">
        <v>13</v>
      </c>
      <c r="I542">
        <v>543.30999999999995</v>
      </c>
    </row>
    <row r="543" spans="1:9" hidden="1" x14ac:dyDescent="0.25">
      <c r="A543">
        <v>209</v>
      </c>
      <c r="B543">
        <v>60</v>
      </c>
      <c r="C543" t="s">
        <v>18</v>
      </c>
      <c r="D543">
        <v>124416</v>
      </c>
      <c r="E543">
        <v>24</v>
      </c>
      <c r="F543">
        <v>5</v>
      </c>
      <c r="G543">
        <v>39</v>
      </c>
      <c r="H543" t="s">
        <v>13</v>
      </c>
      <c r="I543">
        <v>544.04</v>
      </c>
    </row>
    <row r="544" spans="1:9" hidden="1" x14ac:dyDescent="0.25">
      <c r="A544">
        <v>892</v>
      </c>
      <c r="B544">
        <v>66</v>
      </c>
      <c r="C544" t="s">
        <v>45</v>
      </c>
      <c r="D544">
        <v>40932</v>
      </c>
      <c r="E544">
        <v>5</v>
      </c>
      <c r="F544">
        <v>1</v>
      </c>
      <c r="G544">
        <v>48</v>
      </c>
      <c r="H544" t="s">
        <v>15</v>
      </c>
      <c r="I544">
        <v>546.05999999999995</v>
      </c>
    </row>
    <row r="545" spans="1:9" hidden="1" x14ac:dyDescent="0.25">
      <c r="A545">
        <v>294</v>
      </c>
      <c r="B545">
        <v>47</v>
      </c>
      <c r="C545" t="s">
        <v>45</v>
      </c>
      <c r="D545">
        <v>89077</v>
      </c>
      <c r="E545">
        <v>43</v>
      </c>
      <c r="F545">
        <v>1</v>
      </c>
      <c r="G545">
        <v>35</v>
      </c>
      <c r="H545" t="s">
        <v>17</v>
      </c>
      <c r="I545">
        <v>547.85</v>
      </c>
    </row>
    <row r="546" spans="1:9" hidden="1" x14ac:dyDescent="0.25">
      <c r="A546">
        <v>627</v>
      </c>
      <c r="B546">
        <v>27</v>
      </c>
      <c r="C546" t="s">
        <v>18</v>
      </c>
      <c r="D546">
        <v>96762</v>
      </c>
      <c r="E546">
        <v>22</v>
      </c>
      <c r="F546">
        <v>3</v>
      </c>
      <c r="G546">
        <v>10</v>
      </c>
      <c r="H546" t="s">
        <v>14</v>
      </c>
      <c r="I546">
        <v>551.42999999999995</v>
      </c>
    </row>
    <row r="547" spans="1:9" hidden="1" x14ac:dyDescent="0.25">
      <c r="A547">
        <v>73</v>
      </c>
      <c r="B547">
        <v>31</v>
      </c>
      <c r="C547" t="s">
        <v>18</v>
      </c>
      <c r="D547">
        <v>112452</v>
      </c>
      <c r="E547">
        <v>21</v>
      </c>
      <c r="F547">
        <v>1</v>
      </c>
      <c r="G547">
        <v>5</v>
      </c>
      <c r="H547" t="s">
        <v>16</v>
      </c>
      <c r="I547">
        <v>552.21</v>
      </c>
    </row>
    <row r="548" spans="1:9" hidden="1" x14ac:dyDescent="0.25">
      <c r="A548">
        <v>437</v>
      </c>
      <c r="B548">
        <v>48</v>
      </c>
      <c r="C548" t="s">
        <v>45</v>
      </c>
      <c r="D548">
        <v>51565</v>
      </c>
      <c r="E548">
        <v>44</v>
      </c>
      <c r="F548">
        <v>5</v>
      </c>
      <c r="G548">
        <v>20</v>
      </c>
      <c r="H548" t="s">
        <v>16</v>
      </c>
      <c r="I548">
        <v>552.48</v>
      </c>
    </row>
    <row r="549" spans="1:9" hidden="1" x14ac:dyDescent="0.25">
      <c r="A549">
        <v>124</v>
      </c>
      <c r="B549">
        <v>30</v>
      </c>
      <c r="C549" t="s">
        <v>12</v>
      </c>
      <c r="D549">
        <v>51454</v>
      </c>
      <c r="E549">
        <v>94</v>
      </c>
      <c r="F549">
        <v>8</v>
      </c>
      <c r="G549">
        <v>17</v>
      </c>
      <c r="H549" t="s">
        <v>13</v>
      </c>
      <c r="I549">
        <v>553.35</v>
      </c>
    </row>
    <row r="550" spans="1:9" hidden="1" x14ac:dyDescent="0.25">
      <c r="A550">
        <v>835</v>
      </c>
      <c r="B550">
        <v>41</v>
      </c>
      <c r="C550" t="s">
        <v>18</v>
      </c>
      <c r="D550">
        <v>68147</v>
      </c>
      <c r="E550">
        <v>75</v>
      </c>
      <c r="F550">
        <v>2</v>
      </c>
      <c r="G550">
        <v>33</v>
      </c>
      <c r="H550" t="s">
        <v>16</v>
      </c>
      <c r="I550">
        <v>553.35</v>
      </c>
    </row>
    <row r="551" spans="1:9" hidden="1" x14ac:dyDescent="0.25">
      <c r="A551">
        <v>293</v>
      </c>
      <c r="B551">
        <v>45</v>
      </c>
      <c r="C551" t="s">
        <v>45</v>
      </c>
      <c r="D551">
        <v>54819</v>
      </c>
      <c r="E551">
        <v>72</v>
      </c>
      <c r="F551">
        <v>3</v>
      </c>
      <c r="G551">
        <v>47</v>
      </c>
      <c r="H551" t="s">
        <v>15</v>
      </c>
      <c r="I551">
        <v>553.44000000000005</v>
      </c>
    </row>
    <row r="552" spans="1:9" hidden="1" x14ac:dyDescent="0.25">
      <c r="A552">
        <v>468</v>
      </c>
      <c r="B552">
        <v>54</v>
      </c>
      <c r="C552" t="s">
        <v>12</v>
      </c>
      <c r="D552">
        <v>32276</v>
      </c>
      <c r="E552">
        <v>73</v>
      </c>
      <c r="F552">
        <v>2</v>
      </c>
      <c r="G552">
        <v>44</v>
      </c>
      <c r="H552" t="s">
        <v>17</v>
      </c>
      <c r="I552">
        <v>554.58000000000004</v>
      </c>
    </row>
    <row r="553" spans="1:9" hidden="1" x14ac:dyDescent="0.25">
      <c r="A553">
        <v>331</v>
      </c>
      <c r="B553">
        <v>30</v>
      </c>
      <c r="C553" t="s">
        <v>12</v>
      </c>
      <c r="D553">
        <v>90651</v>
      </c>
      <c r="E553">
        <v>88</v>
      </c>
      <c r="F553">
        <v>9</v>
      </c>
      <c r="G553">
        <v>37</v>
      </c>
      <c r="H553" t="s">
        <v>16</v>
      </c>
      <c r="I553">
        <v>555.41</v>
      </c>
    </row>
    <row r="554" spans="1:9" hidden="1" x14ac:dyDescent="0.25">
      <c r="A554">
        <v>951</v>
      </c>
      <c r="B554">
        <v>41</v>
      </c>
      <c r="C554" t="s">
        <v>45</v>
      </c>
      <c r="D554">
        <v>134487</v>
      </c>
      <c r="E554">
        <v>7</v>
      </c>
      <c r="F554">
        <v>10</v>
      </c>
      <c r="G554">
        <v>50</v>
      </c>
      <c r="H554" t="s">
        <v>14</v>
      </c>
      <c r="I554">
        <v>556.1</v>
      </c>
    </row>
    <row r="555" spans="1:9" hidden="1" x14ac:dyDescent="0.25">
      <c r="A555">
        <v>252</v>
      </c>
      <c r="B555">
        <v>25</v>
      </c>
      <c r="C555" t="s">
        <v>45</v>
      </c>
      <c r="D555">
        <v>105185</v>
      </c>
      <c r="E555">
        <v>70</v>
      </c>
      <c r="F555">
        <v>2</v>
      </c>
      <c r="G555">
        <v>37</v>
      </c>
      <c r="H555" t="s">
        <v>16</v>
      </c>
      <c r="I555">
        <v>556.23</v>
      </c>
    </row>
    <row r="556" spans="1:9" hidden="1" x14ac:dyDescent="0.25">
      <c r="A556">
        <v>928</v>
      </c>
      <c r="B556">
        <v>28</v>
      </c>
      <c r="C556" t="s">
        <v>12</v>
      </c>
      <c r="D556">
        <v>134592</v>
      </c>
      <c r="E556">
        <v>43</v>
      </c>
      <c r="F556">
        <v>10</v>
      </c>
      <c r="G556">
        <v>25</v>
      </c>
      <c r="H556" t="s">
        <v>17</v>
      </c>
      <c r="I556">
        <v>557.04</v>
      </c>
    </row>
    <row r="557" spans="1:9" hidden="1" x14ac:dyDescent="0.25">
      <c r="A557">
        <v>772</v>
      </c>
      <c r="B557">
        <v>26</v>
      </c>
      <c r="C557" t="s">
        <v>18</v>
      </c>
      <c r="D557">
        <v>79842</v>
      </c>
      <c r="E557">
        <v>78</v>
      </c>
      <c r="F557">
        <v>9</v>
      </c>
      <c r="G557">
        <v>5</v>
      </c>
      <c r="H557" t="s">
        <v>17</v>
      </c>
      <c r="I557">
        <v>557.41</v>
      </c>
    </row>
    <row r="558" spans="1:9" hidden="1" x14ac:dyDescent="0.25">
      <c r="A558">
        <v>304</v>
      </c>
      <c r="B558">
        <v>50</v>
      </c>
      <c r="C558" t="s">
        <v>18</v>
      </c>
      <c r="D558">
        <v>78296</v>
      </c>
      <c r="E558">
        <v>93</v>
      </c>
      <c r="F558">
        <v>9</v>
      </c>
      <c r="G558">
        <v>47</v>
      </c>
      <c r="H558" t="s">
        <v>14</v>
      </c>
      <c r="I558">
        <v>559.16</v>
      </c>
    </row>
    <row r="559" spans="1:9" hidden="1" x14ac:dyDescent="0.25">
      <c r="A559">
        <v>753</v>
      </c>
      <c r="B559">
        <v>28</v>
      </c>
      <c r="C559" t="s">
        <v>45</v>
      </c>
      <c r="D559">
        <v>129367</v>
      </c>
      <c r="E559">
        <v>4</v>
      </c>
      <c r="F559">
        <v>1</v>
      </c>
      <c r="G559">
        <v>44</v>
      </c>
      <c r="H559" t="s">
        <v>14</v>
      </c>
      <c r="I559">
        <v>559.61</v>
      </c>
    </row>
    <row r="560" spans="1:9" hidden="1" x14ac:dyDescent="0.25">
      <c r="A560">
        <v>220</v>
      </c>
      <c r="B560">
        <v>69</v>
      </c>
      <c r="C560" t="s">
        <v>12</v>
      </c>
      <c r="D560">
        <v>142216</v>
      </c>
      <c r="E560">
        <v>90</v>
      </c>
      <c r="F560">
        <v>7</v>
      </c>
      <c r="G560">
        <v>29</v>
      </c>
      <c r="H560" t="s">
        <v>14</v>
      </c>
      <c r="I560">
        <v>559.73</v>
      </c>
    </row>
    <row r="561" spans="1:9" hidden="1" x14ac:dyDescent="0.25">
      <c r="A561">
        <v>679</v>
      </c>
      <c r="B561">
        <v>46</v>
      </c>
      <c r="C561" t="s">
        <v>18</v>
      </c>
      <c r="D561">
        <v>112770</v>
      </c>
      <c r="E561">
        <v>6</v>
      </c>
      <c r="F561">
        <v>10</v>
      </c>
      <c r="G561">
        <v>27</v>
      </c>
      <c r="H561" t="s">
        <v>15</v>
      </c>
      <c r="I561">
        <v>559.73</v>
      </c>
    </row>
    <row r="562" spans="1:9" hidden="1" x14ac:dyDescent="0.25">
      <c r="A562">
        <v>932</v>
      </c>
      <c r="B562">
        <v>31</v>
      </c>
      <c r="C562" t="s">
        <v>45</v>
      </c>
      <c r="D562">
        <v>30969</v>
      </c>
      <c r="E562">
        <v>32</v>
      </c>
      <c r="F562">
        <v>9</v>
      </c>
      <c r="G562">
        <v>11</v>
      </c>
      <c r="H562" t="s">
        <v>15</v>
      </c>
      <c r="I562">
        <v>562.47</v>
      </c>
    </row>
    <row r="563" spans="1:9" hidden="1" x14ac:dyDescent="0.25">
      <c r="A563">
        <v>553</v>
      </c>
      <c r="B563">
        <v>69</v>
      </c>
      <c r="C563" t="s">
        <v>12</v>
      </c>
      <c r="D563">
        <v>51759</v>
      </c>
      <c r="E563">
        <v>18</v>
      </c>
      <c r="F563">
        <v>9</v>
      </c>
      <c r="G563">
        <v>14</v>
      </c>
      <c r="H563" t="s">
        <v>15</v>
      </c>
      <c r="I563">
        <v>563.48</v>
      </c>
    </row>
    <row r="564" spans="1:9" hidden="1" x14ac:dyDescent="0.25">
      <c r="A564">
        <v>219</v>
      </c>
      <c r="B564">
        <v>57</v>
      </c>
      <c r="C564" t="s">
        <v>12</v>
      </c>
      <c r="D564">
        <v>33009</v>
      </c>
      <c r="E564">
        <v>82</v>
      </c>
      <c r="F564">
        <v>9</v>
      </c>
      <c r="G564">
        <v>24</v>
      </c>
      <c r="H564" t="s">
        <v>17</v>
      </c>
      <c r="I564">
        <v>563.64</v>
      </c>
    </row>
    <row r="565" spans="1:9" hidden="1" x14ac:dyDescent="0.25">
      <c r="A565">
        <v>917</v>
      </c>
      <c r="B565">
        <v>49</v>
      </c>
      <c r="C565" t="s">
        <v>45</v>
      </c>
      <c r="D565">
        <v>30523</v>
      </c>
      <c r="E565">
        <v>83</v>
      </c>
      <c r="F565">
        <v>4</v>
      </c>
      <c r="G565">
        <v>38</v>
      </c>
      <c r="H565" t="s">
        <v>14</v>
      </c>
      <c r="I565">
        <v>564.48</v>
      </c>
    </row>
    <row r="566" spans="1:9" hidden="1" x14ac:dyDescent="0.25">
      <c r="A566">
        <v>662</v>
      </c>
      <c r="B566">
        <v>66</v>
      </c>
      <c r="C566" t="s">
        <v>45</v>
      </c>
      <c r="D566">
        <v>38652</v>
      </c>
      <c r="E566">
        <v>40</v>
      </c>
      <c r="F566">
        <v>10</v>
      </c>
      <c r="G566">
        <v>7</v>
      </c>
      <c r="H566" t="s">
        <v>13</v>
      </c>
      <c r="I566">
        <v>566.59</v>
      </c>
    </row>
    <row r="567" spans="1:9" hidden="1" x14ac:dyDescent="0.25">
      <c r="A567">
        <v>166</v>
      </c>
      <c r="B567">
        <v>41</v>
      </c>
      <c r="C567" t="s">
        <v>18</v>
      </c>
      <c r="D567">
        <v>48155</v>
      </c>
      <c r="E567">
        <v>19</v>
      </c>
      <c r="F567">
        <v>10</v>
      </c>
      <c r="G567">
        <v>36</v>
      </c>
      <c r="H567" t="s">
        <v>16</v>
      </c>
      <c r="I567">
        <v>566.65</v>
      </c>
    </row>
    <row r="568" spans="1:9" hidden="1" x14ac:dyDescent="0.25">
      <c r="A568">
        <v>810</v>
      </c>
      <c r="B568">
        <v>35</v>
      </c>
      <c r="C568" t="s">
        <v>12</v>
      </c>
      <c r="D568">
        <v>83547</v>
      </c>
      <c r="E568">
        <v>27</v>
      </c>
      <c r="F568">
        <v>7</v>
      </c>
      <c r="G568">
        <v>40</v>
      </c>
      <c r="H568" t="s">
        <v>14</v>
      </c>
      <c r="I568">
        <v>570.08000000000004</v>
      </c>
    </row>
    <row r="569" spans="1:9" hidden="1" x14ac:dyDescent="0.25">
      <c r="A569">
        <v>748</v>
      </c>
      <c r="B569">
        <v>57</v>
      </c>
      <c r="C569" t="s">
        <v>18</v>
      </c>
      <c r="D569">
        <v>58696</v>
      </c>
      <c r="E569">
        <v>69</v>
      </c>
      <c r="F569">
        <v>4</v>
      </c>
      <c r="G569">
        <v>29</v>
      </c>
      <c r="H569" t="s">
        <v>16</v>
      </c>
      <c r="I569">
        <v>570.87</v>
      </c>
    </row>
    <row r="570" spans="1:9" hidden="1" x14ac:dyDescent="0.25">
      <c r="A570">
        <v>407</v>
      </c>
      <c r="B570">
        <v>24</v>
      </c>
      <c r="C570" t="s">
        <v>45</v>
      </c>
      <c r="D570">
        <v>119844</v>
      </c>
      <c r="E570">
        <v>78</v>
      </c>
      <c r="F570">
        <v>4</v>
      </c>
      <c r="G570">
        <v>6</v>
      </c>
      <c r="H570" t="s">
        <v>16</v>
      </c>
      <c r="I570">
        <v>572.30999999999995</v>
      </c>
    </row>
    <row r="571" spans="1:9" hidden="1" x14ac:dyDescent="0.25">
      <c r="A571">
        <v>531</v>
      </c>
      <c r="B571">
        <v>61</v>
      </c>
      <c r="C571" t="s">
        <v>12</v>
      </c>
      <c r="D571">
        <v>92031</v>
      </c>
      <c r="E571">
        <v>44</v>
      </c>
      <c r="F571">
        <v>7</v>
      </c>
      <c r="G571">
        <v>11</v>
      </c>
      <c r="H571" t="s">
        <v>15</v>
      </c>
      <c r="I571">
        <v>573.30999999999995</v>
      </c>
    </row>
    <row r="572" spans="1:9" hidden="1" x14ac:dyDescent="0.25">
      <c r="A572">
        <v>760</v>
      </c>
      <c r="B572">
        <v>27</v>
      </c>
      <c r="C572" t="s">
        <v>12</v>
      </c>
      <c r="D572">
        <v>80545</v>
      </c>
      <c r="E572">
        <v>63</v>
      </c>
      <c r="F572">
        <v>6</v>
      </c>
      <c r="G572">
        <v>46</v>
      </c>
      <c r="H572" t="s">
        <v>15</v>
      </c>
      <c r="I572">
        <v>575.98</v>
      </c>
    </row>
    <row r="573" spans="1:9" hidden="1" x14ac:dyDescent="0.25">
      <c r="A573">
        <v>280</v>
      </c>
      <c r="B573">
        <v>53</v>
      </c>
      <c r="C573" t="s">
        <v>18</v>
      </c>
      <c r="D573">
        <v>61826</v>
      </c>
      <c r="E573">
        <v>96</v>
      </c>
      <c r="F573">
        <v>1</v>
      </c>
      <c r="G573">
        <v>14</v>
      </c>
      <c r="H573" t="s">
        <v>17</v>
      </c>
      <c r="I573">
        <v>577</v>
      </c>
    </row>
    <row r="574" spans="1:9" hidden="1" x14ac:dyDescent="0.25">
      <c r="A574">
        <v>986</v>
      </c>
      <c r="B574">
        <v>66</v>
      </c>
      <c r="C574" t="s">
        <v>45</v>
      </c>
      <c r="D574">
        <v>78149</v>
      </c>
      <c r="E574">
        <v>2</v>
      </c>
      <c r="F574">
        <v>10</v>
      </c>
      <c r="G574">
        <v>9</v>
      </c>
      <c r="H574" t="s">
        <v>13</v>
      </c>
      <c r="I574">
        <v>579.27</v>
      </c>
    </row>
    <row r="575" spans="1:9" hidden="1" x14ac:dyDescent="0.25">
      <c r="A575">
        <v>890</v>
      </c>
      <c r="B575">
        <v>60</v>
      </c>
      <c r="C575" t="s">
        <v>45</v>
      </c>
      <c r="D575">
        <v>73059</v>
      </c>
      <c r="E575">
        <v>77</v>
      </c>
      <c r="F575">
        <v>3</v>
      </c>
      <c r="G575">
        <v>31</v>
      </c>
      <c r="H575" t="s">
        <v>17</v>
      </c>
      <c r="I575">
        <v>581.15</v>
      </c>
    </row>
    <row r="576" spans="1:9" hidden="1" x14ac:dyDescent="0.25">
      <c r="A576">
        <v>97</v>
      </c>
      <c r="B576">
        <v>63</v>
      </c>
      <c r="C576" t="s">
        <v>45</v>
      </c>
      <c r="D576">
        <v>102834</v>
      </c>
      <c r="E576">
        <v>31</v>
      </c>
      <c r="F576">
        <v>7</v>
      </c>
      <c r="G576">
        <v>20</v>
      </c>
      <c r="H576" t="s">
        <v>14</v>
      </c>
      <c r="I576">
        <v>582.57000000000005</v>
      </c>
    </row>
    <row r="577" spans="1:9" hidden="1" x14ac:dyDescent="0.25">
      <c r="A577">
        <v>841</v>
      </c>
      <c r="B577">
        <v>40</v>
      </c>
      <c r="C577" t="s">
        <v>12</v>
      </c>
      <c r="D577">
        <v>125996</v>
      </c>
      <c r="E577">
        <v>64</v>
      </c>
      <c r="F577">
        <v>6</v>
      </c>
      <c r="G577">
        <v>15</v>
      </c>
      <c r="H577" t="s">
        <v>17</v>
      </c>
      <c r="I577">
        <v>583.95000000000005</v>
      </c>
    </row>
    <row r="578" spans="1:9" hidden="1" x14ac:dyDescent="0.25">
      <c r="A578">
        <v>326</v>
      </c>
      <c r="B578">
        <v>59</v>
      </c>
      <c r="C578" t="s">
        <v>45</v>
      </c>
      <c r="D578">
        <v>49020</v>
      </c>
      <c r="E578">
        <v>100</v>
      </c>
      <c r="F578">
        <v>2</v>
      </c>
      <c r="G578">
        <v>42</v>
      </c>
      <c r="H578" t="s">
        <v>16</v>
      </c>
      <c r="I578">
        <v>588.17999999999995</v>
      </c>
    </row>
    <row r="579" spans="1:9" hidden="1" x14ac:dyDescent="0.25">
      <c r="A579">
        <v>517</v>
      </c>
      <c r="B579">
        <v>18</v>
      </c>
      <c r="C579" t="s">
        <v>45</v>
      </c>
      <c r="D579">
        <v>112021</v>
      </c>
      <c r="E579">
        <v>9</v>
      </c>
      <c r="F579">
        <v>3</v>
      </c>
      <c r="G579">
        <v>11</v>
      </c>
      <c r="H579" t="s">
        <v>16</v>
      </c>
      <c r="I579">
        <v>588.37</v>
      </c>
    </row>
    <row r="580" spans="1:9" hidden="1" x14ac:dyDescent="0.25">
      <c r="A580">
        <v>52</v>
      </c>
      <c r="B580">
        <v>24</v>
      </c>
      <c r="C580" t="s">
        <v>18</v>
      </c>
      <c r="D580">
        <v>96082</v>
      </c>
      <c r="E580">
        <v>83</v>
      </c>
      <c r="F580">
        <v>4</v>
      </c>
      <c r="G580">
        <v>36</v>
      </c>
      <c r="H580" t="s">
        <v>15</v>
      </c>
      <c r="I580">
        <v>589.35</v>
      </c>
    </row>
    <row r="581" spans="1:9" hidden="1" x14ac:dyDescent="0.25">
      <c r="A581">
        <v>475</v>
      </c>
      <c r="B581">
        <v>36</v>
      </c>
      <c r="C581" t="s">
        <v>45</v>
      </c>
      <c r="D581">
        <v>112674</v>
      </c>
      <c r="E581">
        <v>12</v>
      </c>
      <c r="F581">
        <v>7</v>
      </c>
      <c r="G581">
        <v>35</v>
      </c>
      <c r="H581" t="s">
        <v>16</v>
      </c>
      <c r="I581">
        <v>590.32000000000005</v>
      </c>
    </row>
    <row r="582" spans="1:9" hidden="1" x14ac:dyDescent="0.25">
      <c r="A582">
        <v>728</v>
      </c>
      <c r="B582">
        <v>28</v>
      </c>
      <c r="C582" t="s">
        <v>45</v>
      </c>
      <c r="D582">
        <v>53503</v>
      </c>
      <c r="E582">
        <v>39</v>
      </c>
      <c r="F582">
        <v>5</v>
      </c>
      <c r="G582">
        <v>30</v>
      </c>
      <c r="H582" t="s">
        <v>16</v>
      </c>
      <c r="I582">
        <v>591.64</v>
      </c>
    </row>
    <row r="583" spans="1:9" hidden="1" x14ac:dyDescent="0.25">
      <c r="A583">
        <v>338</v>
      </c>
      <c r="B583">
        <v>42</v>
      </c>
      <c r="C583" t="s">
        <v>45</v>
      </c>
      <c r="D583">
        <v>115381</v>
      </c>
      <c r="E583">
        <v>70</v>
      </c>
      <c r="F583">
        <v>7</v>
      </c>
      <c r="G583">
        <v>33</v>
      </c>
      <c r="H583" t="s">
        <v>13</v>
      </c>
      <c r="I583">
        <v>592.52</v>
      </c>
    </row>
    <row r="584" spans="1:9" hidden="1" x14ac:dyDescent="0.25">
      <c r="A584">
        <v>318</v>
      </c>
      <c r="B584">
        <v>23</v>
      </c>
      <c r="C584" t="s">
        <v>45</v>
      </c>
      <c r="D584">
        <v>84664</v>
      </c>
      <c r="E584">
        <v>45</v>
      </c>
      <c r="F584">
        <v>5</v>
      </c>
      <c r="G584">
        <v>12</v>
      </c>
      <c r="H584" t="s">
        <v>14</v>
      </c>
      <c r="I584">
        <v>592.72</v>
      </c>
    </row>
    <row r="585" spans="1:9" hidden="1" x14ac:dyDescent="0.25">
      <c r="A585">
        <v>421</v>
      </c>
      <c r="B585">
        <v>46</v>
      </c>
      <c r="C585" t="s">
        <v>18</v>
      </c>
      <c r="D585">
        <v>90871</v>
      </c>
      <c r="E585">
        <v>56</v>
      </c>
      <c r="F585">
        <v>4</v>
      </c>
      <c r="G585">
        <v>39</v>
      </c>
      <c r="H585" t="s">
        <v>17</v>
      </c>
      <c r="I585">
        <v>592.97</v>
      </c>
    </row>
    <row r="586" spans="1:9" hidden="1" x14ac:dyDescent="0.25">
      <c r="A586">
        <v>953</v>
      </c>
      <c r="B586">
        <v>51</v>
      </c>
      <c r="C586" t="s">
        <v>12</v>
      </c>
      <c r="D586">
        <v>104830</v>
      </c>
      <c r="E586">
        <v>43</v>
      </c>
      <c r="F586">
        <v>9</v>
      </c>
      <c r="G586">
        <v>36</v>
      </c>
      <c r="H586" t="s">
        <v>15</v>
      </c>
      <c r="I586">
        <v>593.91999999999996</v>
      </c>
    </row>
    <row r="587" spans="1:9" hidden="1" x14ac:dyDescent="0.25">
      <c r="A587">
        <v>945</v>
      </c>
      <c r="B587">
        <v>65</v>
      </c>
      <c r="C587" t="s">
        <v>12</v>
      </c>
      <c r="D587">
        <v>42779</v>
      </c>
      <c r="E587">
        <v>81</v>
      </c>
      <c r="F587">
        <v>5</v>
      </c>
      <c r="G587">
        <v>38</v>
      </c>
      <c r="H587" t="s">
        <v>17</v>
      </c>
      <c r="I587">
        <v>594.91999999999996</v>
      </c>
    </row>
    <row r="588" spans="1:9" hidden="1" x14ac:dyDescent="0.25">
      <c r="A588">
        <v>478</v>
      </c>
      <c r="B588">
        <v>48</v>
      </c>
      <c r="C588" t="s">
        <v>45</v>
      </c>
      <c r="D588">
        <v>143424</v>
      </c>
      <c r="E588">
        <v>24</v>
      </c>
      <c r="F588">
        <v>3</v>
      </c>
      <c r="G588">
        <v>22</v>
      </c>
      <c r="H588" t="s">
        <v>13</v>
      </c>
      <c r="I588">
        <v>594.94000000000005</v>
      </c>
    </row>
    <row r="589" spans="1:9" hidden="1" x14ac:dyDescent="0.25">
      <c r="A589">
        <v>864</v>
      </c>
      <c r="B589">
        <v>41</v>
      </c>
      <c r="C589" t="s">
        <v>12</v>
      </c>
      <c r="D589">
        <v>92371</v>
      </c>
      <c r="E589">
        <v>28</v>
      </c>
      <c r="F589">
        <v>10</v>
      </c>
      <c r="G589">
        <v>48</v>
      </c>
      <c r="H589" t="s">
        <v>14</v>
      </c>
      <c r="I589">
        <v>594.96</v>
      </c>
    </row>
    <row r="590" spans="1:9" hidden="1" x14ac:dyDescent="0.25">
      <c r="A590">
        <v>399</v>
      </c>
      <c r="B590">
        <v>19</v>
      </c>
      <c r="C590" t="s">
        <v>18</v>
      </c>
      <c r="D590">
        <v>69790</v>
      </c>
      <c r="E590">
        <v>3</v>
      </c>
      <c r="F590">
        <v>9</v>
      </c>
      <c r="G590">
        <v>38</v>
      </c>
      <c r="H590" t="s">
        <v>16</v>
      </c>
      <c r="I590">
        <v>596.63</v>
      </c>
    </row>
    <row r="591" spans="1:9" hidden="1" x14ac:dyDescent="0.25">
      <c r="A591">
        <v>672</v>
      </c>
      <c r="B591">
        <v>30</v>
      </c>
      <c r="C591" t="s">
        <v>12</v>
      </c>
      <c r="D591">
        <v>94803</v>
      </c>
      <c r="E591">
        <v>76</v>
      </c>
      <c r="F591">
        <v>6</v>
      </c>
      <c r="G591">
        <v>33</v>
      </c>
      <c r="H591" t="s">
        <v>13</v>
      </c>
      <c r="I591">
        <v>596.98</v>
      </c>
    </row>
    <row r="592" spans="1:9" hidden="1" x14ac:dyDescent="0.25">
      <c r="A592">
        <v>105</v>
      </c>
      <c r="B592">
        <v>20</v>
      </c>
      <c r="C592" t="s">
        <v>45</v>
      </c>
      <c r="D592">
        <v>34982</v>
      </c>
      <c r="E592">
        <v>7</v>
      </c>
      <c r="F592">
        <v>2</v>
      </c>
      <c r="G592">
        <v>45</v>
      </c>
      <c r="H592" t="s">
        <v>17</v>
      </c>
      <c r="I592">
        <v>597.15</v>
      </c>
    </row>
    <row r="593" spans="1:9" hidden="1" x14ac:dyDescent="0.25">
      <c r="A593">
        <v>262</v>
      </c>
      <c r="B593">
        <v>60</v>
      </c>
      <c r="C593" t="s">
        <v>45</v>
      </c>
      <c r="D593">
        <v>45827</v>
      </c>
      <c r="E593">
        <v>18</v>
      </c>
      <c r="F593">
        <v>2</v>
      </c>
      <c r="G593">
        <v>47</v>
      </c>
      <c r="H593" t="s">
        <v>14</v>
      </c>
      <c r="I593">
        <v>599.66</v>
      </c>
    </row>
    <row r="594" spans="1:9" hidden="1" x14ac:dyDescent="0.25">
      <c r="A594">
        <v>876</v>
      </c>
      <c r="B594">
        <v>60</v>
      </c>
      <c r="C594" t="s">
        <v>45</v>
      </c>
      <c r="D594">
        <v>120195</v>
      </c>
      <c r="E594">
        <v>68</v>
      </c>
      <c r="F594">
        <v>9</v>
      </c>
      <c r="G594">
        <v>26</v>
      </c>
      <c r="H594" t="s">
        <v>15</v>
      </c>
      <c r="I594">
        <v>600.21</v>
      </c>
    </row>
    <row r="595" spans="1:9" hidden="1" x14ac:dyDescent="0.25">
      <c r="A595">
        <v>540</v>
      </c>
      <c r="B595">
        <v>36</v>
      </c>
      <c r="C595" t="s">
        <v>12</v>
      </c>
      <c r="D595">
        <v>37595</v>
      </c>
      <c r="E595">
        <v>88</v>
      </c>
      <c r="F595">
        <v>8</v>
      </c>
      <c r="G595">
        <v>49</v>
      </c>
      <c r="H595" t="s">
        <v>16</v>
      </c>
      <c r="I595">
        <v>600.48</v>
      </c>
    </row>
    <row r="596" spans="1:9" hidden="1" x14ac:dyDescent="0.25">
      <c r="A596">
        <v>456</v>
      </c>
      <c r="B596">
        <v>61</v>
      </c>
      <c r="C596" t="s">
        <v>45</v>
      </c>
      <c r="D596">
        <v>57851</v>
      </c>
      <c r="E596">
        <v>46</v>
      </c>
      <c r="F596">
        <v>3</v>
      </c>
      <c r="G596">
        <v>5</v>
      </c>
      <c r="H596" t="s">
        <v>17</v>
      </c>
      <c r="I596">
        <v>604.29</v>
      </c>
    </row>
    <row r="597" spans="1:9" hidden="1" x14ac:dyDescent="0.25">
      <c r="A597">
        <v>733</v>
      </c>
      <c r="B597">
        <v>49</v>
      </c>
      <c r="C597" t="s">
        <v>12</v>
      </c>
      <c r="D597">
        <v>56707</v>
      </c>
      <c r="E597">
        <v>6</v>
      </c>
      <c r="F597">
        <v>8</v>
      </c>
      <c r="G597">
        <v>29</v>
      </c>
      <c r="H597" t="s">
        <v>14</v>
      </c>
      <c r="I597">
        <v>604.53</v>
      </c>
    </row>
    <row r="598" spans="1:9" hidden="1" x14ac:dyDescent="0.25">
      <c r="A598">
        <v>511</v>
      </c>
      <c r="B598">
        <v>24</v>
      </c>
      <c r="C598" t="s">
        <v>45</v>
      </c>
      <c r="D598">
        <v>109039</v>
      </c>
      <c r="E598">
        <v>71</v>
      </c>
      <c r="F598">
        <v>9</v>
      </c>
      <c r="G598">
        <v>41</v>
      </c>
      <c r="H598" t="s">
        <v>15</v>
      </c>
      <c r="I598">
        <v>606.17999999999995</v>
      </c>
    </row>
    <row r="599" spans="1:9" hidden="1" x14ac:dyDescent="0.25">
      <c r="A599">
        <v>275</v>
      </c>
      <c r="B599">
        <v>22</v>
      </c>
      <c r="C599" t="s">
        <v>45</v>
      </c>
      <c r="D599">
        <v>128623</v>
      </c>
      <c r="E599">
        <v>88</v>
      </c>
      <c r="F599">
        <v>5</v>
      </c>
      <c r="G599">
        <v>20</v>
      </c>
      <c r="H599" t="s">
        <v>17</v>
      </c>
      <c r="I599">
        <v>609.57000000000005</v>
      </c>
    </row>
    <row r="600" spans="1:9" hidden="1" x14ac:dyDescent="0.25">
      <c r="A600">
        <v>903</v>
      </c>
      <c r="B600">
        <v>33</v>
      </c>
      <c r="C600" t="s">
        <v>45</v>
      </c>
      <c r="D600">
        <v>106771</v>
      </c>
      <c r="E600">
        <v>23</v>
      </c>
      <c r="F600">
        <v>7</v>
      </c>
      <c r="G600">
        <v>3</v>
      </c>
      <c r="H600" t="s">
        <v>15</v>
      </c>
      <c r="I600">
        <v>609.79999999999995</v>
      </c>
    </row>
    <row r="601" spans="1:9" hidden="1" x14ac:dyDescent="0.25">
      <c r="A601">
        <v>197</v>
      </c>
      <c r="B601">
        <v>34</v>
      </c>
      <c r="C601" t="s">
        <v>18</v>
      </c>
      <c r="D601">
        <v>56125</v>
      </c>
      <c r="E601">
        <v>66</v>
      </c>
      <c r="F601">
        <v>10</v>
      </c>
      <c r="G601">
        <v>26</v>
      </c>
      <c r="H601" t="s">
        <v>13</v>
      </c>
      <c r="I601">
        <v>610.66</v>
      </c>
    </row>
    <row r="602" spans="1:9" hidden="1" x14ac:dyDescent="0.25">
      <c r="A602">
        <v>865</v>
      </c>
      <c r="B602">
        <v>57</v>
      </c>
      <c r="C602" t="s">
        <v>45</v>
      </c>
      <c r="D602">
        <v>106632</v>
      </c>
      <c r="E602">
        <v>26</v>
      </c>
      <c r="F602">
        <v>1</v>
      </c>
      <c r="G602">
        <v>17</v>
      </c>
      <c r="H602" t="s">
        <v>16</v>
      </c>
      <c r="I602">
        <v>610.98</v>
      </c>
    </row>
    <row r="603" spans="1:9" hidden="1" x14ac:dyDescent="0.25">
      <c r="A603">
        <v>264</v>
      </c>
      <c r="B603">
        <v>57</v>
      </c>
      <c r="C603" t="s">
        <v>18</v>
      </c>
      <c r="D603">
        <v>31451</v>
      </c>
      <c r="E603">
        <v>75</v>
      </c>
      <c r="F603">
        <v>3</v>
      </c>
      <c r="G603">
        <v>8</v>
      </c>
      <c r="H603" t="s">
        <v>14</v>
      </c>
      <c r="I603">
        <v>611.79</v>
      </c>
    </row>
    <row r="604" spans="1:9" hidden="1" x14ac:dyDescent="0.25">
      <c r="A604">
        <v>361</v>
      </c>
      <c r="B604">
        <v>28</v>
      </c>
      <c r="C604" t="s">
        <v>18</v>
      </c>
      <c r="D604">
        <v>130938</v>
      </c>
      <c r="E604">
        <v>98</v>
      </c>
      <c r="F604">
        <v>5</v>
      </c>
      <c r="G604">
        <v>37</v>
      </c>
      <c r="H604" t="s">
        <v>14</v>
      </c>
      <c r="I604">
        <v>612.09</v>
      </c>
    </row>
    <row r="605" spans="1:9" hidden="1" x14ac:dyDescent="0.25">
      <c r="A605">
        <v>698</v>
      </c>
      <c r="B605">
        <v>33</v>
      </c>
      <c r="C605" t="s">
        <v>45</v>
      </c>
      <c r="D605">
        <v>36577</v>
      </c>
      <c r="E605">
        <v>28</v>
      </c>
      <c r="F605">
        <v>4</v>
      </c>
      <c r="G605">
        <v>1</v>
      </c>
      <c r="H605" t="s">
        <v>14</v>
      </c>
      <c r="I605">
        <v>612.54</v>
      </c>
    </row>
    <row r="606" spans="1:9" hidden="1" x14ac:dyDescent="0.25">
      <c r="A606">
        <v>786</v>
      </c>
      <c r="B606">
        <v>30</v>
      </c>
      <c r="C606" t="s">
        <v>12</v>
      </c>
      <c r="D606">
        <v>43192</v>
      </c>
      <c r="E606">
        <v>61</v>
      </c>
      <c r="F606">
        <v>1</v>
      </c>
      <c r="G606">
        <v>27</v>
      </c>
      <c r="H606" t="s">
        <v>15</v>
      </c>
      <c r="I606">
        <v>614.39</v>
      </c>
    </row>
    <row r="607" spans="1:9" hidden="1" x14ac:dyDescent="0.25">
      <c r="A607">
        <v>615</v>
      </c>
      <c r="B607">
        <v>69</v>
      </c>
      <c r="C607" t="s">
        <v>12</v>
      </c>
      <c r="D607">
        <v>141965</v>
      </c>
      <c r="E607">
        <v>98</v>
      </c>
      <c r="F607">
        <v>5</v>
      </c>
      <c r="G607">
        <v>35</v>
      </c>
      <c r="H607" t="s">
        <v>14</v>
      </c>
      <c r="I607">
        <v>616.66</v>
      </c>
    </row>
    <row r="608" spans="1:9" hidden="1" x14ac:dyDescent="0.25">
      <c r="A608">
        <v>360</v>
      </c>
      <c r="B608">
        <v>38</v>
      </c>
      <c r="C608" t="s">
        <v>12</v>
      </c>
      <c r="D608">
        <v>40590</v>
      </c>
      <c r="E608">
        <v>91</v>
      </c>
      <c r="F608">
        <v>7</v>
      </c>
      <c r="G608">
        <v>27</v>
      </c>
      <c r="H608" t="s">
        <v>14</v>
      </c>
      <c r="I608">
        <v>617.64</v>
      </c>
    </row>
    <row r="609" spans="1:9" hidden="1" x14ac:dyDescent="0.25">
      <c r="A609">
        <v>377</v>
      </c>
      <c r="B609">
        <v>46</v>
      </c>
      <c r="C609" t="s">
        <v>12</v>
      </c>
      <c r="D609">
        <v>123037</v>
      </c>
      <c r="E609">
        <v>100</v>
      </c>
      <c r="F609">
        <v>1</v>
      </c>
      <c r="G609">
        <v>9</v>
      </c>
      <c r="H609" t="s">
        <v>13</v>
      </c>
      <c r="I609">
        <v>617.74</v>
      </c>
    </row>
    <row r="610" spans="1:9" hidden="1" x14ac:dyDescent="0.25">
      <c r="A610">
        <v>761</v>
      </c>
      <c r="B610">
        <v>47</v>
      </c>
      <c r="C610" t="s">
        <v>12</v>
      </c>
      <c r="D610">
        <v>112510</v>
      </c>
      <c r="E610">
        <v>1</v>
      </c>
      <c r="F610">
        <v>2</v>
      </c>
      <c r="G610">
        <v>10</v>
      </c>
      <c r="H610" t="s">
        <v>13</v>
      </c>
      <c r="I610">
        <v>618.20000000000005</v>
      </c>
    </row>
    <row r="611" spans="1:9" hidden="1" x14ac:dyDescent="0.25">
      <c r="A611">
        <v>686</v>
      </c>
      <c r="B611">
        <v>30</v>
      </c>
      <c r="C611" t="s">
        <v>12</v>
      </c>
      <c r="D611">
        <v>115674</v>
      </c>
      <c r="E611">
        <v>78</v>
      </c>
      <c r="F611">
        <v>2</v>
      </c>
      <c r="G611">
        <v>48</v>
      </c>
      <c r="H611" t="s">
        <v>17</v>
      </c>
      <c r="I611">
        <v>621.73</v>
      </c>
    </row>
    <row r="612" spans="1:9" hidden="1" x14ac:dyDescent="0.25">
      <c r="A612">
        <v>754</v>
      </c>
      <c r="B612">
        <v>52</v>
      </c>
      <c r="C612" t="s">
        <v>12</v>
      </c>
      <c r="D612">
        <v>49342</v>
      </c>
      <c r="E612">
        <v>77</v>
      </c>
      <c r="F612">
        <v>7</v>
      </c>
      <c r="G612">
        <v>29</v>
      </c>
      <c r="H612" t="s">
        <v>16</v>
      </c>
      <c r="I612">
        <v>622.86</v>
      </c>
    </row>
    <row r="613" spans="1:9" hidden="1" x14ac:dyDescent="0.25">
      <c r="A613">
        <v>718</v>
      </c>
      <c r="B613">
        <v>57</v>
      </c>
      <c r="C613" t="s">
        <v>18</v>
      </c>
      <c r="D613">
        <v>108833</v>
      </c>
      <c r="E613">
        <v>77</v>
      </c>
      <c r="F613">
        <v>3</v>
      </c>
      <c r="G613">
        <v>37</v>
      </c>
      <c r="H613" t="s">
        <v>13</v>
      </c>
      <c r="I613">
        <v>623.78</v>
      </c>
    </row>
    <row r="614" spans="1:9" hidden="1" x14ac:dyDescent="0.25">
      <c r="A614">
        <v>258</v>
      </c>
      <c r="B614">
        <v>37</v>
      </c>
      <c r="C614" t="s">
        <v>45</v>
      </c>
      <c r="D614">
        <v>86856</v>
      </c>
      <c r="E614">
        <v>74</v>
      </c>
      <c r="F614">
        <v>3</v>
      </c>
      <c r="G614">
        <v>10</v>
      </c>
      <c r="H614" t="s">
        <v>14</v>
      </c>
      <c r="I614">
        <v>624.29</v>
      </c>
    </row>
    <row r="615" spans="1:9" hidden="1" x14ac:dyDescent="0.25">
      <c r="A615">
        <v>180</v>
      </c>
      <c r="B615">
        <v>48</v>
      </c>
      <c r="C615" t="s">
        <v>12</v>
      </c>
      <c r="D615">
        <v>121325</v>
      </c>
      <c r="E615">
        <v>30</v>
      </c>
      <c r="F615">
        <v>3</v>
      </c>
      <c r="G615">
        <v>35</v>
      </c>
      <c r="H615" t="s">
        <v>13</v>
      </c>
      <c r="I615">
        <v>624.36</v>
      </c>
    </row>
    <row r="616" spans="1:9" hidden="1" x14ac:dyDescent="0.25">
      <c r="A616">
        <v>143</v>
      </c>
      <c r="B616">
        <v>55</v>
      </c>
      <c r="C616" t="s">
        <v>45</v>
      </c>
      <c r="D616">
        <v>101084</v>
      </c>
      <c r="E616">
        <v>73</v>
      </c>
      <c r="F616">
        <v>9</v>
      </c>
      <c r="G616">
        <v>24</v>
      </c>
      <c r="H616" t="s">
        <v>16</v>
      </c>
      <c r="I616">
        <v>624.80999999999995</v>
      </c>
    </row>
    <row r="617" spans="1:9" hidden="1" x14ac:dyDescent="0.25">
      <c r="A617">
        <v>833</v>
      </c>
      <c r="B617">
        <v>43</v>
      </c>
      <c r="C617" t="s">
        <v>18</v>
      </c>
      <c r="D617">
        <v>85487</v>
      </c>
      <c r="E617">
        <v>71</v>
      </c>
      <c r="F617">
        <v>7</v>
      </c>
      <c r="G617">
        <v>49</v>
      </c>
      <c r="H617" t="s">
        <v>15</v>
      </c>
      <c r="I617">
        <v>625.26</v>
      </c>
    </row>
    <row r="618" spans="1:9" hidden="1" x14ac:dyDescent="0.25">
      <c r="A618">
        <v>182</v>
      </c>
      <c r="B618">
        <v>40</v>
      </c>
      <c r="C618" t="s">
        <v>12</v>
      </c>
      <c r="D618">
        <v>136323</v>
      </c>
      <c r="E618">
        <v>36</v>
      </c>
      <c r="F618">
        <v>6</v>
      </c>
      <c r="G618">
        <v>25</v>
      </c>
      <c r="H618" t="s">
        <v>14</v>
      </c>
      <c r="I618">
        <v>625.28</v>
      </c>
    </row>
    <row r="619" spans="1:9" hidden="1" x14ac:dyDescent="0.25">
      <c r="A619">
        <v>687</v>
      </c>
      <c r="B619">
        <v>59</v>
      </c>
      <c r="C619" t="s">
        <v>12</v>
      </c>
      <c r="D619">
        <v>65196</v>
      </c>
      <c r="E619">
        <v>22</v>
      </c>
      <c r="F619">
        <v>2</v>
      </c>
      <c r="G619">
        <v>36</v>
      </c>
      <c r="H619" t="s">
        <v>13</v>
      </c>
      <c r="I619">
        <v>625.33000000000004</v>
      </c>
    </row>
    <row r="620" spans="1:9" hidden="1" x14ac:dyDescent="0.25">
      <c r="A620">
        <v>968</v>
      </c>
      <c r="B620">
        <v>23</v>
      </c>
      <c r="C620" t="s">
        <v>18</v>
      </c>
      <c r="D620">
        <v>74773</v>
      </c>
      <c r="E620">
        <v>16</v>
      </c>
      <c r="F620">
        <v>2</v>
      </c>
      <c r="G620">
        <v>42</v>
      </c>
      <c r="H620" t="s">
        <v>16</v>
      </c>
      <c r="I620">
        <v>626.04999999999995</v>
      </c>
    </row>
    <row r="621" spans="1:9" hidden="1" x14ac:dyDescent="0.25">
      <c r="A621">
        <v>716</v>
      </c>
      <c r="B621">
        <v>48</v>
      </c>
      <c r="C621" t="s">
        <v>18</v>
      </c>
      <c r="D621">
        <v>74273</v>
      </c>
      <c r="E621">
        <v>23</v>
      </c>
      <c r="F621">
        <v>10</v>
      </c>
      <c r="G621">
        <v>46</v>
      </c>
      <c r="H621" t="s">
        <v>15</v>
      </c>
      <c r="I621">
        <v>626.27</v>
      </c>
    </row>
    <row r="622" spans="1:9" hidden="1" x14ac:dyDescent="0.25">
      <c r="A622">
        <v>514</v>
      </c>
      <c r="B622">
        <v>69</v>
      </c>
      <c r="C622" t="s">
        <v>18</v>
      </c>
      <c r="D622">
        <v>58668</v>
      </c>
      <c r="E622">
        <v>40</v>
      </c>
      <c r="F622">
        <v>2</v>
      </c>
      <c r="G622">
        <v>15</v>
      </c>
      <c r="H622" t="s">
        <v>13</v>
      </c>
      <c r="I622">
        <v>626.35</v>
      </c>
    </row>
    <row r="623" spans="1:9" hidden="1" x14ac:dyDescent="0.25">
      <c r="A623">
        <v>583</v>
      </c>
      <c r="B623">
        <v>33</v>
      </c>
      <c r="C623" t="s">
        <v>12</v>
      </c>
      <c r="D623">
        <v>38240</v>
      </c>
      <c r="E623">
        <v>92</v>
      </c>
      <c r="F623">
        <v>3</v>
      </c>
      <c r="G623">
        <v>37</v>
      </c>
      <c r="H623" t="s">
        <v>13</v>
      </c>
      <c r="I623">
        <v>626.82000000000005</v>
      </c>
    </row>
    <row r="624" spans="1:9" hidden="1" x14ac:dyDescent="0.25">
      <c r="A624">
        <v>110</v>
      </c>
      <c r="B624">
        <v>56</v>
      </c>
      <c r="C624" t="s">
        <v>18</v>
      </c>
      <c r="D624">
        <v>40676</v>
      </c>
      <c r="E624">
        <v>86</v>
      </c>
      <c r="F624">
        <v>7</v>
      </c>
      <c r="G624">
        <v>38</v>
      </c>
      <c r="H624" t="s">
        <v>13</v>
      </c>
      <c r="I624">
        <v>627.65</v>
      </c>
    </row>
    <row r="625" spans="1:9" hidden="1" x14ac:dyDescent="0.25">
      <c r="A625">
        <v>966</v>
      </c>
      <c r="B625">
        <v>58</v>
      </c>
      <c r="C625" t="s">
        <v>45</v>
      </c>
      <c r="D625">
        <v>133888</v>
      </c>
      <c r="E625">
        <v>92</v>
      </c>
      <c r="F625">
        <v>10</v>
      </c>
      <c r="G625">
        <v>14</v>
      </c>
      <c r="H625" t="s">
        <v>13</v>
      </c>
      <c r="I625">
        <v>628.29999999999995</v>
      </c>
    </row>
    <row r="626" spans="1:9" hidden="1" x14ac:dyDescent="0.25">
      <c r="A626">
        <v>910</v>
      </c>
      <c r="B626">
        <v>55</v>
      </c>
      <c r="C626" t="s">
        <v>45</v>
      </c>
      <c r="D626">
        <v>45562</v>
      </c>
      <c r="E626">
        <v>68</v>
      </c>
      <c r="F626">
        <v>3</v>
      </c>
      <c r="G626">
        <v>30</v>
      </c>
      <c r="H626" t="s">
        <v>16</v>
      </c>
      <c r="I626">
        <v>628.34</v>
      </c>
    </row>
    <row r="627" spans="1:9" hidden="1" x14ac:dyDescent="0.25">
      <c r="A627">
        <v>201</v>
      </c>
      <c r="B627">
        <v>45</v>
      </c>
      <c r="C627" t="s">
        <v>12</v>
      </c>
      <c r="D627">
        <v>111788</v>
      </c>
      <c r="E627">
        <v>28</v>
      </c>
      <c r="F627">
        <v>9</v>
      </c>
      <c r="G627">
        <v>49</v>
      </c>
      <c r="H627" t="s">
        <v>16</v>
      </c>
      <c r="I627">
        <v>628.42999999999995</v>
      </c>
    </row>
    <row r="628" spans="1:9" hidden="1" x14ac:dyDescent="0.25">
      <c r="A628">
        <v>955</v>
      </c>
      <c r="B628">
        <v>30</v>
      </c>
      <c r="C628" t="s">
        <v>12</v>
      </c>
      <c r="D628">
        <v>50661</v>
      </c>
      <c r="E628">
        <v>89</v>
      </c>
      <c r="F628">
        <v>9</v>
      </c>
      <c r="G628">
        <v>22</v>
      </c>
      <c r="H628" t="s">
        <v>15</v>
      </c>
      <c r="I628">
        <v>630.37</v>
      </c>
    </row>
    <row r="629" spans="1:9" hidden="1" x14ac:dyDescent="0.25">
      <c r="A629">
        <v>173</v>
      </c>
      <c r="B629">
        <v>56</v>
      </c>
      <c r="C629" t="s">
        <v>18</v>
      </c>
      <c r="D629">
        <v>111754</v>
      </c>
      <c r="E629">
        <v>96</v>
      </c>
      <c r="F629">
        <v>8</v>
      </c>
      <c r="G629">
        <v>38</v>
      </c>
      <c r="H629" t="s">
        <v>13</v>
      </c>
      <c r="I629">
        <v>631.05999999999995</v>
      </c>
    </row>
    <row r="630" spans="1:9" hidden="1" x14ac:dyDescent="0.25">
      <c r="A630">
        <v>289</v>
      </c>
      <c r="B630">
        <v>38</v>
      </c>
      <c r="C630" t="s">
        <v>12</v>
      </c>
      <c r="D630">
        <v>84577</v>
      </c>
      <c r="E630">
        <v>70</v>
      </c>
      <c r="F630">
        <v>7</v>
      </c>
      <c r="G630">
        <v>27</v>
      </c>
      <c r="H630" t="s">
        <v>15</v>
      </c>
      <c r="I630">
        <v>631.28</v>
      </c>
    </row>
    <row r="631" spans="1:9" hidden="1" x14ac:dyDescent="0.25">
      <c r="A631">
        <v>393</v>
      </c>
      <c r="B631">
        <v>55</v>
      </c>
      <c r="C631" t="s">
        <v>18</v>
      </c>
      <c r="D631">
        <v>127542</v>
      </c>
      <c r="E631">
        <v>79</v>
      </c>
      <c r="F631">
        <v>8</v>
      </c>
      <c r="G631">
        <v>12</v>
      </c>
      <c r="H631" t="s">
        <v>17</v>
      </c>
      <c r="I631">
        <v>632.6</v>
      </c>
    </row>
    <row r="632" spans="1:9" hidden="1" x14ac:dyDescent="0.25">
      <c r="A632">
        <v>997</v>
      </c>
      <c r="B632">
        <v>23</v>
      </c>
      <c r="C632" t="s">
        <v>45</v>
      </c>
      <c r="D632">
        <v>65337</v>
      </c>
      <c r="E632">
        <v>76</v>
      </c>
      <c r="F632">
        <v>10</v>
      </c>
      <c r="G632">
        <v>23</v>
      </c>
      <c r="H632" t="s">
        <v>16</v>
      </c>
      <c r="I632">
        <v>632.83000000000004</v>
      </c>
    </row>
    <row r="633" spans="1:9" hidden="1" x14ac:dyDescent="0.25">
      <c r="A633">
        <v>735</v>
      </c>
      <c r="B633">
        <v>38</v>
      </c>
      <c r="C633" t="s">
        <v>45</v>
      </c>
      <c r="D633">
        <v>115537</v>
      </c>
      <c r="E633">
        <v>10</v>
      </c>
      <c r="F633">
        <v>7</v>
      </c>
      <c r="G633">
        <v>25</v>
      </c>
      <c r="H633" t="s">
        <v>17</v>
      </c>
      <c r="I633">
        <v>632.99</v>
      </c>
    </row>
    <row r="634" spans="1:9" hidden="1" x14ac:dyDescent="0.25">
      <c r="A634">
        <v>490</v>
      </c>
      <c r="B634">
        <v>19</v>
      </c>
      <c r="C634" t="s">
        <v>18</v>
      </c>
      <c r="D634">
        <v>113254</v>
      </c>
      <c r="E634">
        <v>38</v>
      </c>
      <c r="F634">
        <v>5</v>
      </c>
      <c r="G634">
        <v>35</v>
      </c>
      <c r="H634" t="s">
        <v>17</v>
      </c>
      <c r="I634">
        <v>633.5</v>
      </c>
    </row>
    <row r="635" spans="1:9" hidden="1" x14ac:dyDescent="0.25">
      <c r="A635">
        <v>108</v>
      </c>
      <c r="B635">
        <v>65</v>
      </c>
      <c r="C635" t="s">
        <v>12</v>
      </c>
      <c r="D635">
        <v>81753</v>
      </c>
      <c r="E635">
        <v>72</v>
      </c>
      <c r="F635">
        <v>9</v>
      </c>
      <c r="G635">
        <v>21</v>
      </c>
      <c r="H635" t="s">
        <v>13</v>
      </c>
      <c r="I635">
        <v>633.63</v>
      </c>
    </row>
    <row r="636" spans="1:9" hidden="1" x14ac:dyDescent="0.25">
      <c r="A636">
        <v>279</v>
      </c>
      <c r="B636">
        <v>47</v>
      </c>
      <c r="C636" t="s">
        <v>45</v>
      </c>
      <c r="D636">
        <v>95656</v>
      </c>
      <c r="E636">
        <v>63</v>
      </c>
      <c r="F636">
        <v>2</v>
      </c>
      <c r="G636">
        <v>30</v>
      </c>
      <c r="H636" t="s">
        <v>14</v>
      </c>
      <c r="I636">
        <v>634.19000000000005</v>
      </c>
    </row>
    <row r="637" spans="1:9" hidden="1" x14ac:dyDescent="0.25">
      <c r="A637">
        <v>463</v>
      </c>
      <c r="B637">
        <v>53</v>
      </c>
      <c r="C637" t="s">
        <v>12</v>
      </c>
      <c r="D637">
        <v>37569</v>
      </c>
      <c r="E637">
        <v>18</v>
      </c>
      <c r="F637">
        <v>8</v>
      </c>
      <c r="G637">
        <v>50</v>
      </c>
      <c r="H637" t="s">
        <v>17</v>
      </c>
      <c r="I637">
        <v>634.91999999999996</v>
      </c>
    </row>
    <row r="638" spans="1:9" hidden="1" x14ac:dyDescent="0.25">
      <c r="A638">
        <v>217</v>
      </c>
      <c r="B638">
        <v>46</v>
      </c>
      <c r="C638" t="s">
        <v>18</v>
      </c>
      <c r="D638">
        <v>82034</v>
      </c>
      <c r="E638">
        <v>19</v>
      </c>
      <c r="F638">
        <v>2</v>
      </c>
      <c r="G638">
        <v>45</v>
      </c>
      <c r="H638" t="s">
        <v>15</v>
      </c>
      <c r="I638">
        <v>635.92999999999995</v>
      </c>
    </row>
    <row r="639" spans="1:9" hidden="1" x14ac:dyDescent="0.25">
      <c r="A639">
        <v>636</v>
      </c>
      <c r="B639">
        <v>24</v>
      </c>
      <c r="C639" t="s">
        <v>18</v>
      </c>
      <c r="D639">
        <v>93266</v>
      </c>
      <c r="E639">
        <v>20</v>
      </c>
      <c r="F639">
        <v>1</v>
      </c>
      <c r="G639">
        <v>4</v>
      </c>
      <c r="H639" t="s">
        <v>17</v>
      </c>
      <c r="I639">
        <v>636.29</v>
      </c>
    </row>
    <row r="640" spans="1:9" hidden="1" x14ac:dyDescent="0.25">
      <c r="A640">
        <v>63</v>
      </c>
      <c r="B640">
        <v>49</v>
      </c>
      <c r="C640" t="s">
        <v>18</v>
      </c>
      <c r="D640">
        <v>79992</v>
      </c>
      <c r="E640">
        <v>49</v>
      </c>
      <c r="F640">
        <v>8</v>
      </c>
      <c r="G640">
        <v>6</v>
      </c>
      <c r="H640" t="s">
        <v>15</v>
      </c>
      <c r="I640">
        <v>636.65</v>
      </c>
    </row>
    <row r="641" spans="1:9" hidden="1" x14ac:dyDescent="0.25">
      <c r="A641">
        <v>341</v>
      </c>
      <c r="B641">
        <v>31</v>
      </c>
      <c r="C641" t="s">
        <v>45</v>
      </c>
      <c r="D641">
        <v>35406</v>
      </c>
      <c r="E641">
        <v>45</v>
      </c>
      <c r="F641">
        <v>10</v>
      </c>
      <c r="G641">
        <v>9</v>
      </c>
      <c r="H641" t="s">
        <v>14</v>
      </c>
      <c r="I641">
        <v>637.02</v>
      </c>
    </row>
    <row r="642" spans="1:9" hidden="1" x14ac:dyDescent="0.25">
      <c r="A642">
        <v>500</v>
      </c>
      <c r="B642">
        <v>47</v>
      </c>
      <c r="C642" t="s">
        <v>12</v>
      </c>
      <c r="D642">
        <v>69168</v>
      </c>
      <c r="E642">
        <v>16</v>
      </c>
      <c r="F642">
        <v>7</v>
      </c>
      <c r="G642">
        <v>42</v>
      </c>
      <c r="H642" t="s">
        <v>17</v>
      </c>
      <c r="I642">
        <v>638.96</v>
      </c>
    </row>
    <row r="643" spans="1:9" hidden="1" x14ac:dyDescent="0.25">
      <c r="A643">
        <v>35</v>
      </c>
      <c r="B643">
        <v>45</v>
      </c>
      <c r="C643" t="s">
        <v>45</v>
      </c>
      <c r="D643">
        <v>43138</v>
      </c>
      <c r="E643">
        <v>54</v>
      </c>
      <c r="F643">
        <v>10</v>
      </c>
      <c r="G643">
        <v>48</v>
      </c>
      <c r="H643" t="s">
        <v>15</v>
      </c>
      <c r="I643">
        <v>639.22</v>
      </c>
    </row>
    <row r="644" spans="1:9" hidden="1" x14ac:dyDescent="0.25">
      <c r="A644">
        <v>631</v>
      </c>
      <c r="B644">
        <v>47</v>
      </c>
      <c r="C644" t="s">
        <v>18</v>
      </c>
      <c r="D644">
        <v>108766</v>
      </c>
      <c r="E644">
        <v>37</v>
      </c>
      <c r="F644">
        <v>7</v>
      </c>
      <c r="G644">
        <v>38</v>
      </c>
      <c r="H644" t="s">
        <v>16</v>
      </c>
      <c r="I644">
        <v>640.54999999999995</v>
      </c>
    </row>
    <row r="645" spans="1:9" hidden="1" x14ac:dyDescent="0.25">
      <c r="A645">
        <v>240</v>
      </c>
      <c r="B645">
        <v>44</v>
      </c>
      <c r="C645" t="s">
        <v>18</v>
      </c>
      <c r="D645">
        <v>121975</v>
      </c>
      <c r="E645">
        <v>33</v>
      </c>
      <c r="F645">
        <v>6</v>
      </c>
      <c r="G645">
        <v>27</v>
      </c>
      <c r="H645" t="s">
        <v>16</v>
      </c>
      <c r="I645">
        <v>640.96</v>
      </c>
    </row>
    <row r="646" spans="1:9" hidden="1" x14ac:dyDescent="0.25">
      <c r="A646">
        <v>512</v>
      </c>
      <c r="B646">
        <v>33</v>
      </c>
      <c r="C646" t="s">
        <v>12</v>
      </c>
      <c r="D646">
        <v>132968</v>
      </c>
      <c r="E646">
        <v>49</v>
      </c>
      <c r="F646">
        <v>10</v>
      </c>
      <c r="G646">
        <v>45</v>
      </c>
      <c r="H646" t="s">
        <v>15</v>
      </c>
      <c r="I646">
        <v>641.53</v>
      </c>
    </row>
    <row r="647" spans="1:9" hidden="1" x14ac:dyDescent="0.25">
      <c r="A647">
        <v>613</v>
      </c>
      <c r="B647">
        <v>60</v>
      </c>
      <c r="C647" t="s">
        <v>45</v>
      </c>
      <c r="D647">
        <v>53295</v>
      </c>
      <c r="E647">
        <v>73</v>
      </c>
      <c r="F647">
        <v>3</v>
      </c>
      <c r="G647">
        <v>5</v>
      </c>
      <c r="H647" t="s">
        <v>13</v>
      </c>
      <c r="I647">
        <v>642.29999999999995</v>
      </c>
    </row>
    <row r="648" spans="1:9" hidden="1" x14ac:dyDescent="0.25">
      <c r="A648">
        <v>401</v>
      </c>
      <c r="B648">
        <v>32</v>
      </c>
      <c r="C648" t="s">
        <v>45</v>
      </c>
      <c r="D648">
        <v>86268</v>
      </c>
      <c r="E648">
        <v>96</v>
      </c>
      <c r="F648">
        <v>3</v>
      </c>
      <c r="G648">
        <v>21</v>
      </c>
      <c r="H648" t="s">
        <v>14</v>
      </c>
      <c r="I648">
        <v>643.36</v>
      </c>
    </row>
    <row r="649" spans="1:9" hidden="1" x14ac:dyDescent="0.25">
      <c r="A649">
        <v>416</v>
      </c>
      <c r="B649">
        <v>38</v>
      </c>
      <c r="C649" t="s">
        <v>45</v>
      </c>
      <c r="D649">
        <v>51327</v>
      </c>
      <c r="E649">
        <v>62</v>
      </c>
      <c r="F649">
        <v>5</v>
      </c>
      <c r="G649">
        <v>24</v>
      </c>
      <c r="H649" t="s">
        <v>15</v>
      </c>
      <c r="I649">
        <v>645.42999999999995</v>
      </c>
    </row>
    <row r="650" spans="1:9" hidden="1" x14ac:dyDescent="0.25">
      <c r="A650">
        <v>645</v>
      </c>
      <c r="B650">
        <v>67</v>
      </c>
      <c r="C650" t="s">
        <v>45</v>
      </c>
      <c r="D650">
        <v>115578</v>
      </c>
      <c r="E650">
        <v>10</v>
      </c>
      <c r="F650">
        <v>1</v>
      </c>
      <c r="G650">
        <v>36</v>
      </c>
      <c r="H650" t="s">
        <v>16</v>
      </c>
      <c r="I650">
        <v>646.16</v>
      </c>
    </row>
    <row r="651" spans="1:9" hidden="1" x14ac:dyDescent="0.25">
      <c r="A651">
        <v>817</v>
      </c>
      <c r="B651">
        <v>37</v>
      </c>
      <c r="C651" t="s">
        <v>18</v>
      </c>
      <c r="D651">
        <v>115734</v>
      </c>
      <c r="E651">
        <v>87</v>
      </c>
      <c r="F651">
        <v>2</v>
      </c>
      <c r="G651">
        <v>50</v>
      </c>
      <c r="H651" t="s">
        <v>16</v>
      </c>
      <c r="I651">
        <v>646.4</v>
      </c>
    </row>
    <row r="652" spans="1:9" hidden="1" x14ac:dyDescent="0.25">
      <c r="A652">
        <v>642</v>
      </c>
      <c r="B652">
        <v>34</v>
      </c>
      <c r="C652" t="s">
        <v>18</v>
      </c>
      <c r="D652">
        <v>114408</v>
      </c>
      <c r="E652">
        <v>38</v>
      </c>
      <c r="F652">
        <v>7</v>
      </c>
      <c r="G652">
        <v>28</v>
      </c>
      <c r="H652" t="s">
        <v>14</v>
      </c>
      <c r="I652">
        <v>647.35</v>
      </c>
    </row>
    <row r="653" spans="1:9" hidden="1" x14ac:dyDescent="0.25">
      <c r="A653">
        <v>369</v>
      </c>
      <c r="B653">
        <v>63</v>
      </c>
      <c r="C653" t="s">
        <v>45</v>
      </c>
      <c r="D653">
        <v>77411</v>
      </c>
      <c r="E653">
        <v>20</v>
      </c>
      <c r="F653">
        <v>2</v>
      </c>
      <c r="G653">
        <v>37</v>
      </c>
      <c r="H653" t="s">
        <v>15</v>
      </c>
      <c r="I653">
        <v>648.38</v>
      </c>
    </row>
    <row r="654" spans="1:9" hidden="1" x14ac:dyDescent="0.25">
      <c r="A654">
        <v>799</v>
      </c>
      <c r="B654">
        <v>25</v>
      </c>
      <c r="C654" t="s">
        <v>12</v>
      </c>
      <c r="D654">
        <v>107042</v>
      </c>
      <c r="E654">
        <v>27</v>
      </c>
      <c r="F654">
        <v>1</v>
      </c>
      <c r="G654">
        <v>32</v>
      </c>
      <c r="H654" t="s">
        <v>17</v>
      </c>
      <c r="I654">
        <v>648.79</v>
      </c>
    </row>
    <row r="655" spans="1:9" hidden="1" x14ac:dyDescent="0.25">
      <c r="A655">
        <v>494</v>
      </c>
      <c r="B655">
        <v>35</v>
      </c>
      <c r="C655" t="s">
        <v>12</v>
      </c>
      <c r="D655">
        <v>141134</v>
      </c>
      <c r="E655">
        <v>24</v>
      </c>
      <c r="F655">
        <v>4</v>
      </c>
      <c r="G655">
        <v>48</v>
      </c>
      <c r="H655" t="s">
        <v>15</v>
      </c>
      <c r="I655">
        <v>649.61</v>
      </c>
    </row>
    <row r="656" spans="1:9" hidden="1" x14ac:dyDescent="0.25">
      <c r="A656">
        <v>942</v>
      </c>
      <c r="B656">
        <v>36</v>
      </c>
      <c r="C656" t="s">
        <v>12</v>
      </c>
      <c r="D656">
        <v>33087</v>
      </c>
      <c r="E656">
        <v>69</v>
      </c>
      <c r="F656">
        <v>7</v>
      </c>
      <c r="G656">
        <v>21</v>
      </c>
      <c r="H656" t="s">
        <v>15</v>
      </c>
      <c r="I656">
        <v>651.79999999999995</v>
      </c>
    </row>
    <row r="657" spans="1:9" hidden="1" x14ac:dyDescent="0.25">
      <c r="A657">
        <v>300</v>
      </c>
      <c r="B657">
        <v>55</v>
      </c>
      <c r="C657" t="s">
        <v>45</v>
      </c>
      <c r="D657">
        <v>144624</v>
      </c>
      <c r="E657">
        <v>38</v>
      </c>
      <c r="F657">
        <v>2</v>
      </c>
      <c r="G657">
        <v>23</v>
      </c>
      <c r="H657" t="s">
        <v>16</v>
      </c>
      <c r="I657">
        <v>652.26</v>
      </c>
    </row>
    <row r="658" spans="1:9" hidden="1" x14ac:dyDescent="0.25">
      <c r="A658">
        <v>657</v>
      </c>
      <c r="B658">
        <v>27</v>
      </c>
      <c r="C658" t="s">
        <v>12</v>
      </c>
      <c r="D658">
        <v>81110</v>
      </c>
      <c r="E658">
        <v>44</v>
      </c>
      <c r="F658">
        <v>6</v>
      </c>
      <c r="G658">
        <v>8</v>
      </c>
      <c r="H658" t="s">
        <v>14</v>
      </c>
      <c r="I658">
        <v>654.04999999999995</v>
      </c>
    </row>
    <row r="659" spans="1:9" hidden="1" x14ac:dyDescent="0.25">
      <c r="A659">
        <v>963</v>
      </c>
      <c r="B659">
        <v>66</v>
      </c>
      <c r="C659" t="s">
        <v>18</v>
      </c>
      <c r="D659">
        <v>72885</v>
      </c>
      <c r="E659">
        <v>1</v>
      </c>
      <c r="F659">
        <v>9</v>
      </c>
      <c r="G659">
        <v>33</v>
      </c>
      <c r="H659" t="s">
        <v>16</v>
      </c>
      <c r="I659">
        <v>654.48</v>
      </c>
    </row>
    <row r="660" spans="1:9" hidden="1" x14ac:dyDescent="0.25">
      <c r="A660">
        <v>418</v>
      </c>
      <c r="B660">
        <v>51</v>
      </c>
      <c r="C660" t="s">
        <v>18</v>
      </c>
      <c r="D660">
        <v>97565</v>
      </c>
      <c r="E660">
        <v>48</v>
      </c>
      <c r="F660">
        <v>10</v>
      </c>
      <c r="G660">
        <v>31</v>
      </c>
      <c r="H660" t="s">
        <v>17</v>
      </c>
      <c r="I660">
        <v>656.9</v>
      </c>
    </row>
    <row r="661" spans="1:9" hidden="1" x14ac:dyDescent="0.25">
      <c r="A661">
        <v>723</v>
      </c>
      <c r="B661">
        <v>20</v>
      </c>
      <c r="C661" t="s">
        <v>12</v>
      </c>
      <c r="D661">
        <v>48504</v>
      </c>
      <c r="E661">
        <v>27</v>
      </c>
      <c r="F661">
        <v>3</v>
      </c>
      <c r="G661">
        <v>28</v>
      </c>
      <c r="H661" t="s">
        <v>16</v>
      </c>
      <c r="I661">
        <v>658.54</v>
      </c>
    </row>
    <row r="662" spans="1:9" hidden="1" x14ac:dyDescent="0.25">
      <c r="A662">
        <v>690</v>
      </c>
      <c r="B662">
        <v>39</v>
      </c>
      <c r="C662" t="s">
        <v>18</v>
      </c>
      <c r="D662">
        <v>141586</v>
      </c>
      <c r="E662">
        <v>50</v>
      </c>
      <c r="F662">
        <v>4</v>
      </c>
      <c r="G662">
        <v>46</v>
      </c>
      <c r="H662" t="s">
        <v>17</v>
      </c>
      <c r="I662">
        <v>659.67</v>
      </c>
    </row>
    <row r="663" spans="1:9" hidden="1" x14ac:dyDescent="0.25">
      <c r="A663">
        <v>964</v>
      </c>
      <c r="B663">
        <v>26</v>
      </c>
      <c r="C663" t="s">
        <v>45</v>
      </c>
      <c r="D663">
        <v>109221</v>
      </c>
      <c r="E663">
        <v>91</v>
      </c>
      <c r="F663">
        <v>2</v>
      </c>
      <c r="G663">
        <v>44</v>
      </c>
      <c r="H663" t="s">
        <v>15</v>
      </c>
      <c r="I663">
        <v>660.05</v>
      </c>
    </row>
    <row r="664" spans="1:9" hidden="1" x14ac:dyDescent="0.25">
      <c r="A664">
        <v>749</v>
      </c>
      <c r="B664">
        <v>22</v>
      </c>
      <c r="C664" t="s">
        <v>12</v>
      </c>
      <c r="D664">
        <v>73023</v>
      </c>
      <c r="E664">
        <v>30</v>
      </c>
      <c r="F664">
        <v>1</v>
      </c>
      <c r="G664">
        <v>19</v>
      </c>
      <c r="H664" t="s">
        <v>13</v>
      </c>
      <c r="I664">
        <v>661.7</v>
      </c>
    </row>
    <row r="665" spans="1:9" hidden="1" x14ac:dyDescent="0.25">
      <c r="A665">
        <v>156</v>
      </c>
      <c r="B665">
        <v>24</v>
      </c>
      <c r="C665" t="s">
        <v>18</v>
      </c>
      <c r="D665">
        <v>103766</v>
      </c>
      <c r="E665">
        <v>77</v>
      </c>
      <c r="F665">
        <v>4</v>
      </c>
      <c r="G665">
        <v>25</v>
      </c>
      <c r="H665" t="s">
        <v>13</v>
      </c>
      <c r="I665">
        <v>663.21</v>
      </c>
    </row>
    <row r="666" spans="1:9" hidden="1" x14ac:dyDescent="0.25">
      <c r="A666">
        <v>950</v>
      </c>
      <c r="B666">
        <v>45</v>
      </c>
      <c r="C666" t="s">
        <v>45</v>
      </c>
      <c r="D666">
        <v>114390</v>
      </c>
      <c r="E666">
        <v>38</v>
      </c>
      <c r="F666">
        <v>3</v>
      </c>
      <c r="G666">
        <v>9</v>
      </c>
      <c r="H666" t="s">
        <v>16</v>
      </c>
      <c r="I666">
        <v>663.25</v>
      </c>
    </row>
    <row r="667" spans="1:9" hidden="1" x14ac:dyDescent="0.25">
      <c r="A667">
        <v>385</v>
      </c>
      <c r="B667">
        <v>38</v>
      </c>
      <c r="C667" t="s">
        <v>12</v>
      </c>
      <c r="D667">
        <v>78829</v>
      </c>
      <c r="E667">
        <v>73</v>
      </c>
      <c r="F667">
        <v>7</v>
      </c>
      <c r="G667">
        <v>20</v>
      </c>
      <c r="H667" t="s">
        <v>15</v>
      </c>
      <c r="I667">
        <v>665.25</v>
      </c>
    </row>
    <row r="668" spans="1:9" hidden="1" x14ac:dyDescent="0.25">
      <c r="A668">
        <v>940</v>
      </c>
      <c r="B668">
        <v>56</v>
      </c>
      <c r="C668" t="s">
        <v>18</v>
      </c>
      <c r="D668">
        <v>51736</v>
      </c>
      <c r="E668">
        <v>3</v>
      </c>
      <c r="F668">
        <v>9</v>
      </c>
      <c r="G668">
        <v>25</v>
      </c>
      <c r="H668" t="s">
        <v>13</v>
      </c>
      <c r="I668">
        <v>666.01</v>
      </c>
    </row>
    <row r="669" spans="1:9" hidden="1" x14ac:dyDescent="0.25">
      <c r="A669">
        <v>921</v>
      </c>
      <c r="B669">
        <v>66</v>
      </c>
      <c r="C669" t="s">
        <v>12</v>
      </c>
      <c r="D669">
        <v>122436</v>
      </c>
      <c r="E669">
        <v>73</v>
      </c>
      <c r="F669">
        <v>7</v>
      </c>
      <c r="G669">
        <v>47</v>
      </c>
      <c r="H669" t="s">
        <v>13</v>
      </c>
      <c r="I669">
        <v>666.62</v>
      </c>
    </row>
    <row r="670" spans="1:9" hidden="1" x14ac:dyDescent="0.25">
      <c r="A670">
        <v>822</v>
      </c>
      <c r="B670">
        <v>26</v>
      </c>
      <c r="C670" t="s">
        <v>18</v>
      </c>
      <c r="D670">
        <v>34901</v>
      </c>
      <c r="E670">
        <v>31</v>
      </c>
      <c r="F670">
        <v>7</v>
      </c>
      <c r="G670">
        <v>9</v>
      </c>
      <c r="H670" t="s">
        <v>16</v>
      </c>
      <c r="I670">
        <v>667.8</v>
      </c>
    </row>
    <row r="671" spans="1:9" hidden="1" x14ac:dyDescent="0.25">
      <c r="A671">
        <v>498</v>
      </c>
      <c r="B671">
        <v>54</v>
      </c>
      <c r="C671" t="s">
        <v>18</v>
      </c>
      <c r="D671">
        <v>43308</v>
      </c>
      <c r="E671">
        <v>56</v>
      </c>
      <c r="F671">
        <v>5</v>
      </c>
      <c r="G671">
        <v>50</v>
      </c>
      <c r="H671" t="s">
        <v>14</v>
      </c>
      <c r="I671">
        <v>667.92</v>
      </c>
    </row>
    <row r="672" spans="1:9" hidden="1" x14ac:dyDescent="0.25">
      <c r="A672">
        <v>522</v>
      </c>
      <c r="B672">
        <v>29</v>
      </c>
      <c r="C672" t="s">
        <v>18</v>
      </c>
      <c r="D672">
        <v>51471</v>
      </c>
      <c r="E672">
        <v>96</v>
      </c>
      <c r="F672">
        <v>3</v>
      </c>
      <c r="G672">
        <v>13</v>
      </c>
      <c r="H672" t="s">
        <v>13</v>
      </c>
      <c r="I672">
        <v>668.21</v>
      </c>
    </row>
    <row r="673" spans="1:9" hidden="1" x14ac:dyDescent="0.25">
      <c r="A673">
        <v>390</v>
      </c>
      <c r="B673">
        <v>37</v>
      </c>
      <c r="C673" t="s">
        <v>12</v>
      </c>
      <c r="D673">
        <v>65343</v>
      </c>
      <c r="E673">
        <v>89</v>
      </c>
      <c r="F673">
        <v>3</v>
      </c>
      <c r="G673">
        <v>2</v>
      </c>
      <c r="H673" t="s">
        <v>14</v>
      </c>
      <c r="I673">
        <v>668.23</v>
      </c>
    </row>
    <row r="674" spans="1:9" hidden="1" x14ac:dyDescent="0.25">
      <c r="A674">
        <v>117</v>
      </c>
      <c r="B674">
        <v>62</v>
      </c>
      <c r="C674" t="s">
        <v>12</v>
      </c>
      <c r="D674">
        <v>128322</v>
      </c>
      <c r="E674">
        <v>44</v>
      </c>
      <c r="F674">
        <v>4</v>
      </c>
      <c r="G674">
        <v>31</v>
      </c>
      <c r="H674" t="s">
        <v>14</v>
      </c>
      <c r="I674">
        <v>668.91</v>
      </c>
    </row>
    <row r="675" spans="1:9" hidden="1" x14ac:dyDescent="0.25">
      <c r="A675">
        <v>1000</v>
      </c>
      <c r="B675">
        <v>36</v>
      </c>
      <c r="C675" t="s">
        <v>18</v>
      </c>
      <c r="D675">
        <v>90420</v>
      </c>
      <c r="E675">
        <v>7</v>
      </c>
      <c r="F675">
        <v>2</v>
      </c>
      <c r="G675">
        <v>31</v>
      </c>
      <c r="H675" t="s">
        <v>16</v>
      </c>
      <c r="I675">
        <v>669.26</v>
      </c>
    </row>
    <row r="676" spans="1:9" hidden="1" x14ac:dyDescent="0.25">
      <c r="A676">
        <v>391</v>
      </c>
      <c r="B676">
        <v>67</v>
      </c>
      <c r="C676" t="s">
        <v>18</v>
      </c>
      <c r="D676">
        <v>101759</v>
      </c>
      <c r="E676">
        <v>57</v>
      </c>
      <c r="F676">
        <v>3</v>
      </c>
      <c r="G676">
        <v>19</v>
      </c>
      <c r="H676" t="s">
        <v>15</v>
      </c>
      <c r="I676">
        <v>670.51</v>
      </c>
    </row>
    <row r="677" spans="1:9" hidden="1" x14ac:dyDescent="0.25">
      <c r="A677">
        <v>95</v>
      </c>
      <c r="B677">
        <v>30</v>
      </c>
      <c r="C677" t="s">
        <v>45</v>
      </c>
      <c r="D677">
        <v>75926</v>
      </c>
      <c r="E677">
        <v>97</v>
      </c>
      <c r="F677">
        <v>10</v>
      </c>
      <c r="G677">
        <v>19</v>
      </c>
      <c r="H677" t="s">
        <v>15</v>
      </c>
      <c r="I677">
        <v>670.87</v>
      </c>
    </row>
    <row r="678" spans="1:9" hidden="1" x14ac:dyDescent="0.25">
      <c r="A678">
        <v>141</v>
      </c>
      <c r="B678">
        <v>23</v>
      </c>
      <c r="C678" t="s">
        <v>45</v>
      </c>
      <c r="D678">
        <v>67237</v>
      </c>
      <c r="E678">
        <v>85</v>
      </c>
      <c r="F678">
        <v>9</v>
      </c>
      <c r="G678">
        <v>40</v>
      </c>
      <c r="H678" t="s">
        <v>14</v>
      </c>
      <c r="I678">
        <v>673.02</v>
      </c>
    </row>
    <row r="679" spans="1:9" hidden="1" x14ac:dyDescent="0.25">
      <c r="A679">
        <v>50</v>
      </c>
      <c r="B679">
        <v>68</v>
      </c>
      <c r="C679" t="s">
        <v>18</v>
      </c>
      <c r="D679">
        <v>146519</v>
      </c>
      <c r="E679">
        <v>96</v>
      </c>
      <c r="F679">
        <v>2</v>
      </c>
      <c r="G679">
        <v>18</v>
      </c>
      <c r="H679" t="s">
        <v>16</v>
      </c>
      <c r="I679">
        <v>673.79</v>
      </c>
    </row>
    <row r="680" spans="1:9" hidden="1" x14ac:dyDescent="0.25">
      <c r="A680">
        <v>98</v>
      </c>
      <c r="B680">
        <v>49</v>
      </c>
      <c r="C680" t="s">
        <v>12</v>
      </c>
      <c r="D680">
        <v>46695</v>
      </c>
      <c r="E680">
        <v>99</v>
      </c>
      <c r="F680">
        <v>9</v>
      </c>
      <c r="G680">
        <v>26</v>
      </c>
      <c r="H680" t="s">
        <v>17</v>
      </c>
      <c r="I680">
        <v>674.7</v>
      </c>
    </row>
    <row r="681" spans="1:9" hidden="1" x14ac:dyDescent="0.25">
      <c r="A681">
        <v>790</v>
      </c>
      <c r="B681">
        <v>61</v>
      </c>
      <c r="C681" t="s">
        <v>12</v>
      </c>
      <c r="D681">
        <v>96409</v>
      </c>
      <c r="E681">
        <v>66</v>
      </c>
      <c r="F681">
        <v>1</v>
      </c>
      <c r="G681">
        <v>32</v>
      </c>
      <c r="H681" t="s">
        <v>15</v>
      </c>
      <c r="I681">
        <v>674.93</v>
      </c>
    </row>
    <row r="682" spans="1:9" hidden="1" x14ac:dyDescent="0.25">
      <c r="A682">
        <v>861</v>
      </c>
      <c r="B682">
        <v>21</v>
      </c>
      <c r="C682" t="s">
        <v>45</v>
      </c>
      <c r="D682">
        <v>145884</v>
      </c>
      <c r="E682">
        <v>3</v>
      </c>
      <c r="F682">
        <v>4</v>
      </c>
      <c r="G682">
        <v>25</v>
      </c>
      <c r="H682" t="s">
        <v>13</v>
      </c>
      <c r="I682">
        <v>676.93</v>
      </c>
    </row>
    <row r="683" spans="1:9" hidden="1" x14ac:dyDescent="0.25">
      <c r="A683">
        <v>882</v>
      </c>
      <c r="B683">
        <v>61</v>
      </c>
      <c r="C683" t="s">
        <v>12</v>
      </c>
      <c r="D683">
        <v>49557</v>
      </c>
      <c r="E683">
        <v>22</v>
      </c>
      <c r="F683">
        <v>6</v>
      </c>
      <c r="G683">
        <v>12</v>
      </c>
      <c r="H683" t="s">
        <v>17</v>
      </c>
      <c r="I683">
        <v>678.13</v>
      </c>
    </row>
    <row r="684" spans="1:9" hidden="1" x14ac:dyDescent="0.25">
      <c r="A684">
        <v>797</v>
      </c>
      <c r="B684">
        <v>47</v>
      </c>
      <c r="C684" t="s">
        <v>12</v>
      </c>
      <c r="D684">
        <v>86651</v>
      </c>
      <c r="E684">
        <v>54</v>
      </c>
      <c r="F684">
        <v>3</v>
      </c>
      <c r="G684">
        <v>49</v>
      </c>
      <c r="H684" t="s">
        <v>13</v>
      </c>
      <c r="I684">
        <v>678.41</v>
      </c>
    </row>
    <row r="685" spans="1:9" hidden="1" x14ac:dyDescent="0.25">
      <c r="A685">
        <v>920</v>
      </c>
      <c r="B685">
        <v>60</v>
      </c>
      <c r="C685" t="s">
        <v>45</v>
      </c>
      <c r="D685">
        <v>44555</v>
      </c>
      <c r="E685">
        <v>84</v>
      </c>
      <c r="F685">
        <v>7</v>
      </c>
      <c r="G685">
        <v>28</v>
      </c>
      <c r="H685" t="s">
        <v>14</v>
      </c>
      <c r="I685">
        <v>678.42</v>
      </c>
    </row>
    <row r="686" spans="1:9" hidden="1" x14ac:dyDescent="0.25">
      <c r="A686">
        <v>757</v>
      </c>
      <c r="B686">
        <v>19</v>
      </c>
      <c r="C686" t="s">
        <v>18</v>
      </c>
      <c r="D686">
        <v>129687</v>
      </c>
      <c r="E686">
        <v>78</v>
      </c>
      <c r="F686">
        <v>3</v>
      </c>
      <c r="G686">
        <v>43</v>
      </c>
      <c r="H686" t="s">
        <v>13</v>
      </c>
      <c r="I686">
        <v>679.67</v>
      </c>
    </row>
    <row r="687" spans="1:9" hidden="1" x14ac:dyDescent="0.25">
      <c r="A687">
        <v>886</v>
      </c>
      <c r="B687">
        <v>26</v>
      </c>
      <c r="C687" t="s">
        <v>45</v>
      </c>
      <c r="D687">
        <v>113532</v>
      </c>
      <c r="E687">
        <v>70</v>
      </c>
      <c r="F687">
        <v>7</v>
      </c>
      <c r="G687">
        <v>28</v>
      </c>
      <c r="H687" t="s">
        <v>15</v>
      </c>
      <c r="I687">
        <v>679.69</v>
      </c>
    </row>
    <row r="688" spans="1:9" hidden="1" x14ac:dyDescent="0.25">
      <c r="A688">
        <v>290</v>
      </c>
      <c r="B688">
        <v>43</v>
      </c>
      <c r="C688" t="s">
        <v>12</v>
      </c>
      <c r="D688">
        <v>64136</v>
      </c>
      <c r="E688">
        <v>61</v>
      </c>
      <c r="F688">
        <v>1</v>
      </c>
      <c r="G688">
        <v>19</v>
      </c>
      <c r="H688" t="s">
        <v>14</v>
      </c>
      <c r="I688">
        <v>680.92</v>
      </c>
    </row>
    <row r="689" spans="1:9" hidden="1" x14ac:dyDescent="0.25">
      <c r="A689">
        <v>866</v>
      </c>
      <c r="B689">
        <v>22</v>
      </c>
      <c r="C689" t="s">
        <v>12</v>
      </c>
      <c r="D689">
        <v>48068</v>
      </c>
      <c r="E689">
        <v>57</v>
      </c>
      <c r="F689">
        <v>2</v>
      </c>
      <c r="G689">
        <v>24</v>
      </c>
      <c r="H689" t="s">
        <v>14</v>
      </c>
      <c r="I689">
        <v>683.02</v>
      </c>
    </row>
    <row r="690" spans="1:9" hidden="1" x14ac:dyDescent="0.25">
      <c r="A690">
        <v>985</v>
      </c>
      <c r="B690">
        <v>35</v>
      </c>
      <c r="C690" t="s">
        <v>45</v>
      </c>
      <c r="D690">
        <v>82057</v>
      </c>
      <c r="E690">
        <v>66</v>
      </c>
      <c r="F690">
        <v>4</v>
      </c>
      <c r="G690">
        <v>9</v>
      </c>
      <c r="H690" t="s">
        <v>15</v>
      </c>
      <c r="I690">
        <v>683.93</v>
      </c>
    </row>
    <row r="691" spans="1:9" hidden="1" x14ac:dyDescent="0.25">
      <c r="A691">
        <v>722</v>
      </c>
      <c r="B691">
        <v>45</v>
      </c>
      <c r="C691" t="s">
        <v>12</v>
      </c>
      <c r="D691">
        <v>127989</v>
      </c>
      <c r="E691">
        <v>99</v>
      </c>
      <c r="F691">
        <v>1</v>
      </c>
      <c r="G691">
        <v>42</v>
      </c>
      <c r="H691" t="s">
        <v>13</v>
      </c>
      <c r="I691">
        <v>683.99</v>
      </c>
    </row>
    <row r="692" spans="1:9" hidden="1" x14ac:dyDescent="0.25">
      <c r="A692">
        <v>312</v>
      </c>
      <c r="B692">
        <v>30</v>
      </c>
      <c r="C692" t="s">
        <v>12</v>
      </c>
      <c r="D692">
        <v>143200</v>
      </c>
      <c r="E692">
        <v>38</v>
      </c>
      <c r="F692">
        <v>8</v>
      </c>
      <c r="G692">
        <v>30</v>
      </c>
      <c r="H692" t="s">
        <v>15</v>
      </c>
      <c r="I692">
        <v>684.43</v>
      </c>
    </row>
    <row r="693" spans="1:9" hidden="1" x14ac:dyDescent="0.25">
      <c r="A693">
        <v>911</v>
      </c>
      <c r="B693">
        <v>66</v>
      </c>
      <c r="C693" t="s">
        <v>18</v>
      </c>
      <c r="D693">
        <v>55154</v>
      </c>
      <c r="E693">
        <v>93</v>
      </c>
      <c r="F693">
        <v>3</v>
      </c>
      <c r="G693">
        <v>19</v>
      </c>
      <c r="H693" t="s">
        <v>14</v>
      </c>
      <c r="I693">
        <v>684.88</v>
      </c>
    </row>
    <row r="694" spans="1:9" hidden="1" x14ac:dyDescent="0.25">
      <c r="A694">
        <v>308</v>
      </c>
      <c r="B694">
        <v>54</v>
      </c>
      <c r="C694" t="s">
        <v>18</v>
      </c>
      <c r="D694">
        <v>76995</v>
      </c>
      <c r="E694">
        <v>14</v>
      </c>
      <c r="F694">
        <v>3</v>
      </c>
      <c r="G694">
        <v>46</v>
      </c>
      <c r="H694" t="s">
        <v>14</v>
      </c>
      <c r="I694">
        <v>685.09</v>
      </c>
    </row>
    <row r="695" spans="1:9" hidden="1" x14ac:dyDescent="0.25">
      <c r="A695">
        <v>363</v>
      </c>
      <c r="B695">
        <v>26</v>
      </c>
      <c r="C695" t="s">
        <v>45</v>
      </c>
      <c r="D695">
        <v>149741</v>
      </c>
      <c r="E695">
        <v>51</v>
      </c>
      <c r="F695">
        <v>4</v>
      </c>
      <c r="G695">
        <v>37</v>
      </c>
      <c r="H695" t="s">
        <v>13</v>
      </c>
      <c r="I695">
        <v>685.36</v>
      </c>
    </row>
    <row r="696" spans="1:9" hidden="1" x14ac:dyDescent="0.25">
      <c r="A696">
        <v>66</v>
      </c>
      <c r="B696">
        <v>32</v>
      </c>
      <c r="C696" t="s">
        <v>12</v>
      </c>
      <c r="D696">
        <v>100270</v>
      </c>
      <c r="E696">
        <v>69</v>
      </c>
      <c r="F696">
        <v>3</v>
      </c>
      <c r="G696">
        <v>29</v>
      </c>
      <c r="H696" t="s">
        <v>13</v>
      </c>
      <c r="I696">
        <v>686.05</v>
      </c>
    </row>
    <row r="697" spans="1:9" hidden="1" x14ac:dyDescent="0.25">
      <c r="A697">
        <v>650</v>
      </c>
      <c r="B697">
        <v>47</v>
      </c>
      <c r="C697" t="s">
        <v>45</v>
      </c>
      <c r="D697">
        <v>88268</v>
      </c>
      <c r="E697">
        <v>32</v>
      </c>
      <c r="F697">
        <v>8</v>
      </c>
      <c r="G697">
        <v>27</v>
      </c>
      <c r="H697" t="s">
        <v>16</v>
      </c>
      <c r="I697">
        <v>686.5</v>
      </c>
    </row>
    <row r="698" spans="1:9" hidden="1" x14ac:dyDescent="0.25">
      <c r="A698">
        <v>787</v>
      </c>
      <c r="B698">
        <v>57</v>
      </c>
      <c r="C698" t="s">
        <v>45</v>
      </c>
      <c r="D698">
        <v>56547</v>
      </c>
      <c r="E698">
        <v>65</v>
      </c>
      <c r="F698">
        <v>10</v>
      </c>
      <c r="G698">
        <v>43</v>
      </c>
      <c r="H698" t="s">
        <v>16</v>
      </c>
      <c r="I698">
        <v>686.83</v>
      </c>
    </row>
    <row r="699" spans="1:9" hidden="1" x14ac:dyDescent="0.25">
      <c r="A699">
        <v>794</v>
      </c>
      <c r="B699">
        <v>50</v>
      </c>
      <c r="C699" t="s">
        <v>12</v>
      </c>
      <c r="D699">
        <v>103921</v>
      </c>
      <c r="E699">
        <v>58</v>
      </c>
      <c r="F699">
        <v>2</v>
      </c>
      <c r="G699">
        <v>3</v>
      </c>
      <c r="H699" t="s">
        <v>14</v>
      </c>
      <c r="I699">
        <v>687.32</v>
      </c>
    </row>
    <row r="700" spans="1:9" hidden="1" x14ac:dyDescent="0.25">
      <c r="A700">
        <v>400</v>
      </c>
      <c r="B700">
        <v>41</v>
      </c>
      <c r="C700" t="s">
        <v>18</v>
      </c>
      <c r="D700">
        <v>147962</v>
      </c>
      <c r="E700">
        <v>90</v>
      </c>
      <c r="F700">
        <v>2</v>
      </c>
      <c r="G700">
        <v>9</v>
      </c>
      <c r="H700" t="s">
        <v>17</v>
      </c>
      <c r="I700">
        <v>688.61</v>
      </c>
    </row>
    <row r="701" spans="1:9" hidden="1" x14ac:dyDescent="0.25">
      <c r="A701">
        <v>977</v>
      </c>
      <c r="B701">
        <v>37</v>
      </c>
      <c r="C701" t="s">
        <v>12</v>
      </c>
      <c r="D701">
        <v>100314</v>
      </c>
      <c r="E701">
        <v>71</v>
      </c>
      <c r="F701">
        <v>5</v>
      </c>
      <c r="G701">
        <v>19</v>
      </c>
      <c r="H701" t="s">
        <v>16</v>
      </c>
      <c r="I701">
        <v>692.74</v>
      </c>
    </row>
    <row r="702" spans="1:9" hidden="1" x14ac:dyDescent="0.25">
      <c r="A702">
        <v>461</v>
      </c>
      <c r="B702">
        <v>41</v>
      </c>
      <c r="C702" t="s">
        <v>12</v>
      </c>
      <c r="D702">
        <v>141605</v>
      </c>
      <c r="E702">
        <v>100</v>
      </c>
      <c r="F702">
        <v>4</v>
      </c>
      <c r="G702">
        <v>20</v>
      </c>
      <c r="H702" t="s">
        <v>13</v>
      </c>
      <c r="I702">
        <v>693.02</v>
      </c>
    </row>
    <row r="703" spans="1:9" hidden="1" x14ac:dyDescent="0.25">
      <c r="A703">
        <v>450</v>
      </c>
      <c r="B703">
        <v>48</v>
      </c>
      <c r="C703" t="s">
        <v>12</v>
      </c>
      <c r="D703">
        <v>60382</v>
      </c>
      <c r="E703">
        <v>13</v>
      </c>
      <c r="F703">
        <v>3</v>
      </c>
      <c r="G703">
        <v>27</v>
      </c>
      <c r="H703" t="s">
        <v>14</v>
      </c>
      <c r="I703">
        <v>694.59</v>
      </c>
    </row>
    <row r="704" spans="1:9" hidden="1" x14ac:dyDescent="0.25">
      <c r="A704">
        <v>172</v>
      </c>
      <c r="B704">
        <v>19</v>
      </c>
      <c r="C704" t="s">
        <v>12</v>
      </c>
      <c r="D704">
        <v>98446</v>
      </c>
      <c r="E704">
        <v>25</v>
      </c>
      <c r="F704">
        <v>4</v>
      </c>
      <c r="G704">
        <v>34</v>
      </c>
      <c r="H704" t="s">
        <v>16</v>
      </c>
      <c r="I704">
        <v>696.59</v>
      </c>
    </row>
    <row r="705" spans="1:9" hidden="1" x14ac:dyDescent="0.25">
      <c r="A705">
        <v>370</v>
      </c>
      <c r="B705">
        <v>23</v>
      </c>
      <c r="C705" t="s">
        <v>18</v>
      </c>
      <c r="D705">
        <v>30751</v>
      </c>
      <c r="E705">
        <v>99</v>
      </c>
      <c r="F705">
        <v>9</v>
      </c>
      <c r="G705">
        <v>26</v>
      </c>
      <c r="H705" t="s">
        <v>14</v>
      </c>
      <c r="I705">
        <v>696.9</v>
      </c>
    </row>
    <row r="706" spans="1:9" hidden="1" x14ac:dyDescent="0.25">
      <c r="A706">
        <v>715</v>
      </c>
      <c r="B706">
        <v>43</v>
      </c>
      <c r="C706" t="s">
        <v>45</v>
      </c>
      <c r="D706">
        <v>67912</v>
      </c>
      <c r="E706">
        <v>71</v>
      </c>
      <c r="F706">
        <v>10</v>
      </c>
      <c r="G706">
        <v>35</v>
      </c>
      <c r="H706" t="s">
        <v>14</v>
      </c>
      <c r="I706">
        <v>698.03</v>
      </c>
    </row>
    <row r="707" spans="1:9" hidden="1" x14ac:dyDescent="0.25">
      <c r="A707">
        <v>812</v>
      </c>
      <c r="B707">
        <v>53</v>
      </c>
      <c r="C707" t="s">
        <v>45</v>
      </c>
      <c r="D707">
        <v>76842</v>
      </c>
      <c r="E707">
        <v>73</v>
      </c>
      <c r="F707">
        <v>6</v>
      </c>
      <c r="G707">
        <v>35</v>
      </c>
      <c r="H707" t="s">
        <v>13</v>
      </c>
      <c r="I707">
        <v>701.61</v>
      </c>
    </row>
    <row r="708" spans="1:9" hidden="1" x14ac:dyDescent="0.25">
      <c r="A708">
        <v>356</v>
      </c>
      <c r="B708">
        <v>32</v>
      </c>
      <c r="C708" t="s">
        <v>45</v>
      </c>
      <c r="D708">
        <v>94627</v>
      </c>
      <c r="E708">
        <v>88</v>
      </c>
      <c r="F708">
        <v>9</v>
      </c>
      <c r="G708">
        <v>30</v>
      </c>
      <c r="H708" t="s">
        <v>17</v>
      </c>
      <c r="I708">
        <v>703.94</v>
      </c>
    </row>
    <row r="709" spans="1:9" hidden="1" x14ac:dyDescent="0.25">
      <c r="A709">
        <v>637</v>
      </c>
      <c r="B709">
        <v>52</v>
      </c>
      <c r="C709" t="s">
        <v>45</v>
      </c>
      <c r="D709">
        <v>85267</v>
      </c>
      <c r="E709">
        <v>6</v>
      </c>
      <c r="F709">
        <v>5</v>
      </c>
      <c r="G709">
        <v>2</v>
      </c>
      <c r="H709" t="s">
        <v>13</v>
      </c>
      <c r="I709">
        <v>704.32</v>
      </c>
    </row>
    <row r="710" spans="1:9" hidden="1" x14ac:dyDescent="0.25">
      <c r="A710">
        <v>459</v>
      </c>
      <c r="B710">
        <v>30</v>
      </c>
      <c r="C710" t="s">
        <v>45</v>
      </c>
      <c r="D710">
        <v>100399</v>
      </c>
      <c r="E710">
        <v>96</v>
      </c>
      <c r="F710">
        <v>2</v>
      </c>
      <c r="G710">
        <v>5</v>
      </c>
      <c r="H710" t="s">
        <v>17</v>
      </c>
      <c r="I710">
        <v>705.64</v>
      </c>
    </row>
    <row r="711" spans="1:9" hidden="1" x14ac:dyDescent="0.25">
      <c r="A711">
        <v>585</v>
      </c>
      <c r="B711">
        <v>51</v>
      </c>
      <c r="C711" t="s">
        <v>18</v>
      </c>
      <c r="D711">
        <v>37310</v>
      </c>
      <c r="E711">
        <v>6</v>
      </c>
      <c r="F711">
        <v>5</v>
      </c>
      <c r="G711">
        <v>14</v>
      </c>
      <c r="H711" t="s">
        <v>15</v>
      </c>
      <c r="I711">
        <v>706.18</v>
      </c>
    </row>
    <row r="712" spans="1:9" hidden="1" x14ac:dyDescent="0.25">
      <c r="A712">
        <v>213</v>
      </c>
      <c r="B712">
        <v>47</v>
      </c>
      <c r="C712" t="s">
        <v>18</v>
      </c>
      <c r="D712">
        <v>121498</v>
      </c>
      <c r="E712">
        <v>29</v>
      </c>
      <c r="F712">
        <v>9</v>
      </c>
      <c r="G712">
        <v>28</v>
      </c>
      <c r="H712" t="s">
        <v>15</v>
      </c>
      <c r="I712">
        <v>706.37</v>
      </c>
    </row>
    <row r="713" spans="1:9" hidden="1" x14ac:dyDescent="0.25">
      <c r="A713">
        <v>770</v>
      </c>
      <c r="B713">
        <v>61</v>
      </c>
      <c r="C713" t="s">
        <v>12</v>
      </c>
      <c r="D713">
        <v>32692</v>
      </c>
      <c r="E713">
        <v>18</v>
      </c>
      <c r="F713">
        <v>8</v>
      </c>
      <c r="G713">
        <v>28</v>
      </c>
      <c r="H713" t="s">
        <v>16</v>
      </c>
      <c r="I713">
        <v>709.33</v>
      </c>
    </row>
    <row r="714" spans="1:9" hidden="1" x14ac:dyDescent="0.25">
      <c r="A714">
        <v>415</v>
      </c>
      <c r="B714">
        <v>57</v>
      </c>
      <c r="C714" t="s">
        <v>12</v>
      </c>
      <c r="D714">
        <v>52164</v>
      </c>
      <c r="E714">
        <v>53</v>
      </c>
      <c r="F714">
        <v>3</v>
      </c>
      <c r="G714">
        <v>36</v>
      </c>
      <c r="H714" t="s">
        <v>16</v>
      </c>
      <c r="I714">
        <v>710.84</v>
      </c>
    </row>
    <row r="715" spans="1:9" hidden="1" x14ac:dyDescent="0.25">
      <c r="A715">
        <v>153</v>
      </c>
      <c r="B715">
        <v>43</v>
      </c>
      <c r="C715" t="s">
        <v>12</v>
      </c>
      <c r="D715">
        <v>33030</v>
      </c>
      <c r="E715">
        <v>61</v>
      </c>
      <c r="F715">
        <v>8</v>
      </c>
      <c r="G715">
        <v>40</v>
      </c>
      <c r="H715" t="s">
        <v>16</v>
      </c>
      <c r="I715">
        <v>711.04</v>
      </c>
    </row>
    <row r="716" spans="1:9" hidden="1" x14ac:dyDescent="0.25">
      <c r="A716">
        <v>974</v>
      </c>
      <c r="B716">
        <v>48</v>
      </c>
      <c r="C716" t="s">
        <v>45</v>
      </c>
      <c r="D716">
        <v>75118</v>
      </c>
      <c r="E716">
        <v>84</v>
      </c>
      <c r="F716">
        <v>6</v>
      </c>
      <c r="G716">
        <v>41</v>
      </c>
      <c r="H716" t="s">
        <v>14</v>
      </c>
      <c r="I716">
        <v>711.37</v>
      </c>
    </row>
    <row r="717" spans="1:9" hidden="1" x14ac:dyDescent="0.25">
      <c r="A717">
        <v>41</v>
      </c>
      <c r="B717">
        <v>23</v>
      </c>
      <c r="C717" t="s">
        <v>12</v>
      </c>
      <c r="D717">
        <v>70723</v>
      </c>
      <c r="E717">
        <v>31</v>
      </c>
      <c r="F717">
        <v>1</v>
      </c>
      <c r="G717">
        <v>48</v>
      </c>
      <c r="H717" t="s">
        <v>13</v>
      </c>
      <c r="I717">
        <v>713.33</v>
      </c>
    </row>
    <row r="718" spans="1:9" hidden="1" x14ac:dyDescent="0.25">
      <c r="A718">
        <v>130</v>
      </c>
      <c r="B718">
        <v>61</v>
      </c>
      <c r="C718" t="s">
        <v>18</v>
      </c>
      <c r="D718">
        <v>131607</v>
      </c>
      <c r="E718">
        <v>25</v>
      </c>
      <c r="F718">
        <v>7</v>
      </c>
      <c r="G718">
        <v>26</v>
      </c>
      <c r="H718" t="s">
        <v>17</v>
      </c>
      <c r="I718">
        <v>714.15</v>
      </c>
    </row>
    <row r="719" spans="1:9" hidden="1" x14ac:dyDescent="0.25">
      <c r="A719">
        <v>319</v>
      </c>
      <c r="B719">
        <v>61</v>
      </c>
      <c r="C719" t="s">
        <v>45</v>
      </c>
      <c r="D719">
        <v>47790</v>
      </c>
      <c r="E719">
        <v>67</v>
      </c>
      <c r="F719">
        <v>9</v>
      </c>
      <c r="G719">
        <v>5</v>
      </c>
      <c r="H719" t="s">
        <v>13</v>
      </c>
      <c r="I719">
        <v>714.29</v>
      </c>
    </row>
    <row r="720" spans="1:9" hidden="1" x14ac:dyDescent="0.25">
      <c r="A720">
        <v>417</v>
      </c>
      <c r="B720">
        <v>52</v>
      </c>
      <c r="C720" t="s">
        <v>45</v>
      </c>
      <c r="D720">
        <v>101105</v>
      </c>
      <c r="E720">
        <v>11</v>
      </c>
      <c r="F720">
        <v>9</v>
      </c>
      <c r="G720">
        <v>2</v>
      </c>
      <c r="H720" t="s">
        <v>13</v>
      </c>
      <c r="I720">
        <v>714.72</v>
      </c>
    </row>
    <row r="721" spans="1:9" hidden="1" x14ac:dyDescent="0.25">
      <c r="A721">
        <v>646</v>
      </c>
      <c r="B721">
        <v>62</v>
      </c>
      <c r="C721" t="s">
        <v>12</v>
      </c>
      <c r="D721">
        <v>113856</v>
      </c>
      <c r="E721">
        <v>78</v>
      </c>
      <c r="F721">
        <v>6</v>
      </c>
      <c r="G721">
        <v>50</v>
      </c>
      <c r="H721" t="s">
        <v>14</v>
      </c>
      <c r="I721">
        <v>720.47</v>
      </c>
    </row>
    <row r="722" spans="1:9" hidden="1" x14ac:dyDescent="0.25">
      <c r="A722">
        <v>900</v>
      </c>
      <c r="B722">
        <v>52</v>
      </c>
      <c r="C722" t="s">
        <v>18</v>
      </c>
      <c r="D722">
        <v>41544</v>
      </c>
      <c r="E722">
        <v>1</v>
      </c>
      <c r="F722">
        <v>10</v>
      </c>
      <c r="G722">
        <v>46</v>
      </c>
      <c r="H722" t="s">
        <v>13</v>
      </c>
      <c r="I722">
        <v>720.52</v>
      </c>
    </row>
    <row r="723" spans="1:9" hidden="1" x14ac:dyDescent="0.25">
      <c r="A723">
        <v>159</v>
      </c>
      <c r="B723">
        <v>58</v>
      </c>
      <c r="C723" t="s">
        <v>45</v>
      </c>
      <c r="D723">
        <v>107818</v>
      </c>
      <c r="E723">
        <v>70</v>
      </c>
      <c r="F723">
        <v>5</v>
      </c>
      <c r="G723">
        <v>24</v>
      </c>
      <c r="H723" t="s">
        <v>13</v>
      </c>
      <c r="I723">
        <v>722.18</v>
      </c>
    </row>
    <row r="724" spans="1:9" hidden="1" x14ac:dyDescent="0.25">
      <c r="A724">
        <v>840</v>
      </c>
      <c r="B724">
        <v>58</v>
      </c>
      <c r="C724" t="s">
        <v>18</v>
      </c>
      <c r="D724">
        <v>68764</v>
      </c>
      <c r="E724">
        <v>96</v>
      </c>
      <c r="F724">
        <v>6</v>
      </c>
      <c r="G724">
        <v>31</v>
      </c>
      <c r="H724" t="s">
        <v>16</v>
      </c>
      <c r="I724">
        <v>723.66</v>
      </c>
    </row>
    <row r="725" spans="1:9" hidden="1" x14ac:dyDescent="0.25">
      <c r="A725">
        <v>292</v>
      </c>
      <c r="B725">
        <v>62</v>
      </c>
      <c r="C725" t="s">
        <v>45</v>
      </c>
      <c r="D725">
        <v>38250</v>
      </c>
      <c r="E725">
        <v>63</v>
      </c>
      <c r="F725">
        <v>5</v>
      </c>
      <c r="G725">
        <v>22</v>
      </c>
      <c r="H725" t="s">
        <v>13</v>
      </c>
      <c r="I725">
        <v>723.93</v>
      </c>
    </row>
    <row r="726" spans="1:9" hidden="1" x14ac:dyDescent="0.25">
      <c r="A726">
        <v>969</v>
      </c>
      <c r="B726">
        <v>61</v>
      </c>
      <c r="C726" t="s">
        <v>45</v>
      </c>
      <c r="D726">
        <v>38209</v>
      </c>
      <c r="E726">
        <v>79</v>
      </c>
      <c r="F726">
        <v>8</v>
      </c>
      <c r="G726">
        <v>40</v>
      </c>
      <c r="H726" t="s">
        <v>15</v>
      </c>
      <c r="I726">
        <v>724.23</v>
      </c>
    </row>
    <row r="727" spans="1:9" hidden="1" x14ac:dyDescent="0.25">
      <c r="A727">
        <v>976</v>
      </c>
      <c r="B727">
        <v>30</v>
      </c>
      <c r="C727" t="s">
        <v>12</v>
      </c>
      <c r="D727">
        <v>54930</v>
      </c>
      <c r="E727">
        <v>12</v>
      </c>
      <c r="F727">
        <v>9</v>
      </c>
      <c r="G727">
        <v>13</v>
      </c>
      <c r="H727" t="s">
        <v>14</v>
      </c>
      <c r="I727">
        <v>724.88</v>
      </c>
    </row>
    <row r="728" spans="1:9" hidden="1" x14ac:dyDescent="0.25">
      <c r="A728">
        <v>664</v>
      </c>
      <c r="B728">
        <v>56</v>
      </c>
      <c r="C728" t="s">
        <v>45</v>
      </c>
      <c r="D728">
        <v>30492</v>
      </c>
      <c r="E728">
        <v>47</v>
      </c>
      <c r="F728">
        <v>5</v>
      </c>
      <c r="G728">
        <v>6</v>
      </c>
      <c r="H728" t="s">
        <v>16</v>
      </c>
      <c r="I728">
        <v>725.26</v>
      </c>
    </row>
    <row r="729" spans="1:9" hidden="1" x14ac:dyDescent="0.25">
      <c r="A729">
        <v>962</v>
      </c>
      <c r="B729">
        <v>60</v>
      </c>
      <c r="C729" t="s">
        <v>12</v>
      </c>
      <c r="D729">
        <v>98537</v>
      </c>
      <c r="E729">
        <v>71</v>
      </c>
      <c r="F729">
        <v>9</v>
      </c>
      <c r="G729">
        <v>45</v>
      </c>
      <c r="H729" t="s">
        <v>16</v>
      </c>
      <c r="I729">
        <v>725.67</v>
      </c>
    </row>
    <row r="730" spans="1:9" hidden="1" x14ac:dyDescent="0.25">
      <c r="A730">
        <v>871</v>
      </c>
      <c r="B730">
        <v>57</v>
      </c>
      <c r="C730" t="s">
        <v>18</v>
      </c>
      <c r="D730">
        <v>128481</v>
      </c>
      <c r="E730">
        <v>86</v>
      </c>
      <c r="F730">
        <v>10</v>
      </c>
      <c r="G730">
        <v>40</v>
      </c>
      <c r="H730" t="s">
        <v>13</v>
      </c>
      <c r="I730">
        <v>727.15</v>
      </c>
    </row>
    <row r="731" spans="1:9" hidden="1" x14ac:dyDescent="0.25">
      <c r="A731">
        <v>323</v>
      </c>
      <c r="B731">
        <v>55</v>
      </c>
      <c r="C731" t="s">
        <v>45</v>
      </c>
      <c r="D731">
        <v>80006</v>
      </c>
      <c r="E731">
        <v>44</v>
      </c>
      <c r="F731">
        <v>2</v>
      </c>
      <c r="G731">
        <v>49</v>
      </c>
      <c r="H731" t="s">
        <v>17</v>
      </c>
      <c r="I731">
        <v>727.51</v>
      </c>
    </row>
    <row r="732" spans="1:9" hidden="1" x14ac:dyDescent="0.25">
      <c r="A732">
        <v>538</v>
      </c>
      <c r="B732">
        <v>39</v>
      </c>
      <c r="C732" t="s">
        <v>12</v>
      </c>
      <c r="D732">
        <v>49970</v>
      </c>
      <c r="E732">
        <v>53</v>
      </c>
      <c r="F732">
        <v>5</v>
      </c>
      <c r="G732">
        <v>24</v>
      </c>
      <c r="H732" t="s">
        <v>16</v>
      </c>
      <c r="I732">
        <v>728.58</v>
      </c>
    </row>
    <row r="733" spans="1:9" hidden="1" x14ac:dyDescent="0.25">
      <c r="A733">
        <v>595</v>
      </c>
      <c r="B733">
        <v>28</v>
      </c>
      <c r="C733" t="s">
        <v>45</v>
      </c>
      <c r="D733">
        <v>61870</v>
      </c>
      <c r="E733">
        <v>100</v>
      </c>
      <c r="F733">
        <v>6</v>
      </c>
      <c r="G733">
        <v>3</v>
      </c>
      <c r="H733" t="s">
        <v>16</v>
      </c>
      <c r="I733">
        <v>728.67</v>
      </c>
    </row>
    <row r="734" spans="1:9" hidden="1" x14ac:dyDescent="0.25">
      <c r="A734">
        <v>274</v>
      </c>
      <c r="B734">
        <v>60</v>
      </c>
      <c r="C734" t="s">
        <v>45</v>
      </c>
      <c r="D734">
        <v>107232</v>
      </c>
      <c r="E734">
        <v>68</v>
      </c>
      <c r="F734">
        <v>4</v>
      </c>
      <c r="G734">
        <v>48</v>
      </c>
      <c r="H734" t="s">
        <v>17</v>
      </c>
      <c r="I734">
        <v>730.8</v>
      </c>
    </row>
    <row r="735" spans="1:9" hidden="1" x14ac:dyDescent="0.25">
      <c r="A735">
        <v>971</v>
      </c>
      <c r="B735">
        <v>58</v>
      </c>
      <c r="C735" t="s">
        <v>18</v>
      </c>
      <c r="D735">
        <v>51913</v>
      </c>
      <c r="E735">
        <v>14</v>
      </c>
      <c r="F735">
        <v>4</v>
      </c>
      <c r="G735">
        <v>21</v>
      </c>
      <c r="H735" t="s">
        <v>13</v>
      </c>
      <c r="I735">
        <v>733.63</v>
      </c>
    </row>
    <row r="736" spans="1:9" hidden="1" x14ac:dyDescent="0.25">
      <c r="A736">
        <v>591</v>
      </c>
      <c r="B736">
        <v>53</v>
      </c>
      <c r="C736" t="s">
        <v>12</v>
      </c>
      <c r="D736">
        <v>108263</v>
      </c>
      <c r="E736">
        <v>21</v>
      </c>
      <c r="F736">
        <v>1</v>
      </c>
      <c r="G736">
        <v>47</v>
      </c>
      <c r="H736" t="s">
        <v>14</v>
      </c>
      <c r="I736">
        <v>734.48</v>
      </c>
    </row>
    <row r="737" spans="1:9" hidden="1" x14ac:dyDescent="0.25">
      <c r="A737">
        <v>8</v>
      </c>
      <c r="B737">
        <v>43</v>
      </c>
      <c r="C737" t="s">
        <v>12</v>
      </c>
      <c r="D737">
        <v>108115</v>
      </c>
      <c r="E737">
        <v>94</v>
      </c>
      <c r="F737">
        <v>9</v>
      </c>
      <c r="G737">
        <v>27</v>
      </c>
      <c r="H737" t="s">
        <v>16</v>
      </c>
      <c r="I737">
        <v>734.56</v>
      </c>
    </row>
    <row r="738" spans="1:9" hidden="1" x14ac:dyDescent="0.25">
      <c r="A738">
        <v>366</v>
      </c>
      <c r="B738">
        <v>19</v>
      </c>
      <c r="C738" t="s">
        <v>45</v>
      </c>
      <c r="D738">
        <v>105019</v>
      </c>
      <c r="E738">
        <v>84</v>
      </c>
      <c r="F738">
        <v>8</v>
      </c>
      <c r="G738">
        <v>32</v>
      </c>
      <c r="H738" t="s">
        <v>17</v>
      </c>
      <c r="I738">
        <v>735.3</v>
      </c>
    </row>
    <row r="739" spans="1:9" hidden="1" x14ac:dyDescent="0.25">
      <c r="A739">
        <v>860</v>
      </c>
      <c r="B739">
        <v>22</v>
      </c>
      <c r="C739" t="s">
        <v>12</v>
      </c>
      <c r="D739">
        <v>46866</v>
      </c>
      <c r="E739">
        <v>3</v>
      </c>
      <c r="F739">
        <v>7</v>
      </c>
      <c r="G739">
        <v>46</v>
      </c>
      <c r="H739" t="s">
        <v>14</v>
      </c>
      <c r="I739">
        <v>737.44</v>
      </c>
    </row>
    <row r="740" spans="1:9" hidden="1" x14ac:dyDescent="0.25">
      <c r="A740">
        <v>460</v>
      </c>
      <c r="B740">
        <v>55</v>
      </c>
      <c r="C740" t="s">
        <v>18</v>
      </c>
      <c r="D740">
        <v>105647</v>
      </c>
      <c r="E740">
        <v>94</v>
      </c>
      <c r="F740">
        <v>1</v>
      </c>
      <c r="G740">
        <v>14</v>
      </c>
      <c r="H740" t="s">
        <v>15</v>
      </c>
      <c r="I740">
        <v>737.91</v>
      </c>
    </row>
    <row r="741" spans="1:9" hidden="1" x14ac:dyDescent="0.25">
      <c r="A741">
        <v>834</v>
      </c>
      <c r="B741">
        <v>38</v>
      </c>
      <c r="C741" t="s">
        <v>12</v>
      </c>
      <c r="D741">
        <v>101111</v>
      </c>
      <c r="E741">
        <v>98</v>
      </c>
      <c r="F741">
        <v>8</v>
      </c>
      <c r="G741">
        <v>35</v>
      </c>
      <c r="H741" t="s">
        <v>17</v>
      </c>
      <c r="I741">
        <v>738.01</v>
      </c>
    </row>
    <row r="742" spans="1:9" hidden="1" x14ac:dyDescent="0.25">
      <c r="A742">
        <v>80</v>
      </c>
      <c r="B742">
        <v>68</v>
      </c>
      <c r="C742" t="s">
        <v>45</v>
      </c>
      <c r="D742">
        <v>45092</v>
      </c>
      <c r="E742">
        <v>54</v>
      </c>
      <c r="F742">
        <v>4</v>
      </c>
      <c r="G742">
        <v>40</v>
      </c>
      <c r="H742" t="s">
        <v>14</v>
      </c>
      <c r="I742">
        <v>738.6</v>
      </c>
    </row>
    <row r="743" spans="1:9" hidden="1" x14ac:dyDescent="0.25">
      <c r="A743">
        <v>855</v>
      </c>
      <c r="B743">
        <v>18</v>
      </c>
      <c r="C743" t="s">
        <v>12</v>
      </c>
      <c r="D743">
        <v>30102</v>
      </c>
      <c r="E743">
        <v>35</v>
      </c>
      <c r="F743">
        <v>2</v>
      </c>
      <c r="G743">
        <v>6</v>
      </c>
      <c r="H743" t="s">
        <v>15</v>
      </c>
      <c r="I743">
        <v>739.27</v>
      </c>
    </row>
    <row r="744" spans="1:9" hidden="1" x14ac:dyDescent="0.25">
      <c r="A744">
        <v>640</v>
      </c>
      <c r="B744">
        <v>57</v>
      </c>
      <c r="C744" t="s">
        <v>12</v>
      </c>
      <c r="D744">
        <v>97035</v>
      </c>
      <c r="E744">
        <v>28</v>
      </c>
      <c r="F744">
        <v>6</v>
      </c>
      <c r="G744">
        <v>42</v>
      </c>
      <c r="H744" t="s">
        <v>13</v>
      </c>
      <c r="I744">
        <v>741.41</v>
      </c>
    </row>
    <row r="745" spans="1:9" hidden="1" x14ac:dyDescent="0.25">
      <c r="A745">
        <v>21</v>
      </c>
      <c r="B745">
        <v>19</v>
      </c>
      <c r="C745" t="s">
        <v>18</v>
      </c>
      <c r="D745">
        <v>82519</v>
      </c>
      <c r="E745">
        <v>13</v>
      </c>
      <c r="F745">
        <v>4</v>
      </c>
      <c r="G745">
        <v>4</v>
      </c>
      <c r="H745" t="s">
        <v>13</v>
      </c>
      <c r="I745">
        <v>742.39</v>
      </c>
    </row>
    <row r="746" spans="1:9" hidden="1" x14ac:dyDescent="0.25">
      <c r="A746">
        <v>732</v>
      </c>
      <c r="B746">
        <v>29</v>
      </c>
      <c r="C746" t="s">
        <v>45</v>
      </c>
      <c r="D746">
        <v>66264</v>
      </c>
      <c r="E746">
        <v>85</v>
      </c>
      <c r="F746">
        <v>2</v>
      </c>
      <c r="G746">
        <v>8</v>
      </c>
      <c r="H746" t="s">
        <v>14</v>
      </c>
      <c r="I746">
        <v>743.3</v>
      </c>
    </row>
    <row r="747" spans="1:9" hidden="1" x14ac:dyDescent="0.25">
      <c r="A747">
        <v>798</v>
      </c>
      <c r="B747">
        <v>68</v>
      </c>
      <c r="C747" t="s">
        <v>45</v>
      </c>
      <c r="D747">
        <v>44597</v>
      </c>
      <c r="E747">
        <v>3</v>
      </c>
      <c r="F747">
        <v>1</v>
      </c>
      <c r="G747">
        <v>36</v>
      </c>
      <c r="H747" t="s">
        <v>15</v>
      </c>
      <c r="I747">
        <v>743.73</v>
      </c>
    </row>
    <row r="748" spans="1:9" hidden="1" x14ac:dyDescent="0.25">
      <c r="A748">
        <v>609</v>
      </c>
      <c r="B748">
        <v>53</v>
      </c>
      <c r="C748" t="s">
        <v>45</v>
      </c>
      <c r="D748">
        <v>96499</v>
      </c>
      <c r="E748">
        <v>29</v>
      </c>
      <c r="F748">
        <v>4</v>
      </c>
      <c r="G748">
        <v>5</v>
      </c>
      <c r="H748" t="s">
        <v>14</v>
      </c>
      <c r="I748">
        <v>744.11</v>
      </c>
    </row>
    <row r="749" spans="1:9" hidden="1" x14ac:dyDescent="0.25">
      <c r="A749">
        <v>755</v>
      </c>
      <c r="B749">
        <v>61</v>
      </c>
      <c r="C749" t="s">
        <v>12</v>
      </c>
      <c r="D749">
        <v>59583</v>
      </c>
      <c r="E749">
        <v>11</v>
      </c>
      <c r="F749">
        <v>8</v>
      </c>
      <c r="G749">
        <v>27</v>
      </c>
      <c r="H749" t="s">
        <v>17</v>
      </c>
      <c r="I749">
        <v>744.56</v>
      </c>
    </row>
    <row r="750" spans="1:9" hidden="1" x14ac:dyDescent="0.25">
      <c r="A750">
        <v>89</v>
      </c>
      <c r="B750">
        <v>18</v>
      </c>
      <c r="C750" t="s">
        <v>45</v>
      </c>
      <c r="D750">
        <v>105470</v>
      </c>
      <c r="E750">
        <v>8</v>
      </c>
      <c r="F750">
        <v>7</v>
      </c>
      <c r="G750">
        <v>4</v>
      </c>
      <c r="H750" t="s">
        <v>17</v>
      </c>
      <c r="I750">
        <v>746.18</v>
      </c>
    </row>
    <row r="751" spans="1:9" hidden="1" x14ac:dyDescent="0.25">
      <c r="A751">
        <v>929</v>
      </c>
      <c r="B751">
        <v>35</v>
      </c>
      <c r="C751" t="s">
        <v>12</v>
      </c>
      <c r="D751">
        <v>48768</v>
      </c>
      <c r="E751">
        <v>43</v>
      </c>
      <c r="F751">
        <v>2</v>
      </c>
      <c r="G751">
        <v>5</v>
      </c>
      <c r="H751" t="s">
        <v>14</v>
      </c>
      <c r="I751">
        <v>746.74</v>
      </c>
    </row>
    <row r="752" spans="1:9" hidden="1" x14ac:dyDescent="0.25">
      <c r="A752">
        <v>935</v>
      </c>
      <c r="B752">
        <v>48</v>
      </c>
      <c r="C752" t="s">
        <v>45</v>
      </c>
      <c r="D752">
        <v>129592</v>
      </c>
      <c r="E752">
        <v>2</v>
      </c>
      <c r="F752">
        <v>3</v>
      </c>
      <c r="G752">
        <v>26</v>
      </c>
      <c r="H752" t="s">
        <v>17</v>
      </c>
      <c r="I752">
        <v>748.46</v>
      </c>
    </row>
    <row r="753" spans="1:9" hidden="1" x14ac:dyDescent="0.25">
      <c r="A753">
        <v>683</v>
      </c>
      <c r="B753">
        <v>27</v>
      </c>
      <c r="C753" t="s">
        <v>18</v>
      </c>
      <c r="D753">
        <v>89855</v>
      </c>
      <c r="E753">
        <v>54</v>
      </c>
      <c r="F753">
        <v>10</v>
      </c>
      <c r="G753">
        <v>37</v>
      </c>
      <c r="H753" t="s">
        <v>13</v>
      </c>
      <c r="I753">
        <v>750.51</v>
      </c>
    </row>
    <row r="754" spans="1:9" hidden="1" x14ac:dyDescent="0.25">
      <c r="A754">
        <v>989</v>
      </c>
      <c r="B754">
        <v>26</v>
      </c>
      <c r="C754" t="s">
        <v>12</v>
      </c>
      <c r="D754">
        <v>45147</v>
      </c>
      <c r="E754">
        <v>93</v>
      </c>
      <c r="F754">
        <v>1</v>
      </c>
      <c r="G754">
        <v>32</v>
      </c>
      <c r="H754" t="s">
        <v>13</v>
      </c>
      <c r="I754">
        <v>750.58</v>
      </c>
    </row>
    <row r="755" spans="1:9" hidden="1" x14ac:dyDescent="0.25">
      <c r="A755">
        <v>701</v>
      </c>
      <c r="B755">
        <v>31</v>
      </c>
      <c r="C755" t="s">
        <v>12</v>
      </c>
      <c r="D755">
        <v>148121</v>
      </c>
      <c r="E755">
        <v>34</v>
      </c>
      <c r="F755">
        <v>9</v>
      </c>
      <c r="G755">
        <v>32</v>
      </c>
      <c r="H755" t="s">
        <v>16</v>
      </c>
      <c r="I755">
        <v>753.49</v>
      </c>
    </row>
    <row r="756" spans="1:9" hidden="1" x14ac:dyDescent="0.25">
      <c r="A756">
        <v>45</v>
      </c>
      <c r="B756">
        <v>50</v>
      </c>
      <c r="C756" t="s">
        <v>12</v>
      </c>
      <c r="D756">
        <v>42404</v>
      </c>
      <c r="E756">
        <v>45</v>
      </c>
      <c r="F756">
        <v>4</v>
      </c>
      <c r="G756">
        <v>31</v>
      </c>
      <c r="H756" t="s">
        <v>13</v>
      </c>
      <c r="I756">
        <v>753.6</v>
      </c>
    </row>
    <row r="757" spans="1:9" hidden="1" x14ac:dyDescent="0.25">
      <c r="A757">
        <v>90</v>
      </c>
      <c r="B757">
        <v>45</v>
      </c>
      <c r="C757" t="s">
        <v>45</v>
      </c>
      <c r="D757">
        <v>63381</v>
      </c>
      <c r="E757">
        <v>80</v>
      </c>
      <c r="F757">
        <v>4</v>
      </c>
      <c r="G757">
        <v>8</v>
      </c>
      <c r="H757" t="s">
        <v>13</v>
      </c>
      <c r="I757">
        <v>754.24</v>
      </c>
    </row>
    <row r="758" spans="1:9" hidden="1" x14ac:dyDescent="0.25">
      <c r="A758">
        <v>118</v>
      </c>
      <c r="B758">
        <v>62</v>
      </c>
      <c r="C758" t="s">
        <v>12</v>
      </c>
      <c r="D758">
        <v>48693</v>
      </c>
      <c r="E758">
        <v>36</v>
      </c>
      <c r="F758">
        <v>9</v>
      </c>
      <c r="G758">
        <v>44</v>
      </c>
      <c r="H758" t="s">
        <v>13</v>
      </c>
      <c r="I758">
        <v>755.67</v>
      </c>
    </row>
    <row r="759" spans="1:9" hidden="1" x14ac:dyDescent="0.25">
      <c r="A759">
        <v>87</v>
      </c>
      <c r="B759">
        <v>59</v>
      </c>
      <c r="C759" t="s">
        <v>12</v>
      </c>
      <c r="D759">
        <v>47990</v>
      </c>
      <c r="E759">
        <v>3</v>
      </c>
      <c r="F759">
        <v>10</v>
      </c>
      <c r="G759">
        <v>48</v>
      </c>
      <c r="H759" t="s">
        <v>13</v>
      </c>
      <c r="I759">
        <v>755.92</v>
      </c>
    </row>
    <row r="760" spans="1:9" hidden="1" x14ac:dyDescent="0.25">
      <c r="A760">
        <v>111</v>
      </c>
      <c r="B760">
        <v>37</v>
      </c>
      <c r="C760" t="s">
        <v>12</v>
      </c>
      <c r="D760">
        <v>111242</v>
      </c>
      <c r="E760">
        <v>33</v>
      </c>
      <c r="F760">
        <v>5</v>
      </c>
      <c r="G760">
        <v>34</v>
      </c>
      <c r="H760" t="s">
        <v>15</v>
      </c>
      <c r="I760">
        <v>756.32</v>
      </c>
    </row>
    <row r="761" spans="1:9" hidden="1" x14ac:dyDescent="0.25">
      <c r="A761">
        <v>894</v>
      </c>
      <c r="B761">
        <v>63</v>
      </c>
      <c r="C761" t="s">
        <v>45</v>
      </c>
      <c r="D761">
        <v>119492</v>
      </c>
      <c r="E761">
        <v>25</v>
      </c>
      <c r="F761">
        <v>8</v>
      </c>
      <c r="G761">
        <v>40</v>
      </c>
      <c r="H761" t="s">
        <v>15</v>
      </c>
      <c r="I761">
        <v>758.1</v>
      </c>
    </row>
    <row r="762" spans="1:9" hidden="1" x14ac:dyDescent="0.25">
      <c r="A762">
        <v>661</v>
      </c>
      <c r="B762">
        <v>69</v>
      </c>
      <c r="C762" t="s">
        <v>18</v>
      </c>
      <c r="D762">
        <v>34122</v>
      </c>
      <c r="E762">
        <v>50</v>
      </c>
      <c r="F762">
        <v>4</v>
      </c>
      <c r="G762">
        <v>27</v>
      </c>
      <c r="H762" t="s">
        <v>15</v>
      </c>
      <c r="I762">
        <v>758.44</v>
      </c>
    </row>
    <row r="763" spans="1:9" hidden="1" x14ac:dyDescent="0.25">
      <c r="A763">
        <v>260</v>
      </c>
      <c r="B763">
        <v>39</v>
      </c>
      <c r="C763" t="s">
        <v>18</v>
      </c>
      <c r="D763">
        <v>56381</v>
      </c>
      <c r="E763">
        <v>82</v>
      </c>
      <c r="F763">
        <v>6</v>
      </c>
      <c r="G763">
        <v>19</v>
      </c>
      <c r="H763" t="s">
        <v>15</v>
      </c>
      <c r="I763">
        <v>759.6</v>
      </c>
    </row>
    <row r="764" spans="1:9" hidden="1" x14ac:dyDescent="0.25">
      <c r="A764">
        <v>663</v>
      </c>
      <c r="B764">
        <v>30</v>
      </c>
      <c r="C764" t="s">
        <v>18</v>
      </c>
      <c r="D764">
        <v>76658</v>
      </c>
      <c r="E764">
        <v>70</v>
      </c>
      <c r="F764">
        <v>3</v>
      </c>
      <c r="G764">
        <v>32</v>
      </c>
      <c r="H764" t="s">
        <v>16</v>
      </c>
      <c r="I764">
        <v>760.27</v>
      </c>
    </row>
    <row r="765" spans="1:9" hidden="1" x14ac:dyDescent="0.25">
      <c r="A765">
        <v>570</v>
      </c>
      <c r="B765">
        <v>18</v>
      </c>
      <c r="C765" t="s">
        <v>45</v>
      </c>
      <c r="D765">
        <v>94701</v>
      </c>
      <c r="E765">
        <v>69</v>
      </c>
      <c r="F765">
        <v>8</v>
      </c>
      <c r="G765">
        <v>48</v>
      </c>
      <c r="H765" t="s">
        <v>17</v>
      </c>
      <c r="I765">
        <v>760.34</v>
      </c>
    </row>
    <row r="766" spans="1:9" hidden="1" x14ac:dyDescent="0.25">
      <c r="A766">
        <v>216</v>
      </c>
      <c r="B766">
        <v>26</v>
      </c>
      <c r="C766" t="s">
        <v>45</v>
      </c>
      <c r="D766">
        <v>133538</v>
      </c>
      <c r="E766">
        <v>27</v>
      </c>
      <c r="F766">
        <v>5</v>
      </c>
      <c r="G766">
        <v>46</v>
      </c>
      <c r="H766" t="s">
        <v>14</v>
      </c>
      <c r="I766">
        <v>761.08</v>
      </c>
    </row>
    <row r="767" spans="1:9" hidden="1" x14ac:dyDescent="0.25">
      <c r="A767">
        <v>658</v>
      </c>
      <c r="B767">
        <v>61</v>
      </c>
      <c r="C767" t="s">
        <v>12</v>
      </c>
      <c r="D767">
        <v>145578</v>
      </c>
      <c r="E767">
        <v>79</v>
      </c>
      <c r="F767">
        <v>2</v>
      </c>
      <c r="G767">
        <v>34</v>
      </c>
      <c r="H767" t="s">
        <v>17</v>
      </c>
      <c r="I767">
        <v>762.06</v>
      </c>
    </row>
    <row r="768" spans="1:9" hidden="1" x14ac:dyDescent="0.25">
      <c r="A768">
        <v>157</v>
      </c>
      <c r="B768">
        <v>69</v>
      </c>
      <c r="C768" t="s">
        <v>18</v>
      </c>
      <c r="D768">
        <v>51990</v>
      </c>
      <c r="E768">
        <v>59</v>
      </c>
      <c r="F768">
        <v>2</v>
      </c>
      <c r="G768">
        <v>37</v>
      </c>
      <c r="H768" t="s">
        <v>17</v>
      </c>
      <c r="I768">
        <v>762.41</v>
      </c>
    </row>
    <row r="769" spans="1:9" hidden="1" x14ac:dyDescent="0.25">
      <c r="A769">
        <v>161</v>
      </c>
      <c r="B769">
        <v>69</v>
      </c>
      <c r="C769" t="s">
        <v>18</v>
      </c>
      <c r="D769">
        <v>117782</v>
      </c>
      <c r="E769">
        <v>18</v>
      </c>
      <c r="F769">
        <v>1</v>
      </c>
      <c r="G769">
        <v>15</v>
      </c>
      <c r="H769" t="s">
        <v>15</v>
      </c>
      <c r="I769">
        <v>762.55</v>
      </c>
    </row>
    <row r="770" spans="1:9" hidden="1" x14ac:dyDescent="0.25">
      <c r="A770">
        <v>278</v>
      </c>
      <c r="B770">
        <v>63</v>
      </c>
      <c r="C770" t="s">
        <v>12</v>
      </c>
      <c r="D770">
        <v>48225</v>
      </c>
      <c r="E770">
        <v>24</v>
      </c>
      <c r="F770">
        <v>6</v>
      </c>
      <c r="G770">
        <v>14</v>
      </c>
      <c r="H770" t="s">
        <v>17</v>
      </c>
      <c r="I770">
        <v>764.05</v>
      </c>
    </row>
    <row r="771" spans="1:9" hidden="1" x14ac:dyDescent="0.25">
      <c r="A771">
        <v>133</v>
      </c>
      <c r="B771">
        <v>25</v>
      </c>
      <c r="C771" t="s">
        <v>45</v>
      </c>
      <c r="D771">
        <v>94016</v>
      </c>
      <c r="E771">
        <v>85</v>
      </c>
      <c r="F771">
        <v>8</v>
      </c>
      <c r="G771">
        <v>49</v>
      </c>
      <c r="H771" t="s">
        <v>16</v>
      </c>
      <c r="I771">
        <v>764.28</v>
      </c>
    </row>
    <row r="772" spans="1:9" hidden="1" x14ac:dyDescent="0.25">
      <c r="A772">
        <v>830</v>
      </c>
      <c r="B772">
        <v>28</v>
      </c>
      <c r="C772" t="s">
        <v>12</v>
      </c>
      <c r="D772">
        <v>136418</v>
      </c>
      <c r="E772">
        <v>17</v>
      </c>
      <c r="F772">
        <v>5</v>
      </c>
      <c r="G772">
        <v>17</v>
      </c>
      <c r="H772" t="s">
        <v>13</v>
      </c>
      <c r="I772">
        <v>765.53</v>
      </c>
    </row>
    <row r="773" spans="1:9" hidden="1" x14ac:dyDescent="0.25">
      <c r="A773">
        <v>581</v>
      </c>
      <c r="B773">
        <v>46</v>
      </c>
      <c r="C773" t="s">
        <v>12</v>
      </c>
      <c r="D773">
        <v>129568</v>
      </c>
      <c r="E773">
        <v>56</v>
      </c>
      <c r="F773">
        <v>10</v>
      </c>
      <c r="G773">
        <v>27</v>
      </c>
      <c r="H773" t="s">
        <v>17</v>
      </c>
      <c r="I773">
        <v>766.26</v>
      </c>
    </row>
    <row r="774" spans="1:9" hidden="1" x14ac:dyDescent="0.25">
      <c r="A774">
        <v>433</v>
      </c>
      <c r="B774">
        <v>44</v>
      </c>
      <c r="C774" t="s">
        <v>18</v>
      </c>
      <c r="D774">
        <v>100832</v>
      </c>
      <c r="E774">
        <v>90</v>
      </c>
      <c r="F774">
        <v>8</v>
      </c>
      <c r="G774">
        <v>39</v>
      </c>
      <c r="H774" t="s">
        <v>14</v>
      </c>
      <c r="I774">
        <v>769</v>
      </c>
    </row>
    <row r="775" spans="1:9" hidden="1" x14ac:dyDescent="0.25">
      <c r="A775">
        <v>546</v>
      </c>
      <c r="B775">
        <v>44</v>
      </c>
      <c r="C775" t="s">
        <v>45</v>
      </c>
      <c r="D775">
        <v>112137</v>
      </c>
      <c r="E775">
        <v>37</v>
      </c>
      <c r="F775">
        <v>7</v>
      </c>
      <c r="G775">
        <v>18</v>
      </c>
      <c r="H775" t="s">
        <v>16</v>
      </c>
      <c r="I775">
        <v>769.16</v>
      </c>
    </row>
    <row r="776" spans="1:9" hidden="1" x14ac:dyDescent="0.25">
      <c r="A776">
        <v>162</v>
      </c>
      <c r="B776">
        <v>64</v>
      </c>
      <c r="C776" t="s">
        <v>45</v>
      </c>
      <c r="D776">
        <v>122472</v>
      </c>
      <c r="E776">
        <v>75</v>
      </c>
      <c r="F776">
        <v>1</v>
      </c>
      <c r="G776">
        <v>17</v>
      </c>
      <c r="H776" t="s">
        <v>15</v>
      </c>
      <c r="I776">
        <v>771.33</v>
      </c>
    </row>
    <row r="777" spans="1:9" hidden="1" x14ac:dyDescent="0.25">
      <c r="A777">
        <v>719</v>
      </c>
      <c r="B777">
        <v>21</v>
      </c>
      <c r="C777" t="s">
        <v>18</v>
      </c>
      <c r="D777">
        <v>119226</v>
      </c>
      <c r="E777">
        <v>21</v>
      </c>
      <c r="F777">
        <v>8</v>
      </c>
      <c r="G777">
        <v>50</v>
      </c>
      <c r="H777" t="s">
        <v>15</v>
      </c>
      <c r="I777">
        <v>772.63</v>
      </c>
    </row>
    <row r="778" spans="1:9" hidden="1" x14ac:dyDescent="0.25">
      <c r="A778">
        <v>588</v>
      </c>
      <c r="B778">
        <v>47</v>
      </c>
      <c r="C778" t="s">
        <v>45</v>
      </c>
      <c r="D778">
        <v>55753</v>
      </c>
      <c r="E778">
        <v>69</v>
      </c>
      <c r="F778">
        <v>5</v>
      </c>
      <c r="G778">
        <v>40</v>
      </c>
      <c r="H778" t="s">
        <v>13</v>
      </c>
      <c r="I778">
        <v>772.89</v>
      </c>
    </row>
    <row r="779" spans="1:9" hidden="1" x14ac:dyDescent="0.25">
      <c r="A779">
        <v>55</v>
      </c>
      <c r="B779">
        <v>56</v>
      </c>
      <c r="C779" t="s">
        <v>18</v>
      </c>
      <c r="D779">
        <v>85476</v>
      </c>
      <c r="E779">
        <v>55</v>
      </c>
      <c r="F779">
        <v>2</v>
      </c>
      <c r="G779">
        <v>41</v>
      </c>
      <c r="H779" t="s">
        <v>15</v>
      </c>
      <c r="I779">
        <v>774.5</v>
      </c>
    </row>
    <row r="780" spans="1:9" hidden="1" x14ac:dyDescent="0.25">
      <c r="A780">
        <v>621</v>
      </c>
      <c r="B780">
        <v>20</v>
      </c>
      <c r="C780" t="s">
        <v>12</v>
      </c>
      <c r="D780">
        <v>122028</v>
      </c>
      <c r="E780">
        <v>40</v>
      </c>
      <c r="F780">
        <v>3</v>
      </c>
      <c r="G780">
        <v>6</v>
      </c>
      <c r="H780" t="s">
        <v>14</v>
      </c>
      <c r="I780">
        <v>777.44</v>
      </c>
    </row>
    <row r="781" spans="1:9" hidden="1" x14ac:dyDescent="0.25">
      <c r="A781">
        <v>771</v>
      </c>
      <c r="B781">
        <v>55</v>
      </c>
      <c r="C781" t="s">
        <v>45</v>
      </c>
      <c r="D781">
        <v>53069</v>
      </c>
      <c r="E781">
        <v>3</v>
      </c>
      <c r="F781">
        <v>10</v>
      </c>
      <c r="G781">
        <v>43</v>
      </c>
      <c r="H781" t="s">
        <v>17</v>
      </c>
      <c r="I781">
        <v>777.97</v>
      </c>
    </row>
    <row r="782" spans="1:9" hidden="1" x14ac:dyDescent="0.25">
      <c r="A782">
        <v>472</v>
      </c>
      <c r="B782">
        <v>35</v>
      </c>
      <c r="C782" t="s">
        <v>45</v>
      </c>
      <c r="D782">
        <v>42390</v>
      </c>
      <c r="E782">
        <v>27</v>
      </c>
      <c r="F782">
        <v>3</v>
      </c>
      <c r="G782">
        <v>41</v>
      </c>
      <c r="H782" t="s">
        <v>14</v>
      </c>
      <c r="I782">
        <v>781.31</v>
      </c>
    </row>
    <row r="783" spans="1:9" hidden="1" x14ac:dyDescent="0.25">
      <c r="A783">
        <v>367</v>
      </c>
      <c r="B783">
        <v>65</v>
      </c>
      <c r="C783" t="s">
        <v>18</v>
      </c>
      <c r="D783">
        <v>65576</v>
      </c>
      <c r="E783">
        <v>91</v>
      </c>
      <c r="F783">
        <v>5</v>
      </c>
      <c r="G783">
        <v>12</v>
      </c>
      <c r="H783" t="s">
        <v>17</v>
      </c>
      <c r="I783">
        <v>782.55</v>
      </c>
    </row>
    <row r="784" spans="1:9" hidden="1" x14ac:dyDescent="0.25">
      <c r="A784">
        <v>447</v>
      </c>
      <c r="B784">
        <v>27</v>
      </c>
      <c r="C784" t="s">
        <v>45</v>
      </c>
      <c r="D784">
        <v>68689</v>
      </c>
      <c r="E784">
        <v>83</v>
      </c>
      <c r="F784">
        <v>8</v>
      </c>
      <c r="G784">
        <v>33</v>
      </c>
      <c r="H784" t="s">
        <v>16</v>
      </c>
      <c r="I784">
        <v>782.58</v>
      </c>
    </row>
    <row r="785" spans="1:9" hidden="1" x14ac:dyDescent="0.25">
      <c r="A785">
        <v>265</v>
      </c>
      <c r="B785">
        <v>63</v>
      </c>
      <c r="C785" t="s">
        <v>12</v>
      </c>
      <c r="D785">
        <v>142287</v>
      </c>
      <c r="E785">
        <v>77</v>
      </c>
      <c r="F785">
        <v>10</v>
      </c>
      <c r="G785">
        <v>44</v>
      </c>
      <c r="H785" t="s">
        <v>17</v>
      </c>
      <c r="I785">
        <v>785.29</v>
      </c>
    </row>
    <row r="786" spans="1:9" hidden="1" x14ac:dyDescent="0.25">
      <c r="A786">
        <v>808</v>
      </c>
      <c r="B786">
        <v>33</v>
      </c>
      <c r="C786" t="s">
        <v>12</v>
      </c>
      <c r="D786">
        <v>127302</v>
      </c>
      <c r="E786">
        <v>43</v>
      </c>
      <c r="F786">
        <v>1</v>
      </c>
      <c r="G786">
        <v>40</v>
      </c>
      <c r="H786" t="s">
        <v>16</v>
      </c>
      <c r="I786">
        <v>785.52</v>
      </c>
    </row>
    <row r="787" spans="1:9" hidden="1" x14ac:dyDescent="0.25">
      <c r="A787">
        <v>939</v>
      </c>
      <c r="B787">
        <v>37</v>
      </c>
      <c r="C787" t="s">
        <v>12</v>
      </c>
      <c r="D787">
        <v>70213</v>
      </c>
      <c r="E787">
        <v>84</v>
      </c>
      <c r="F787">
        <v>3</v>
      </c>
      <c r="G787">
        <v>37</v>
      </c>
      <c r="H787" t="s">
        <v>13</v>
      </c>
      <c r="I787">
        <v>785.53</v>
      </c>
    </row>
    <row r="788" spans="1:9" hidden="1" x14ac:dyDescent="0.25">
      <c r="A788">
        <v>387</v>
      </c>
      <c r="B788">
        <v>51</v>
      </c>
      <c r="C788" t="s">
        <v>18</v>
      </c>
      <c r="D788">
        <v>105658</v>
      </c>
      <c r="E788">
        <v>49</v>
      </c>
      <c r="F788">
        <v>9</v>
      </c>
      <c r="G788">
        <v>9</v>
      </c>
      <c r="H788" t="s">
        <v>14</v>
      </c>
      <c r="I788">
        <v>785.55</v>
      </c>
    </row>
    <row r="789" spans="1:9" hidden="1" x14ac:dyDescent="0.25">
      <c r="A789">
        <v>863</v>
      </c>
      <c r="B789">
        <v>42</v>
      </c>
      <c r="C789" t="s">
        <v>45</v>
      </c>
      <c r="D789">
        <v>77292</v>
      </c>
      <c r="E789">
        <v>73</v>
      </c>
      <c r="F789">
        <v>10</v>
      </c>
      <c r="G789">
        <v>43</v>
      </c>
      <c r="H789" t="s">
        <v>16</v>
      </c>
      <c r="I789">
        <v>787.66</v>
      </c>
    </row>
    <row r="790" spans="1:9" hidden="1" x14ac:dyDescent="0.25">
      <c r="A790">
        <v>714</v>
      </c>
      <c r="B790">
        <v>30</v>
      </c>
      <c r="C790" t="s">
        <v>12</v>
      </c>
      <c r="D790">
        <v>100115</v>
      </c>
      <c r="E790">
        <v>54</v>
      </c>
      <c r="F790">
        <v>2</v>
      </c>
      <c r="G790">
        <v>36</v>
      </c>
      <c r="H790" t="s">
        <v>15</v>
      </c>
      <c r="I790">
        <v>789.67</v>
      </c>
    </row>
    <row r="791" spans="1:9" hidden="1" x14ac:dyDescent="0.25">
      <c r="A791">
        <v>405</v>
      </c>
      <c r="B791">
        <v>21</v>
      </c>
      <c r="C791" t="s">
        <v>12</v>
      </c>
      <c r="D791">
        <v>42889</v>
      </c>
      <c r="E791">
        <v>12</v>
      </c>
      <c r="F791">
        <v>2</v>
      </c>
      <c r="G791">
        <v>20</v>
      </c>
      <c r="H791" t="s">
        <v>13</v>
      </c>
      <c r="I791">
        <v>789.92</v>
      </c>
    </row>
    <row r="792" spans="1:9" hidden="1" x14ac:dyDescent="0.25">
      <c r="A792">
        <v>846</v>
      </c>
      <c r="B792">
        <v>60</v>
      </c>
      <c r="C792" t="s">
        <v>45</v>
      </c>
      <c r="D792">
        <v>61376</v>
      </c>
      <c r="E792">
        <v>97</v>
      </c>
      <c r="F792">
        <v>8</v>
      </c>
      <c r="G792">
        <v>9</v>
      </c>
      <c r="H792" t="s">
        <v>14</v>
      </c>
      <c r="I792">
        <v>793.84</v>
      </c>
    </row>
    <row r="793" spans="1:9" hidden="1" x14ac:dyDescent="0.25">
      <c r="A793">
        <v>696</v>
      </c>
      <c r="B793">
        <v>61</v>
      </c>
      <c r="C793" t="s">
        <v>12</v>
      </c>
      <c r="D793">
        <v>89720</v>
      </c>
      <c r="E793">
        <v>4</v>
      </c>
      <c r="F793">
        <v>9</v>
      </c>
      <c r="G793">
        <v>8</v>
      </c>
      <c r="H793" t="s">
        <v>16</v>
      </c>
      <c r="I793">
        <v>795.49</v>
      </c>
    </row>
    <row r="794" spans="1:9" hidden="1" x14ac:dyDescent="0.25">
      <c r="A794">
        <v>473</v>
      </c>
      <c r="B794">
        <v>53</v>
      </c>
      <c r="C794" t="s">
        <v>18</v>
      </c>
      <c r="D794">
        <v>104435</v>
      </c>
      <c r="E794">
        <v>42</v>
      </c>
      <c r="F794">
        <v>4</v>
      </c>
      <c r="G794">
        <v>34</v>
      </c>
      <c r="H794" t="s">
        <v>13</v>
      </c>
      <c r="I794">
        <v>795.81</v>
      </c>
    </row>
    <row r="795" spans="1:9" hidden="1" x14ac:dyDescent="0.25">
      <c r="A795">
        <v>99</v>
      </c>
      <c r="B795">
        <v>21</v>
      </c>
      <c r="C795" t="s">
        <v>45</v>
      </c>
      <c r="D795">
        <v>105024</v>
      </c>
      <c r="E795">
        <v>45</v>
      </c>
      <c r="F795">
        <v>3</v>
      </c>
      <c r="G795">
        <v>32</v>
      </c>
      <c r="H795" t="s">
        <v>15</v>
      </c>
      <c r="I795">
        <v>795.84</v>
      </c>
    </row>
    <row r="796" spans="1:9" hidden="1" x14ac:dyDescent="0.25">
      <c r="A796">
        <v>138</v>
      </c>
      <c r="B796">
        <v>67</v>
      </c>
      <c r="C796" t="s">
        <v>18</v>
      </c>
      <c r="D796">
        <v>120561</v>
      </c>
      <c r="E796">
        <v>66</v>
      </c>
      <c r="F796">
        <v>2</v>
      </c>
      <c r="G796">
        <v>21</v>
      </c>
      <c r="H796" t="s">
        <v>17</v>
      </c>
      <c r="I796">
        <v>798.2</v>
      </c>
    </row>
    <row r="797" spans="1:9" hidden="1" x14ac:dyDescent="0.25">
      <c r="A797">
        <v>22</v>
      </c>
      <c r="B797">
        <v>22</v>
      </c>
      <c r="C797" t="s">
        <v>12</v>
      </c>
      <c r="D797">
        <v>49077</v>
      </c>
      <c r="E797">
        <v>74</v>
      </c>
      <c r="F797">
        <v>10</v>
      </c>
      <c r="G797">
        <v>47</v>
      </c>
      <c r="H797" t="s">
        <v>13</v>
      </c>
      <c r="I797">
        <v>799.31</v>
      </c>
    </row>
    <row r="798" spans="1:9" hidden="1" x14ac:dyDescent="0.25">
      <c r="A798">
        <v>440</v>
      </c>
      <c r="B798">
        <v>23</v>
      </c>
      <c r="C798" t="s">
        <v>18</v>
      </c>
      <c r="D798">
        <v>130546</v>
      </c>
      <c r="E798">
        <v>71</v>
      </c>
      <c r="F798">
        <v>9</v>
      </c>
      <c r="G798">
        <v>36</v>
      </c>
      <c r="H798" t="s">
        <v>15</v>
      </c>
      <c r="I798">
        <v>799.33</v>
      </c>
    </row>
    <row r="799" spans="1:9" hidden="1" x14ac:dyDescent="0.25">
      <c r="A799">
        <v>462</v>
      </c>
      <c r="B799">
        <v>57</v>
      </c>
      <c r="C799" t="s">
        <v>18</v>
      </c>
      <c r="D799">
        <v>46563</v>
      </c>
      <c r="E799">
        <v>86</v>
      </c>
      <c r="F799">
        <v>4</v>
      </c>
      <c r="G799">
        <v>24</v>
      </c>
      <c r="H799" t="s">
        <v>14</v>
      </c>
      <c r="I799">
        <v>800.46</v>
      </c>
    </row>
    <row r="800" spans="1:9" hidden="1" x14ac:dyDescent="0.25">
      <c r="A800">
        <v>692</v>
      </c>
      <c r="B800">
        <v>23</v>
      </c>
      <c r="C800" t="s">
        <v>12</v>
      </c>
      <c r="D800">
        <v>57558</v>
      </c>
      <c r="E800">
        <v>28</v>
      </c>
      <c r="F800">
        <v>6</v>
      </c>
      <c r="G800">
        <v>23</v>
      </c>
      <c r="H800" t="s">
        <v>14</v>
      </c>
      <c r="I800">
        <v>800.78</v>
      </c>
    </row>
    <row r="801" spans="1:9" hidden="1" x14ac:dyDescent="0.25">
      <c r="A801">
        <v>327</v>
      </c>
      <c r="B801">
        <v>50</v>
      </c>
      <c r="C801" t="s">
        <v>12</v>
      </c>
      <c r="D801">
        <v>36022</v>
      </c>
      <c r="E801">
        <v>11</v>
      </c>
      <c r="F801">
        <v>6</v>
      </c>
      <c r="G801">
        <v>49</v>
      </c>
      <c r="H801" t="s">
        <v>17</v>
      </c>
      <c r="I801">
        <v>801.59</v>
      </c>
    </row>
    <row r="802" spans="1:9" hidden="1" x14ac:dyDescent="0.25">
      <c r="A802">
        <v>281</v>
      </c>
      <c r="B802">
        <v>61</v>
      </c>
      <c r="C802" t="s">
        <v>45</v>
      </c>
      <c r="D802">
        <v>47689</v>
      </c>
      <c r="E802">
        <v>46</v>
      </c>
      <c r="F802">
        <v>4</v>
      </c>
      <c r="G802">
        <v>42</v>
      </c>
      <c r="H802" t="s">
        <v>13</v>
      </c>
      <c r="I802">
        <v>802.44</v>
      </c>
    </row>
    <row r="803" spans="1:9" hidden="1" x14ac:dyDescent="0.25">
      <c r="A803">
        <v>435</v>
      </c>
      <c r="B803">
        <v>32</v>
      </c>
      <c r="C803" t="s">
        <v>18</v>
      </c>
      <c r="D803">
        <v>69782</v>
      </c>
      <c r="E803">
        <v>76</v>
      </c>
      <c r="F803">
        <v>1</v>
      </c>
      <c r="G803">
        <v>9</v>
      </c>
      <c r="H803" t="s">
        <v>13</v>
      </c>
      <c r="I803">
        <v>803.28</v>
      </c>
    </row>
    <row r="804" spans="1:9" hidden="1" x14ac:dyDescent="0.25">
      <c r="A804">
        <v>619</v>
      </c>
      <c r="B804">
        <v>29</v>
      </c>
      <c r="C804" t="s">
        <v>45</v>
      </c>
      <c r="D804">
        <v>88288</v>
      </c>
      <c r="E804">
        <v>39</v>
      </c>
      <c r="F804">
        <v>5</v>
      </c>
      <c r="G804">
        <v>50</v>
      </c>
      <c r="H804" t="s">
        <v>16</v>
      </c>
      <c r="I804">
        <v>803.87</v>
      </c>
    </row>
    <row r="805" spans="1:9" hidden="1" x14ac:dyDescent="0.25">
      <c r="A805">
        <v>59</v>
      </c>
      <c r="B805">
        <v>43</v>
      </c>
      <c r="C805" t="s">
        <v>18</v>
      </c>
      <c r="D805">
        <v>81595</v>
      </c>
      <c r="E805">
        <v>12</v>
      </c>
      <c r="F805">
        <v>7</v>
      </c>
      <c r="G805">
        <v>1</v>
      </c>
      <c r="H805" t="s">
        <v>14</v>
      </c>
      <c r="I805">
        <v>806.26</v>
      </c>
    </row>
    <row r="806" spans="1:9" hidden="1" x14ac:dyDescent="0.25">
      <c r="A806">
        <v>23</v>
      </c>
      <c r="B806">
        <v>36</v>
      </c>
      <c r="C806" t="s">
        <v>45</v>
      </c>
      <c r="D806">
        <v>85473</v>
      </c>
      <c r="E806">
        <v>68</v>
      </c>
      <c r="F806">
        <v>1</v>
      </c>
      <c r="G806">
        <v>16</v>
      </c>
      <c r="H806" t="s">
        <v>15</v>
      </c>
      <c r="I806">
        <v>806.55</v>
      </c>
    </row>
    <row r="807" spans="1:9" hidden="1" x14ac:dyDescent="0.25">
      <c r="A807">
        <v>744</v>
      </c>
      <c r="B807">
        <v>56</v>
      </c>
      <c r="C807" t="s">
        <v>12</v>
      </c>
      <c r="D807">
        <v>90816</v>
      </c>
      <c r="E807">
        <v>20</v>
      </c>
      <c r="F807">
        <v>10</v>
      </c>
      <c r="G807">
        <v>35</v>
      </c>
      <c r="H807" t="s">
        <v>14</v>
      </c>
      <c r="I807">
        <v>808.16</v>
      </c>
    </row>
    <row r="808" spans="1:9" hidden="1" x14ac:dyDescent="0.25">
      <c r="A808">
        <v>677</v>
      </c>
      <c r="B808">
        <v>51</v>
      </c>
      <c r="C808" t="s">
        <v>18</v>
      </c>
      <c r="D808">
        <v>146159</v>
      </c>
      <c r="E808">
        <v>99</v>
      </c>
      <c r="F808">
        <v>7</v>
      </c>
      <c r="G808">
        <v>38</v>
      </c>
      <c r="H808" t="s">
        <v>16</v>
      </c>
      <c r="I808">
        <v>808.89</v>
      </c>
    </row>
    <row r="809" spans="1:9" hidden="1" x14ac:dyDescent="0.25">
      <c r="A809">
        <v>542</v>
      </c>
      <c r="B809">
        <v>69</v>
      </c>
      <c r="C809" t="s">
        <v>45</v>
      </c>
      <c r="D809">
        <v>86860</v>
      </c>
      <c r="E809">
        <v>70</v>
      </c>
      <c r="F809">
        <v>1</v>
      </c>
      <c r="G809">
        <v>1</v>
      </c>
      <c r="H809" t="s">
        <v>17</v>
      </c>
      <c r="I809">
        <v>812.25</v>
      </c>
    </row>
    <row r="810" spans="1:9" hidden="1" x14ac:dyDescent="0.25">
      <c r="A810">
        <v>81</v>
      </c>
      <c r="B810">
        <v>65</v>
      </c>
      <c r="C810" t="s">
        <v>45</v>
      </c>
      <c r="D810">
        <v>117157</v>
      </c>
      <c r="E810">
        <v>90</v>
      </c>
      <c r="F810">
        <v>9</v>
      </c>
      <c r="G810">
        <v>39</v>
      </c>
      <c r="H810" t="s">
        <v>14</v>
      </c>
      <c r="I810">
        <v>812.36</v>
      </c>
    </row>
    <row r="811" spans="1:9" hidden="1" x14ac:dyDescent="0.25">
      <c r="A811">
        <v>510</v>
      </c>
      <c r="B811">
        <v>19</v>
      </c>
      <c r="C811" t="s">
        <v>12</v>
      </c>
      <c r="D811">
        <v>111238</v>
      </c>
      <c r="E811">
        <v>7</v>
      </c>
      <c r="F811">
        <v>2</v>
      </c>
      <c r="G811">
        <v>30</v>
      </c>
      <c r="H811" t="s">
        <v>15</v>
      </c>
      <c r="I811">
        <v>813.37</v>
      </c>
    </row>
    <row r="812" spans="1:9" hidden="1" x14ac:dyDescent="0.25">
      <c r="A812">
        <v>620</v>
      </c>
      <c r="B812">
        <v>53</v>
      </c>
      <c r="C812" t="s">
        <v>45</v>
      </c>
      <c r="D812">
        <v>50215</v>
      </c>
      <c r="E812">
        <v>92</v>
      </c>
      <c r="F812">
        <v>6</v>
      </c>
      <c r="G812">
        <v>48</v>
      </c>
      <c r="H812" t="s">
        <v>15</v>
      </c>
      <c r="I812">
        <v>814.52</v>
      </c>
    </row>
    <row r="813" spans="1:9" hidden="1" x14ac:dyDescent="0.25">
      <c r="A813">
        <v>332</v>
      </c>
      <c r="B813">
        <v>38</v>
      </c>
      <c r="C813" t="s">
        <v>45</v>
      </c>
      <c r="D813">
        <v>50518</v>
      </c>
      <c r="E813">
        <v>70</v>
      </c>
      <c r="F813">
        <v>1</v>
      </c>
      <c r="G813">
        <v>38</v>
      </c>
      <c r="H813" t="s">
        <v>15</v>
      </c>
      <c r="I813">
        <v>816.09</v>
      </c>
    </row>
    <row r="814" spans="1:9" hidden="1" x14ac:dyDescent="0.25">
      <c r="A814">
        <v>420</v>
      </c>
      <c r="B814">
        <v>46</v>
      </c>
      <c r="C814" t="s">
        <v>12</v>
      </c>
      <c r="D814">
        <v>60671</v>
      </c>
      <c r="E814">
        <v>57</v>
      </c>
      <c r="F814">
        <v>5</v>
      </c>
      <c r="G814">
        <v>48</v>
      </c>
      <c r="H814" t="s">
        <v>13</v>
      </c>
      <c r="I814">
        <v>817.69</v>
      </c>
    </row>
    <row r="815" spans="1:9" hidden="1" x14ac:dyDescent="0.25">
      <c r="A815">
        <v>782</v>
      </c>
      <c r="B815">
        <v>22</v>
      </c>
      <c r="C815" t="s">
        <v>12</v>
      </c>
      <c r="D815">
        <v>118840</v>
      </c>
      <c r="E815">
        <v>32</v>
      </c>
      <c r="F815">
        <v>9</v>
      </c>
      <c r="G815">
        <v>9</v>
      </c>
      <c r="H815" t="s">
        <v>14</v>
      </c>
      <c r="I815">
        <v>819.14</v>
      </c>
    </row>
    <row r="816" spans="1:9" hidden="1" x14ac:dyDescent="0.25">
      <c r="A816">
        <v>532</v>
      </c>
      <c r="B816">
        <v>19</v>
      </c>
      <c r="C816" t="s">
        <v>12</v>
      </c>
      <c r="D816">
        <v>146165</v>
      </c>
      <c r="E816">
        <v>38</v>
      </c>
      <c r="F816">
        <v>9</v>
      </c>
      <c r="G816">
        <v>45</v>
      </c>
      <c r="H816" t="s">
        <v>13</v>
      </c>
      <c r="I816">
        <v>819.92</v>
      </c>
    </row>
    <row r="817" spans="1:9" hidden="1" x14ac:dyDescent="0.25">
      <c r="A817">
        <v>10</v>
      </c>
      <c r="B817">
        <v>55</v>
      </c>
      <c r="C817" t="s">
        <v>18</v>
      </c>
      <c r="D817">
        <v>45839</v>
      </c>
      <c r="E817">
        <v>55</v>
      </c>
      <c r="F817">
        <v>7</v>
      </c>
      <c r="G817">
        <v>2</v>
      </c>
      <c r="H817" t="s">
        <v>14</v>
      </c>
      <c r="I817">
        <v>821.18</v>
      </c>
    </row>
    <row r="818" spans="1:9" hidden="1" x14ac:dyDescent="0.25">
      <c r="A818">
        <v>237</v>
      </c>
      <c r="B818">
        <v>62</v>
      </c>
      <c r="C818" t="s">
        <v>45</v>
      </c>
      <c r="D818">
        <v>52480</v>
      </c>
      <c r="E818">
        <v>22</v>
      </c>
      <c r="F818">
        <v>3</v>
      </c>
      <c r="G818">
        <v>14</v>
      </c>
      <c r="H818" t="s">
        <v>14</v>
      </c>
      <c r="I818">
        <v>821.42</v>
      </c>
    </row>
    <row r="819" spans="1:9" hidden="1" x14ac:dyDescent="0.25">
      <c r="A819">
        <v>428</v>
      </c>
      <c r="B819">
        <v>54</v>
      </c>
      <c r="C819" t="s">
        <v>45</v>
      </c>
      <c r="D819">
        <v>90780</v>
      </c>
      <c r="E819">
        <v>24</v>
      </c>
      <c r="F819">
        <v>3</v>
      </c>
      <c r="G819">
        <v>46</v>
      </c>
      <c r="H819" t="s">
        <v>16</v>
      </c>
      <c r="I819">
        <v>824.65</v>
      </c>
    </row>
    <row r="820" spans="1:9" hidden="1" x14ac:dyDescent="0.25">
      <c r="A820">
        <v>205</v>
      </c>
      <c r="B820">
        <v>27</v>
      </c>
      <c r="C820" t="s">
        <v>12</v>
      </c>
      <c r="D820">
        <v>132541</v>
      </c>
      <c r="E820">
        <v>78</v>
      </c>
      <c r="F820">
        <v>8</v>
      </c>
      <c r="G820">
        <v>42</v>
      </c>
      <c r="H820" t="s">
        <v>14</v>
      </c>
      <c r="I820">
        <v>825.01</v>
      </c>
    </row>
    <row r="821" spans="1:9" hidden="1" x14ac:dyDescent="0.25">
      <c r="A821">
        <v>745</v>
      </c>
      <c r="B821">
        <v>30</v>
      </c>
      <c r="C821" t="s">
        <v>18</v>
      </c>
      <c r="D821">
        <v>64288</v>
      </c>
      <c r="E821">
        <v>93</v>
      </c>
      <c r="F821">
        <v>9</v>
      </c>
      <c r="G821">
        <v>43</v>
      </c>
      <c r="H821" t="s">
        <v>16</v>
      </c>
      <c r="I821">
        <v>825.85</v>
      </c>
    </row>
    <row r="822" spans="1:9" hidden="1" x14ac:dyDescent="0.25">
      <c r="A822">
        <v>528</v>
      </c>
      <c r="B822">
        <v>23</v>
      </c>
      <c r="C822" t="s">
        <v>18</v>
      </c>
      <c r="D822">
        <v>144577</v>
      </c>
      <c r="E822">
        <v>75</v>
      </c>
      <c r="F822">
        <v>1</v>
      </c>
      <c r="G822">
        <v>9</v>
      </c>
      <c r="H822" t="s">
        <v>17</v>
      </c>
      <c r="I822">
        <v>826.02</v>
      </c>
    </row>
    <row r="823" spans="1:9" hidden="1" x14ac:dyDescent="0.25">
      <c r="A823">
        <v>375</v>
      </c>
      <c r="B823">
        <v>33</v>
      </c>
      <c r="C823" t="s">
        <v>18</v>
      </c>
      <c r="D823">
        <v>58367</v>
      </c>
      <c r="E823">
        <v>11</v>
      </c>
      <c r="F823">
        <v>4</v>
      </c>
      <c r="G823">
        <v>29</v>
      </c>
      <c r="H823" t="s">
        <v>16</v>
      </c>
      <c r="I823">
        <v>826.87</v>
      </c>
    </row>
    <row r="824" spans="1:9" hidden="1" x14ac:dyDescent="0.25">
      <c r="A824">
        <v>254</v>
      </c>
      <c r="B824">
        <v>66</v>
      </c>
      <c r="C824" t="s">
        <v>45</v>
      </c>
      <c r="D824">
        <v>112847</v>
      </c>
      <c r="E824">
        <v>98</v>
      </c>
      <c r="F824">
        <v>9</v>
      </c>
      <c r="G824">
        <v>44</v>
      </c>
      <c r="H824" t="s">
        <v>13</v>
      </c>
      <c r="I824">
        <v>827.44</v>
      </c>
    </row>
    <row r="825" spans="1:9" hidden="1" x14ac:dyDescent="0.25">
      <c r="A825">
        <v>439</v>
      </c>
      <c r="B825">
        <v>63</v>
      </c>
      <c r="C825" t="s">
        <v>18</v>
      </c>
      <c r="D825">
        <v>118402</v>
      </c>
      <c r="E825">
        <v>74</v>
      </c>
      <c r="F825">
        <v>3</v>
      </c>
      <c r="G825">
        <v>12</v>
      </c>
      <c r="H825" t="s">
        <v>15</v>
      </c>
      <c r="I825">
        <v>828.04</v>
      </c>
    </row>
    <row r="826" spans="1:9" hidden="1" x14ac:dyDescent="0.25">
      <c r="A826">
        <v>689</v>
      </c>
      <c r="B826">
        <v>69</v>
      </c>
      <c r="C826" t="s">
        <v>45</v>
      </c>
      <c r="D826">
        <v>45024</v>
      </c>
      <c r="E826">
        <v>38</v>
      </c>
      <c r="F826">
        <v>5</v>
      </c>
      <c r="G826">
        <v>11</v>
      </c>
      <c r="H826" t="s">
        <v>17</v>
      </c>
      <c r="I826">
        <v>830.03</v>
      </c>
    </row>
    <row r="827" spans="1:9" hidden="1" x14ac:dyDescent="0.25">
      <c r="A827">
        <v>779</v>
      </c>
      <c r="B827">
        <v>56</v>
      </c>
      <c r="C827" t="s">
        <v>45</v>
      </c>
      <c r="D827">
        <v>43031</v>
      </c>
      <c r="E827">
        <v>56</v>
      </c>
      <c r="F827">
        <v>2</v>
      </c>
      <c r="G827">
        <v>15</v>
      </c>
      <c r="H827" t="s">
        <v>14</v>
      </c>
      <c r="I827">
        <v>830.79</v>
      </c>
    </row>
    <row r="828" spans="1:9" hidden="1" x14ac:dyDescent="0.25">
      <c r="A828">
        <v>909</v>
      </c>
      <c r="B828">
        <v>27</v>
      </c>
      <c r="C828" t="s">
        <v>18</v>
      </c>
      <c r="D828">
        <v>89618</v>
      </c>
      <c r="E828">
        <v>49</v>
      </c>
      <c r="F828">
        <v>8</v>
      </c>
      <c r="G828">
        <v>12</v>
      </c>
      <c r="H828" t="s">
        <v>16</v>
      </c>
      <c r="I828">
        <v>831.05</v>
      </c>
    </row>
    <row r="829" spans="1:9" hidden="1" x14ac:dyDescent="0.25">
      <c r="A829">
        <v>408</v>
      </c>
      <c r="B829">
        <v>40</v>
      </c>
      <c r="C829" t="s">
        <v>45</v>
      </c>
      <c r="D829">
        <v>135305</v>
      </c>
      <c r="E829">
        <v>54</v>
      </c>
      <c r="F829">
        <v>8</v>
      </c>
      <c r="G829">
        <v>29</v>
      </c>
      <c r="H829" t="s">
        <v>17</v>
      </c>
      <c r="I829">
        <v>831.6</v>
      </c>
    </row>
    <row r="830" spans="1:9" hidden="1" x14ac:dyDescent="0.25">
      <c r="A830">
        <v>388</v>
      </c>
      <c r="B830">
        <v>25</v>
      </c>
      <c r="C830" t="s">
        <v>18</v>
      </c>
      <c r="D830">
        <v>100053</v>
      </c>
      <c r="E830">
        <v>6</v>
      </c>
      <c r="F830">
        <v>5</v>
      </c>
      <c r="G830">
        <v>33</v>
      </c>
      <c r="H830" t="s">
        <v>14</v>
      </c>
      <c r="I830">
        <v>832.57</v>
      </c>
    </row>
    <row r="831" spans="1:9" hidden="1" x14ac:dyDescent="0.25">
      <c r="A831">
        <v>973</v>
      </c>
      <c r="B831">
        <v>43</v>
      </c>
      <c r="C831" t="s">
        <v>12</v>
      </c>
      <c r="D831">
        <v>130645</v>
      </c>
      <c r="E831">
        <v>34</v>
      </c>
      <c r="F831">
        <v>10</v>
      </c>
      <c r="G831">
        <v>5</v>
      </c>
      <c r="H831" t="s">
        <v>16</v>
      </c>
      <c r="I831">
        <v>833.69</v>
      </c>
    </row>
    <row r="832" spans="1:9" hidden="1" x14ac:dyDescent="0.25">
      <c r="A832">
        <v>282</v>
      </c>
      <c r="B832">
        <v>34</v>
      </c>
      <c r="C832" t="s">
        <v>12</v>
      </c>
      <c r="D832">
        <v>68250</v>
      </c>
      <c r="E832">
        <v>9</v>
      </c>
      <c r="F832">
        <v>10</v>
      </c>
      <c r="G832">
        <v>26</v>
      </c>
      <c r="H832" t="s">
        <v>17</v>
      </c>
      <c r="I832">
        <v>835.06</v>
      </c>
    </row>
    <row r="833" spans="1:9" hidden="1" x14ac:dyDescent="0.25">
      <c r="A833">
        <v>759</v>
      </c>
      <c r="B833">
        <v>64</v>
      </c>
      <c r="C833" t="s">
        <v>45</v>
      </c>
      <c r="D833">
        <v>130443</v>
      </c>
      <c r="E833">
        <v>29</v>
      </c>
      <c r="F833">
        <v>1</v>
      </c>
      <c r="G833">
        <v>17</v>
      </c>
      <c r="H833" t="s">
        <v>13</v>
      </c>
      <c r="I833">
        <v>835.67</v>
      </c>
    </row>
    <row r="834" spans="1:9" hidden="1" x14ac:dyDescent="0.25">
      <c r="A834">
        <v>831</v>
      </c>
      <c r="B834">
        <v>43</v>
      </c>
      <c r="C834" t="s">
        <v>18</v>
      </c>
      <c r="D834">
        <v>76811</v>
      </c>
      <c r="E834">
        <v>26</v>
      </c>
      <c r="F834">
        <v>1</v>
      </c>
      <c r="G834">
        <v>33</v>
      </c>
      <c r="H834" t="s">
        <v>13</v>
      </c>
      <c r="I834">
        <v>836.5</v>
      </c>
    </row>
    <row r="835" spans="1:9" hidden="1" x14ac:dyDescent="0.25">
      <c r="A835">
        <v>647</v>
      </c>
      <c r="B835">
        <v>24</v>
      </c>
      <c r="C835" t="s">
        <v>45</v>
      </c>
      <c r="D835">
        <v>122371</v>
      </c>
      <c r="E835">
        <v>11</v>
      </c>
      <c r="F835">
        <v>2</v>
      </c>
      <c r="G835">
        <v>4</v>
      </c>
      <c r="H835" t="s">
        <v>14</v>
      </c>
      <c r="I835">
        <v>838.19</v>
      </c>
    </row>
    <row r="836" spans="1:9" hidden="1" x14ac:dyDescent="0.25">
      <c r="A836">
        <v>832</v>
      </c>
      <c r="B836">
        <v>69</v>
      </c>
      <c r="C836" t="s">
        <v>45</v>
      </c>
      <c r="D836">
        <v>81964</v>
      </c>
      <c r="E836">
        <v>22</v>
      </c>
      <c r="F836">
        <v>1</v>
      </c>
      <c r="G836">
        <v>3</v>
      </c>
      <c r="H836" t="s">
        <v>13</v>
      </c>
      <c r="I836">
        <v>839.2</v>
      </c>
    </row>
    <row r="837" spans="1:9" hidden="1" x14ac:dyDescent="0.25">
      <c r="A837">
        <v>843</v>
      </c>
      <c r="B837">
        <v>50</v>
      </c>
      <c r="C837" t="s">
        <v>45</v>
      </c>
      <c r="D837">
        <v>149578</v>
      </c>
      <c r="E837">
        <v>28</v>
      </c>
      <c r="F837">
        <v>2</v>
      </c>
      <c r="G837">
        <v>39</v>
      </c>
      <c r="H837" t="s">
        <v>13</v>
      </c>
      <c r="I837">
        <v>839.34</v>
      </c>
    </row>
    <row r="838" spans="1:9" hidden="1" x14ac:dyDescent="0.25">
      <c r="A838">
        <v>227</v>
      </c>
      <c r="B838">
        <v>65</v>
      </c>
      <c r="C838" t="s">
        <v>12</v>
      </c>
      <c r="D838">
        <v>89274</v>
      </c>
      <c r="E838">
        <v>71</v>
      </c>
      <c r="F838">
        <v>10</v>
      </c>
      <c r="G838">
        <v>34</v>
      </c>
      <c r="H838" t="s">
        <v>14</v>
      </c>
      <c r="I838">
        <v>840.45</v>
      </c>
    </row>
    <row r="839" spans="1:9" hidden="1" x14ac:dyDescent="0.25">
      <c r="A839">
        <v>176</v>
      </c>
      <c r="B839">
        <v>34</v>
      </c>
      <c r="C839" t="s">
        <v>12</v>
      </c>
      <c r="D839">
        <v>79572</v>
      </c>
      <c r="E839">
        <v>62</v>
      </c>
      <c r="F839">
        <v>2</v>
      </c>
      <c r="G839">
        <v>24</v>
      </c>
      <c r="H839" t="s">
        <v>15</v>
      </c>
      <c r="I839">
        <v>843.15</v>
      </c>
    </row>
    <row r="840" spans="1:9" hidden="1" x14ac:dyDescent="0.25">
      <c r="A840">
        <v>336</v>
      </c>
      <c r="B840">
        <v>40</v>
      </c>
      <c r="C840" t="s">
        <v>45</v>
      </c>
      <c r="D840">
        <v>107488</v>
      </c>
      <c r="E840">
        <v>96</v>
      </c>
      <c r="F840">
        <v>7</v>
      </c>
      <c r="G840">
        <v>16</v>
      </c>
      <c r="H840" t="s">
        <v>16</v>
      </c>
      <c r="I840">
        <v>843.6</v>
      </c>
    </row>
    <row r="841" spans="1:9" hidden="1" x14ac:dyDescent="0.25">
      <c r="A841">
        <v>58</v>
      </c>
      <c r="B841">
        <v>49</v>
      </c>
      <c r="C841" t="s">
        <v>18</v>
      </c>
      <c r="D841">
        <v>112198</v>
      </c>
      <c r="E841">
        <v>48</v>
      </c>
      <c r="F841">
        <v>5</v>
      </c>
      <c r="G841">
        <v>24</v>
      </c>
      <c r="H841" t="s">
        <v>15</v>
      </c>
      <c r="I841">
        <v>843.87</v>
      </c>
    </row>
    <row r="842" spans="1:9" hidden="1" x14ac:dyDescent="0.25">
      <c r="A842">
        <v>18</v>
      </c>
      <c r="B842">
        <v>22</v>
      </c>
      <c r="C842" t="s">
        <v>12</v>
      </c>
      <c r="D842">
        <v>41849</v>
      </c>
      <c r="E842">
        <v>22</v>
      </c>
      <c r="F842">
        <v>1</v>
      </c>
      <c r="G842">
        <v>31</v>
      </c>
      <c r="H842" t="s">
        <v>15</v>
      </c>
      <c r="I842">
        <v>844.08</v>
      </c>
    </row>
    <row r="843" spans="1:9" hidden="1" x14ac:dyDescent="0.25">
      <c r="A843">
        <v>305</v>
      </c>
      <c r="B843">
        <v>32</v>
      </c>
      <c r="C843" t="s">
        <v>12</v>
      </c>
      <c r="D843">
        <v>39407</v>
      </c>
      <c r="E843">
        <v>50</v>
      </c>
      <c r="F843">
        <v>6</v>
      </c>
      <c r="G843">
        <v>13</v>
      </c>
      <c r="H843" t="s">
        <v>15</v>
      </c>
      <c r="I843">
        <v>844.22</v>
      </c>
    </row>
    <row r="844" spans="1:9" hidden="1" x14ac:dyDescent="0.25">
      <c r="A844">
        <v>916</v>
      </c>
      <c r="B844">
        <v>26</v>
      </c>
      <c r="C844" t="s">
        <v>12</v>
      </c>
      <c r="D844">
        <v>131020</v>
      </c>
      <c r="E844">
        <v>23</v>
      </c>
      <c r="F844">
        <v>7</v>
      </c>
      <c r="G844">
        <v>22</v>
      </c>
      <c r="H844" t="s">
        <v>16</v>
      </c>
      <c r="I844">
        <v>844.88</v>
      </c>
    </row>
    <row r="845" spans="1:9" hidden="1" x14ac:dyDescent="0.25">
      <c r="A845">
        <v>764</v>
      </c>
      <c r="B845">
        <v>61</v>
      </c>
      <c r="C845" t="s">
        <v>18</v>
      </c>
      <c r="D845">
        <v>116123</v>
      </c>
      <c r="E845">
        <v>96</v>
      </c>
      <c r="F845">
        <v>2</v>
      </c>
      <c r="G845">
        <v>27</v>
      </c>
      <c r="H845" t="s">
        <v>15</v>
      </c>
      <c r="I845">
        <v>844.95</v>
      </c>
    </row>
    <row r="846" spans="1:9" hidden="1" x14ac:dyDescent="0.25">
      <c r="A846">
        <v>557</v>
      </c>
      <c r="B846">
        <v>45</v>
      </c>
      <c r="C846" t="s">
        <v>12</v>
      </c>
      <c r="D846">
        <v>95367</v>
      </c>
      <c r="E846">
        <v>83</v>
      </c>
      <c r="F846">
        <v>5</v>
      </c>
      <c r="G846">
        <v>30</v>
      </c>
      <c r="H846" t="s">
        <v>13</v>
      </c>
      <c r="I846">
        <v>845.33</v>
      </c>
    </row>
    <row r="847" spans="1:9" hidden="1" x14ac:dyDescent="0.25">
      <c r="A847">
        <v>823</v>
      </c>
      <c r="B847">
        <v>69</v>
      </c>
      <c r="C847" t="s">
        <v>12</v>
      </c>
      <c r="D847">
        <v>85068</v>
      </c>
      <c r="E847">
        <v>54</v>
      </c>
      <c r="F847">
        <v>6</v>
      </c>
      <c r="G847">
        <v>24</v>
      </c>
      <c r="H847" t="s">
        <v>15</v>
      </c>
      <c r="I847">
        <v>846.68</v>
      </c>
    </row>
    <row r="848" spans="1:9" hidden="1" x14ac:dyDescent="0.25">
      <c r="A848">
        <v>396</v>
      </c>
      <c r="B848">
        <v>54</v>
      </c>
      <c r="C848" t="s">
        <v>45</v>
      </c>
      <c r="D848">
        <v>87418</v>
      </c>
      <c r="E848">
        <v>21</v>
      </c>
      <c r="F848">
        <v>2</v>
      </c>
      <c r="G848">
        <v>27</v>
      </c>
      <c r="H848" t="s">
        <v>16</v>
      </c>
      <c r="I848">
        <v>846.76</v>
      </c>
    </row>
    <row r="849" spans="1:9" hidden="1" x14ac:dyDescent="0.25">
      <c r="A849">
        <v>471</v>
      </c>
      <c r="B849">
        <v>32</v>
      </c>
      <c r="C849" t="s">
        <v>12</v>
      </c>
      <c r="D849">
        <v>38683</v>
      </c>
      <c r="E849">
        <v>59</v>
      </c>
      <c r="F849">
        <v>10</v>
      </c>
      <c r="G849">
        <v>47</v>
      </c>
      <c r="H849" t="s">
        <v>16</v>
      </c>
      <c r="I849">
        <v>846.85</v>
      </c>
    </row>
    <row r="850" spans="1:9" hidden="1" x14ac:dyDescent="0.25">
      <c r="A850">
        <v>851</v>
      </c>
      <c r="B850">
        <v>51</v>
      </c>
      <c r="C850" t="s">
        <v>45</v>
      </c>
      <c r="D850">
        <v>59566</v>
      </c>
      <c r="E850">
        <v>25</v>
      </c>
      <c r="F850">
        <v>5</v>
      </c>
      <c r="G850">
        <v>22</v>
      </c>
      <c r="H850" t="s">
        <v>16</v>
      </c>
      <c r="I850">
        <v>847.03</v>
      </c>
    </row>
    <row r="851" spans="1:9" hidden="1" x14ac:dyDescent="0.25">
      <c r="A851">
        <v>120</v>
      </c>
      <c r="B851">
        <v>68</v>
      </c>
      <c r="C851" t="s">
        <v>18</v>
      </c>
      <c r="D851">
        <v>78309</v>
      </c>
      <c r="E851">
        <v>12</v>
      </c>
      <c r="F851">
        <v>2</v>
      </c>
      <c r="G851">
        <v>49</v>
      </c>
      <c r="H851" t="s">
        <v>17</v>
      </c>
      <c r="I851">
        <v>848.14</v>
      </c>
    </row>
    <row r="852" spans="1:9" hidden="1" x14ac:dyDescent="0.25">
      <c r="A852">
        <v>814</v>
      </c>
      <c r="B852">
        <v>56</v>
      </c>
      <c r="C852" t="s">
        <v>45</v>
      </c>
      <c r="D852">
        <v>145028</v>
      </c>
      <c r="E852">
        <v>2</v>
      </c>
      <c r="F852">
        <v>10</v>
      </c>
      <c r="G852">
        <v>32</v>
      </c>
      <c r="H852" t="s">
        <v>13</v>
      </c>
      <c r="I852">
        <v>849.56</v>
      </c>
    </row>
    <row r="853" spans="1:9" hidden="1" x14ac:dyDescent="0.25">
      <c r="A853">
        <v>565</v>
      </c>
      <c r="B853">
        <v>68</v>
      </c>
      <c r="C853" t="s">
        <v>45</v>
      </c>
      <c r="D853">
        <v>106635</v>
      </c>
      <c r="E853">
        <v>85</v>
      </c>
      <c r="F853">
        <v>10</v>
      </c>
      <c r="G853">
        <v>30</v>
      </c>
      <c r="H853" t="s">
        <v>14</v>
      </c>
      <c r="I853">
        <v>854.95</v>
      </c>
    </row>
    <row r="854" spans="1:9" hidden="1" x14ac:dyDescent="0.25">
      <c r="A854">
        <v>146</v>
      </c>
      <c r="B854">
        <v>58</v>
      </c>
      <c r="C854" t="s">
        <v>45</v>
      </c>
      <c r="D854">
        <v>90389</v>
      </c>
      <c r="E854">
        <v>17</v>
      </c>
      <c r="F854">
        <v>5</v>
      </c>
      <c r="G854">
        <v>12</v>
      </c>
      <c r="H854" t="s">
        <v>14</v>
      </c>
      <c r="I854">
        <v>855.21</v>
      </c>
    </row>
    <row r="855" spans="1:9" hidden="1" x14ac:dyDescent="0.25">
      <c r="A855">
        <v>354</v>
      </c>
      <c r="B855">
        <v>63</v>
      </c>
      <c r="C855" t="s">
        <v>45</v>
      </c>
      <c r="D855">
        <v>37003</v>
      </c>
      <c r="E855">
        <v>57</v>
      </c>
      <c r="F855">
        <v>4</v>
      </c>
      <c r="G855">
        <v>25</v>
      </c>
      <c r="H855" t="s">
        <v>15</v>
      </c>
      <c r="I855">
        <v>857.68</v>
      </c>
    </row>
    <row r="856" spans="1:9" hidden="1" x14ac:dyDescent="0.25">
      <c r="A856">
        <v>545</v>
      </c>
      <c r="B856">
        <v>23</v>
      </c>
      <c r="C856" t="s">
        <v>18</v>
      </c>
      <c r="D856">
        <v>123168</v>
      </c>
      <c r="E856">
        <v>80</v>
      </c>
      <c r="F856">
        <v>4</v>
      </c>
      <c r="G856">
        <v>19</v>
      </c>
      <c r="H856" t="s">
        <v>17</v>
      </c>
      <c r="I856">
        <v>860.95</v>
      </c>
    </row>
    <row r="857" spans="1:9" hidden="1" x14ac:dyDescent="0.25">
      <c r="A857">
        <v>174</v>
      </c>
      <c r="B857">
        <v>47</v>
      </c>
      <c r="C857" t="s">
        <v>45</v>
      </c>
      <c r="D857">
        <v>66932</v>
      </c>
      <c r="E857">
        <v>89</v>
      </c>
      <c r="F857">
        <v>5</v>
      </c>
      <c r="G857">
        <v>9</v>
      </c>
      <c r="H857" t="s">
        <v>13</v>
      </c>
      <c r="I857">
        <v>861.66</v>
      </c>
    </row>
    <row r="858" spans="1:9" hidden="1" x14ac:dyDescent="0.25">
      <c r="A858">
        <v>358</v>
      </c>
      <c r="B858">
        <v>57</v>
      </c>
      <c r="C858" t="s">
        <v>12</v>
      </c>
      <c r="D858">
        <v>137205</v>
      </c>
      <c r="E858">
        <v>18</v>
      </c>
      <c r="F858">
        <v>1</v>
      </c>
      <c r="G858">
        <v>21</v>
      </c>
      <c r="H858" t="s">
        <v>14</v>
      </c>
      <c r="I858">
        <v>862.12</v>
      </c>
    </row>
    <row r="859" spans="1:9" hidden="1" x14ac:dyDescent="0.25">
      <c r="A859">
        <v>406</v>
      </c>
      <c r="B859">
        <v>29</v>
      </c>
      <c r="C859" t="s">
        <v>45</v>
      </c>
      <c r="D859">
        <v>141369</v>
      </c>
      <c r="E859">
        <v>42</v>
      </c>
      <c r="F859">
        <v>10</v>
      </c>
      <c r="G859">
        <v>16</v>
      </c>
      <c r="H859" t="s">
        <v>13</v>
      </c>
      <c r="I859">
        <v>862.54</v>
      </c>
    </row>
    <row r="860" spans="1:9" hidden="1" x14ac:dyDescent="0.25">
      <c r="A860">
        <v>549</v>
      </c>
      <c r="B860">
        <v>39</v>
      </c>
      <c r="C860" t="s">
        <v>12</v>
      </c>
      <c r="D860">
        <v>30004</v>
      </c>
      <c r="E860">
        <v>32</v>
      </c>
      <c r="F860">
        <v>6</v>
      </c>
      <c r="G860">
        <v>48</v>
      </c>
      <c r="H860" t="s">
        <v>15</v>
      </c>
      <c r="I860">
        <v>863.47</v>
      </c>
    </row>
    <row r="861" spans="1:9" hidden="1" x14ac:dyDescent="0.25">
      <c r="A861">
        <v>879</v>
      </c>
      <c r="B861">
        <v>51</v>
      </c>
      <c r="C861" t="s">
        <v>12</v>
      </c>
      <c r="D861">
        <v>80995</v>
      </c>
      <c r="E861">
        <v>68</v>
      </c>
      <c r="F861">
        <v>1</v>
      </c>
      <c r="G861">
        <v>18</v>
      </c>
      <c r="H861" t="s">
        <v>15</v>
      </c>
      <c r="I861">
        <v>863.54</v>
      </c>
    </row>
    <row r="862" spans="1:9" hidden="1" x14ac:dyDescent="0.25">
      <c r="A862">
        <v>469</v>
      </c>
      <c r="B862">
        <v>32</v>
      </c>
      <c r="C862" t="s">
        <v>45</v>
      </c>
      <c r="D862">
        <v>100736</v>
      </c>
      <c r="E862">
        <v>84</v>
      </c>
      <c r="F862">
        <v>10</v>
      </c>
      <c r="G862">
        <v>32</v>
      </c>
      <c r="H862" t="s">
        <v>16</v>
      </c>
      <c r="I862">
        <v>863.93</v>
      </c>
    </row>
    <row r="863" spans="1:9" hidden="1" x14ac:dyDescent="0.25">
      <c r="A863">
        <v>813</v>
      </c>
      <c r="B863">
        <v>19</v>
      </c>
      <c r="C863" t="s">
        <v>12</v>
      </c>
      <c r="D863">
        <v>68304</v>
      </c>
      <c r="E863">
        <v>9</v>
      </c>
      <c r="F863">
        <v>10</v>
      </c>
      <c r="G863">
        <v>28</v>
      </c>
      <c r="H863" t="s">
        <v>15</v>
      </c>
      <c r="I863">
        <v>864.57</v>
      </c>
    </row>
    <row r="864" spans="1:9" hidden="1" x14ac:dyDescent="0.25">
      <c r="A864">
        <v>990</v>
      </c>
      <c r="B864">
        <v>31</v>
      </c>
      <c r="C864" t="s">
        <v>45</v>
      </c>
      <c r="D864">
        <v>45695</v>
      </c>
      <c r="E864">
        <v>36</v>
      </c>
      <c r="F864">
        <v>2</v>
      </c>
      <c r="G864">
        <v>31</v>
      </c>
      <c r="H864" t="s">
        <v>14</v>
      </c>
      <c r="I864">
        <v>864.67</v>
      </c>
    </row>
    <row r="865" spans="1:9" hidden="1" x14ac:dyDescent="0.25">
      <c r="A865">
        <v>589</v>
      </c>
      <c r="B865">
        <v>29</v>
      </c>
      <c r="C865" t="s">
        <v>45</v>
      </c>
      <c r="D865">
        <v>80868</v>
      </c>
      <c r="E865">
        <v>33</v>
      </c>
      <c r="F865">
        <v>6</v>
      </c>
      <c r="G865">
        <v>15</v>
      </c>
      <c r="H865" t="s">
        <v>17</v>
      </c>
      <c r="I865">
        <v>865.65</v>
      </c>
    </row>
    <row r="866" spans="1:9" hidden="1" x14ac:dyDescent="0.25">
      <c r="A866">
        <v>857</v>
      </c>
      <c r="B866">
        <v>19</v>
      </c>
      <c r="C866" t="s">
        <v>18</v>
      </c>
      <c r="D866">
        <v>90561</v>
      </c>
      <c r="E866">
        <v>75</v>
      </c>
      <c r="F866">
        <v>10</v>
      </c>
      <c r="G866">
        <v>23</v>
      </c>
      <c r="H866" t="s">
        <v>13</v>
      </c>
      <c r="I866">
        <v>866.23</v>
      </c>
    </row>
    <row r="867" spans="1:9" hidden="1" x14ac:dyDescent="0.25">
      <c r="A867">
        <v>781</v>
      </c>
      <c r="B867">
        <v>53</v>
      </c>
      <c r="C867" t="s">
        <v>12</v>
      </c>
      <c r="D867">
        <v>147355</v>
      </c>
      <c r="E867">
        <v>10</v>
      </c>
      <c r="F867">
        <v>2</v>
      </c>
      <c r="G867">
        <v>38</v>
      </c>
      <c r="H867" t="s">
        <v>13</v>
      </c>
      <c r="I867">
        <v>866.3</v>
      </c>
    </row>
    <row r="868" spans="1:9" hidden="1" x14ac:dyDescent="0.25">
      <c r="A868">
        <v>426</v>
      </c>
      <c r="B868">
        <v>40</v>
      </c>
      <c r="C868" t="s">
        <v>45</v>
      </c>
      <c r="D868">
        <v>142251</v>
      </c>
      <c r="E868">
        <v>90</v>
      </c>
      <c r="F868">
        <v>10</v>
      </c>
      <c r="G868">
        <v>14</v>
      </c>
      <c r="H868" t="s">
        <v>14</v>
      </c>
      <c r="I868">
        <v>866.52</v>
      </c>
    </row>
    <row r="869" spans="1:9" hidden="1" x14ac:dyDescent="0.25">
      <c r="A869">
        <v>395</v>
      </c>
      <c r="B869">
        <v>69</v>
      </c>
      <c r="C869" t="s">
        <v>18</v>
      </c>
      <c r="D869">
        <v>119075</v>
      </c>
      <c r="E869">
        <v>40</v>
      </c>
      <c r="F869">
        <v>8</v>
      </c>
      <c r="G869">
        <v>44</v>
      </c>
      <c r="H869" t="s">
        <v>13</v>
      </c>
      <c r="I869">
        <v>866.72</v>
      </c>
    </row>
    <row r="870" spans="1:9" hidden="1" x14ac:dyDescent="0.25">
      <c r="A870">
        <v>222</v>
      </c>
      <c r="B870">
        <v>67</v>
      </c>
      <c r="C870" t="s">
        <v>45</v>
      </c>
      <c r="D870">
        <v>64134</v>
      </c>
      <c r="E870">
        <v>3</v>
      </c>
      <c r="F870">
        <v>2</v>
      </c>
      <c r="G870">
        <v>26</v>
      </c>
      <c r="H870" t="s">
        <v>17</v>
      </c>
      <c r="I870">
        <v>868.18</v>
      </c>
    </row>
    <row r="871" spans="1:9" hidden="1" x14ac:dyDescent="0.25">
      <c r="A871">
        <v>927</v>
      </c>
      <c r="B871">
        <v>46</v>
      </c>
      <c r="C871" t="s">
        <v>45</v>
      </c>
      <c r="D871">
        <v>46368</v>
      </c>
      <c r="E871">
        <v>11</v>
      </c>
      <c r="F871">
        <v>7</v>
      </c>
      <c r="G871">
        <v>17</v>
      </c>
      <c r="H871" t="s">
        <v>13</v>
      </c>
      <c r="I871">
        <v>869.05</v>
      </c>
    </row>
    <row r="872" spans="1:9" hidden="1" x14ac:dyDescent="0.25">
      <c r="A872">
        <v>568</v>
      </c>
      <c r="B872">
        <v>45</v>
      </c>
      <c r="C872" t="s">
        <v>18</v>
      </c>
      <c r="D872">
        <v>41917</v>
      </c>
      <c r="E872">
        <v>58</v>
      </c>
      <c r="F872">
        <v>8</v>
      </c>
      <c r="G872">
        <v>5</v>
      </c>
      <c r="H872" t="s">
        <v>13</v>
      </c>
      <c r="I872">
        <v>870.38</v>
      </c>
    </row>
    <row r="873" spans="1:9" hidden="1" x14ac:dyDescent="0.25">
      <c r="A873">
        <v>295</v>
      </c>
      <c r="B873">
        <v>18</v>
      </c>
      <c r="C873" t="s">
        <v>45</v>
      </c>
      <c r="D873">
        <v>135713</v>
      </c>
      <c r="E873">
        <v>79</v>
      </c>
      <c r="F873">
        <v>7</v>
      </c>
      <c r="G873">
        <v>18</v>
      </c>
      <c r="H873" t="s">
        <v>14</v>
      </c>
      <c r="I873">
        <v>871.12</v>
      </c>
    </row>
    <row r="874" spans="1:9" hidden="1" x14ac:dyDescent="0.25">
      <c r="A874">
        <v>107</v>
      </c>
      <c r="B874">
        <v>19</v>
      </c>
      <c r="C874" t="s">
        <v>45</v>
      </c>
      <c r="D874">
        <v>37993</v>
      </c>
      <c r="E874">
        <v>59</v>
      </c>
      <c r="F874">
        <v>6</v>
      </c>
      <c r="G874">
        <v>30</v>
      </c>
      <c r="H874" t="s">
        <v>15</v>
      </c>
      <c r="I874">
        <v>873.8</v>
      </c>
    </row>
    <row r="875" spans="1:9" hidden="1" x14ac:dyDescent="0.25">
      <c r="A875">
        <v>271</v>
      </c>
      <c r="B875">
        <v>69</v>
      </c>
      <c r="C875" t="s">
        <v>12</v>
      </c>
      <c r="D875">
        <v>47458</v>
      </c>
      <c r="E875">
        <v>14</v>
      </c>
      <c r="F875">
        <v>2</v>
      </c>
      <c r="G875">
        <v>10</v>
      </c>
      <c r="H875" t="s">
        <v>16</v>
      </c>
      <c r="I875">
        <v>874.32</v>
      </c>
    </row>
    <row r="876" spans="1:9" hidden="1" x14ac:dyDescent="0.25">
      <c r="A876">
        <v>427</v>
      </c>
      <c r="B876">
        <v>47</v>
      </c>
      <c r="C876" t="s">
        <v>18</v>
      </c>
      <c r="D876">
        <v>49336</v>
      </c>
      <c r="E876">
        <v>11</v>
      </c>
      <c r="F876">
        <v>10</v>
      </c>
      <c r="G876">
        <v>11</v>
      </c>
      <c r="H876" t="s">
        <v>15</v>
      </c>
      <c r="I876">
        <v>877.17</v>
      </c>
    </row>
    <row r="877" spans="1:9" hidden="1" x14ac:dyDescent="0.25">
      <c r="A877">
        <v>414</v>
      </c>
      <c r="B877">
        <v>69</v>
      </c>
      <c r="C877" t="s">
        <v>18</v>
      </c>
      <c r="D877">
        <v>117737</v>
      </c>
      <c r="E877">
        <v>6</v>
      </c>
      <c r="F877">
        <v>4</v>
      </c>
      <c r="G877">
        <v>9</v>
      </c>
      <c r="H877" t="s">
        <v>16</v>
      </c>
      <c r="I877">
        <v>877.51</v>
      </c>
    </row>
    <row r="878" spans="1:9" hidden="1" x14ac:dyDescent="0.25">
      <c r="A878">
        <v>944</v>
      </c>
      <c r="B878">
        <v>47</v>
      </c>
      <c r="C878" t="s">
        <v>45</v>
      </c>
      <c r="D878">
        <v>37014</v>
      </c>
      <c r="E878">
        <v>76</v>
      </c>
      <c r="F878">
        <v>5</v>
      </c>
      <c r="G878">
        <v>34</v>
      </c>
      <c r="H878" t="s">
        <v>14</v>
      </c>
      <c r="I878">
        <v>880.18</v>
      </c>
    </row>
    <row r="879" spans="1:9" hidden="1" x14ac:dyDescent="0.25">
      <c r="A879">
        <v>72</v>
      </c>
      <c r="B879">
        <v>58</v>
      </c>
      <c r="C879" t="s">
        <v>45</v>
      </c>
      <c r="D879">
        <v>56120</v>
      </c>
      <c r="E879">
        <v>30</v>
      </c>
      <c r="F879">
        <v>3</v>
      </c>
      <c r="G879">
        <v>50</v>
      </c>
      <c r="H879" t="s">
        <v>16</v>
      </c>
      <c r="I879">
        <v>880.23</v>
      </c>
    </row>
    <row r="880" spans="1:9" hidden="1" x14ac:dyDescent="0.25">
      <c r="A880">
        <v>684</v>
      </c>
      <c r="B880">
        <v>42</v>
      </c>
      <c r="C880" t="s">
        <v>12</v>
      </c>
      <c r="D880">
        <v>56378</v>
      </c>
      <c r="E880">
        <v>8</v>
      </c>
      <c r="F880">
        <v>9</v>
      </c>
      <c r="G880">
        <v>18</v>
      </c>
      <c r="H880" t="s">
        <v>17</v>
      </c>
      <c r="I880">
        <v>880.45</v>
      </c>
    </row>
    <row r="881" spans="1:9" hidden="1" x14ac:dyDescent="0.25">
      <c r="A881">
        <v>155</v>
      </c>
      <c r="B881">
        <v>53</v>
      </c>
      <c r="C881" t="s">
        <v>45</v>
      </c>
      <c r="D881">
        <v>146312</v>
      </c>
      <c r="E881">
        <v>58</v>
      </c>
      <c r="F881">
        <v>2</v>
      </c>
      <c r="G881">
        <v>32</v>
      </c>
      <c r="H881" t="s">
        <v>14</v>
      </c>
      <c r="I881">
        <v>880.78</v>
      </c>
    </row>
    <row r="882" spans="1:9" hidden="1" x14ac:dyDescent="0.25">
      <c r="A882">
        <v>121</v>
      </c>
      <c r="B882">
        <v>47</v>
      </c>
      <c r="C882" t="s">
        <v>18</v>
      </c>
      <c r="D882">
        <v>112072</v>
      </c>
      <c r="E882">
        <v>50</v>
      </c>
      <c r="F882">
        <v>5</v>
      </c>
      <c r="G882">
        <v>21</v>
      </c>
      <c r="H882" t="s">
        <v>16</v>
      </c>
      <c r="I882">
        <v>884.19</v>
      </c>
    </row>
    <row r="883" spans="1:9" hidden="1" x14ac:dyDescent="0.25">
      <c r="A883">
        <v>488</v>
      </c>
      <c r="B883">
        <v>47</v>
      </c>
      <c r="C883" t="s">
        <v>45</v>
      </c>
      <c r="D883">
        <v>124597</v>
      </c>
      <c r="E883">
        <v>67</v>
      </c>
      <c r="F883">
        <v>9</v>
      </c>
      <c r="G883">
        <v>8</v>
      </c>
      <c r="H883" t="s">
        <v>17</v>
      </c>
      <c r="I883">
        <v>885.33</v>
      </c>
    </row>
    <row r="884" spans="1:9" hidden="1" x14ac:dyDescent="0.25">
      <c r="A884">
        <v>273</v>
      </c>
      <c r="B884">
        <v>47</v>
      </c>
      <c r="C884" t="s">
        <v>45</v>
      </c>
      <c r="D884">
        <v>84117</v>
      </c>
      <c r="E884">
        <v>74</v>
      </c>
      <c r="F884">
        <v>9</v>
      </c>
      <c r="G884">
        <v>17</v>
      </c>
      <c r="H884" t="s">
        <v>13</v>
      </c>
      <c r="I884">
        <v>886.08</v>
      </c>
    </row>
    <row r="885" spans="1:9" hidden="1" x14ac:dyDescent="0.25">
      <c r="A885">
        <v>283</v>
      </c>
      <c r="B885">
        <v>33</v>
      </c>
      <c r="C885" t="s">
        <v>12</v>
      </c>
      <c r="D885">
        <v>113187</v>
      </c>
      <c r="E885">
        <v>27</v>
      </c>
      <c r="F885">
        <v>9</v>
      </c>
      <c r="G885">
        <v>46</v>
      </c>
      <c r="H885" t="s">
        <v>14</v>
      </c>
      <c r="I885">
        <v>886.3</v>
      </c>
    </row>
    <row r="886" spans="1:9" hidden="1" x14ac:dyDescent="0.25">
      <c r="A886">
        <v>554</v>
      </c>
      <c r="B886">
        <v>61</v>
      </c>
      <c r="C886" t="s">
        <v>18</v>
      </c>
      <c r="D886">
        <v>54256</v>
      </c>
      <c r="E886">
        <v>78</v>
      </c>
      <c r="F886">
        <v>3</v>
      </c>
      <c r="G886">
        <v>3</v>
      </c>
      <c r="H886" t="s">
        <v>13</v>
      </c>
      <c r="I886">
        <v>886.44</v>
      </c>
    </row>
    <row r="887" spans="1:9" hidden="1" x14ac:dyDescent="0.25">
      <c r="A887">
        <v>633</v>
      </c>
      <c r="B887">
        <v>43</v>
      </c>
      <c r="C887" t="s">
        <v>18</v>
      </c>
      <c r="D887">
        <v>97989</v>
      </c>
      <c r="E887">
        <v>14</v>
      </c>
      <c r="F887">
        <v>6</v>
      </c>
      <c r="G887">
        <v>49</v>
      </c>
      <c r="H887" t="s">
        <v>14</v>
      </c>
      <c r="I887">
        <v>886.61</v>
      </c>
    </row>
    <row r="888" spans="1:9" hidden="1" x14ac:dyDescent="0.25">
      <c r="A888">
        <v>552</v>
      </c>
      <c r="B888">
        <v>20</v>
      </c>
      <c r="C888" t="s">
        <v>12</v>
      </c>
      <c r="D888">
        <v>51199</v>
      </c>
      <c r="E888">
        <v>100</v>
      </c>
      <c r="F888">
        <v>5</v>
      </c>
      <c r="G888">
        <v>5</v>
      </c>
      <c r="H888" t="s">
        <v>17</v>
      </c>
      <c r="I888">
        <v>889.83</v>
      </c>
    </row>
    <row r="889" spans="1:9" hidden="1" x14ac:dyDescent="0.25">
      <c r="A889">
        <v>12</v>
      </c>
      <c r="B889">
        <v>68</v>
      </c>
      <c r="C889" t="s">
        <v>45</v>
      </c>
      <c r="D889">
        <v>30058</v>
      </c>
      <c r="E889">
        <v>91</v>
      </c>
      <c r="F889">
        <v>1</v>
      </c>
      <c r="G889">
        <v>49</v>
      </c>
      <c r="H889" t="s">
        <v>16</v>
      </c>
      <c r="I889">
        <v>889.94</v>
      </c>
    </row>
    <row r="890" spans="1:9" hidden="1" x14ac:dyDescent="0.25">
      <c r="A890">
        <v>738</v>
      </c>
      <c r="B890">
        <v>18</v>
      </c>
      <c r="C890" t="s">
        <v>18</v>
      </c>
      <c r="D890">
        <v>136320</v>
      </c>
      <c r="E890">
        <v>52</v>
      </c>
      <c r="F890">
        <v>5</v>
      </c>
      <c r="G890">
        <v>42</v>
      </c>
      <c r="H890" t="s">
        <v>14</v>
      </c>
      <c r="I890">
        <v>891.19</v>
      </c>
    </row>
    <row r="891" spans="1:9" hidden="1" x14ac:dyDescent="0.25">
      <c r="A891">
        <v>765</v>
      </c>
      <c r="B891">
        <v>40</v>
      </c>
      <c r="C891" t="s">
        <v>45</v>
      </c>
      <c r="D891">
        <v>108344</v>
      </c>
      <c r="E891">
        <v>87</v>
      </c>
      <c r="F891">
        <v>2</v>
      </c>
      <c r="G891">
        <v>13</v>
      </c>
      <c r="H891" t="s">
        <v>14</v>
      </c>
      <c r="I891">
        <v>892.28</v>
      </c>
    </row>
    <row r="892" spans="1:9" hidden="1" x14ac:dyDescent="0.25">
      <c r="A892">
        <v>53</v>
      </c>
      <c r="B892">
        <v>45</v>
      </c>
      <c r="C892" t="s">
        <v>45</v>
      </c>
      <c r="D892">
        <v>134241</v>
      </c>
      <c r="E892">
        <v>73</v>
      </c>
      <c r="F892">
        <v>9</v>
      </c>
      <c r="G892">
        <v>16</v>
      </c>
      <c r="H892" t="s">
        <v>16</v>
      </c>
      <c r="I892">
        <v>893.44</v>
      </c>
    </row>
    <row r="893" spans="1:9" hidden="1" x14ac:dyDescent="0.25">
      <c r="A893">
        <v>249</v>
      </c>
      <c r="B893">
        <v>54</v>
      </c>
      <c r="C893" t="s">
        <v>18</v>
      </c>
      <c r="D893">
        <v>134743</v>
      </c>
      <c r="E893">
        <v>98</v>
      </c>
      <c r="F893">
        <v>9</v>
      </c>
      <c r="G893">
        <v>42</v>
      </c>
      <c r="H893" t="s">
        <v>15</v>
      </c>
      <c r="I893">
        <v>894.21</v>
      </c>
    </row>
    <row r="894" spans="1:9" hidden="1" x14ac:dyDescent="0.25">
      <c r="A894">
        <v>957</v>
      </c>
      <c r="B894">
        <v>60</v>
      </c>
      <c r="C894" t="s">
        <v>18</v>
      </c>
      <c r="D894">
        <v>56429</v>
      </c>
      <c r="E894">
        <v>69</v>
      </c>
      <c r="F894">
        <v>9</v>
      </c>
      <c r="G894">
        <v>32</v>
      </c>
      <c r="H894" t="s">
        <v>16</v>
      </c>
      <c r="I894">
        <v>894.95</v>
      </c>
    </row>
    <row r="895" spans="1:9" hidden="1" x14ac:dyDescent="0.25">
      <c r="A895">
        <v>119</v>
      </c>
      <c r="B895">
        <v>33</v>
      </c>
      <c r="C895" t="s">
        <v>12</v>
      </c>
      <c r="D895">
        <v>113154</v>
      </c>
      <c r="E895">
        <v>75</v>
      </c>
      <c r="F895">
        <v>8</v>
      </c>
      <c r="G895">
        <v>46</v>
      </c>
      <c r="H895" t="s">
        <v>16</v>
      </c>
      <c r="I895">
        <v>895.58</v>
      </c>
    </row>
    <row r="896" spans="1:9" hidden="1" x14ac:dyDescent="0.25">
      <c r="A896">
        <v>821</v>
      </c>
      <c r="B896">
        <v>41</v>
      </c>
      <c r="C896" t="s">
        <v>45</v>
      </c>
      <c r="D896">
        <v>37547</v>
      </c>
      <c r="E896">
        <v>72</v>
      </c>
      <c r="F896">
        <v>3</v>
      </c>
      <c r="G896">
        <v>24</v>
      </c>
      <c r="H896" t="s">
        <v>16</v>
      </c>
      <c r="I896">
        <v>897.46</v>
      </c>
    </row>
    <row r="897" spans="1:9" hidden="1" x14ac:dyDescent="0.25">
      <c r="A897">
        <v>314</v>
      </c>
      <c r="B897">
        <v>44</v>
      </c>
      <c r="C897" t="s">
        <v>12</v>
      </c>
      <c r="D897">
        <v>141748</v>
      </c>
      <c r="E897">
        <v>55</v>
      </c>
      <c r="F897">
        <v>2</v>
      </c>
      <c r="G897">
        <v>50</v>
      </c>
      <c r="H897" t="s">
        <v>16</v>
      </c>
      <c r="I897">
        <v>897.57</v>
      </c>
    </row>
    <row r="898" spans="1:9" hidden="1" x14ac:dyDescent="0.25">
      <c r="A898">
        <v>145</v>
      </c>
      <c r="B898">
        <v>44</v>
      </c>
      <c r="C898" t="s">
        <v>45</v>
      </c>
      <c r="D898">
        <v>122987</v>
      </c>
      <c r="E898">
        <v>29</v>
      </c>
      <c r="F898">
        <v>10</v>
      </c>
      <c r="G898">
        <v>25</v>
      </c>
      <c r="H898" t="s">
        <v>14</v>
      </c>
      <c r="I898">
        <v>898.68</v>
      </c>
    </row>
    <row r="899" spans="1:9" hidden="1" x14ac:dyDescent="0.25">
      <c r="A899">
        <v>670</v>
      </c>
      <c r="B899">
        <v>55</v>
      </c>
      <c r="C899" t="s">
        <v>45</v>
      </c>
      <c r="D899">
        <v>59108</v>
      </c>
      <c r="E899">
        <v>36</v>
      </c>
      <c r="F899">
        <v>6</v>
      </c>
      <c r="G899">
        <v>31</v>
      </c>
      <c r="H899" t="s">
        <v>13</v>
      </c>
      <c r="I899">
        <v>900.16</v>
      </c>
    </row>
    <row r="900" spans="1:9" hidden="1" x14ac:dyDescent="0.25">
      <c r="A900">
        <v>410</v>
      </c>
      <c r="B900">
        <v>20</v>
      </c>
      <c r="C900" t="s">
        <v>18</v>
      </c>
      <c r="D900">
        <v>98213</v>
      </c>
      <c r="E900">
        <v>12</v>
      </c>
      <c r="F900">
        <v>5</v>
      </c>
      <c r="G900">
        <v>37</v>
      </c>
      <c r="H900" t="s">
        <v>13</v>
      </c>
      <c r="I900">
        <v>902.24</v>
      </c>
    </row>
    <row r="901" spans="1:9" hidden="1" x14ac:dyDescent="0.25">
      <c r="A901">
        <v>694</v>
      </c>
      <c r="B901">
        <v>64</v>
      </c>
      <c r="C901" t="s">
        <v>12</v>
      </c>
      <c r="D901">
        <v>32144</v>
      </c>
      <c r="E901">
        <v>76</v>
      </c>
      <c r="F901">
        <v>2</v>
      </c>
      <c r="G901">
        <v>28</v>
      </c>
      <c r="H901" t="s">
        <v>15</v>
      </c>
      <c r="I901">
        <v>902.66</v>
      </c>
    </row>
    <row r="902" spans="1:9" hidden="1" x14ac:dyDescent="0.25">
      <c r="A902">
        <v>56</v>
      </c>
      <c r="B902">
        <v>42</v>
      </c>
      <c r="C902" t="s">
        <v>45</v>
      </c>
      <c r="D902">
        <v>73466</v>
      </c>
      <c r="E902">
        <v>50</v>
      </c>
      <c r="F902">
        <v>4</v>
      </c>
      <c r="G902">
        <v>13</v>
      </c>
      <c r="H902" t="s">
        <v>15</v>
      </c>
      <c r="I902">
        <v>903.07</v>
      </c>
    </row>
    <row r="903" spans="1:9" hidden="1" x14ac:dyDescent="0.25">
      <c r="A903">
        <v>492</v>
      </c>
      <c r="B903">
        <v>39</v>
      </c>
      <c r="C903" t="s">
        <v>12</v>
      </c>
      <c r="D903">
        <v>84725</v>
      </c>
      <c r="E903">
        <v>100</v>
      </c>
      <c r="F903">
        <v>8</v>
      </c>
      <c r="G903">
        <v>49</v>
      </c>
      <c r="H903" t="s">
        <v>15</v>
      </c>
      <c r="I903">
        <v>906.07</v>
      </c>
    </row>
    <row r="904" spans="1:9" hidden="1" x14ac:dyDescent="0.25">
      <c r="A904">
        <v>617</v>
      </c>
      <c r="B904">
        <v>29</v>
      </c>
      <c r="C904" t="s">
        <v>45</v>
      </c>
      <c r="D904">
        <v>83172</v>
      </c>
      <c r="E904">
        <v>51</v>
      </c>
      <c r="F904">
        <v>8</v>
      </c>
      <c r="G904">
        <v>1</v>
      </c>
      <c r="H904" t="s">
        <v>17</v>
      </c>
      <c r="I904">
        <v>906.75</v>
      </c>
    </row>
    <row r="905" spans="1:9" hidden="1" x14ac:dyDescent="0.25">
      <c r="A905">
        <v>359</v>
      </c>
      <c r="B905">
        <v>50</v>
      </c>
      <c r="C905" t="s">
        <v>12</v>
      </c>
      <c r="D905">
        <v>85888</v>
      </c>
      <c r="E905">
        <v>19</v>
      </c>
      <c r="F905">
        <v>2</v>
      </c>
      <c r="G905">
        <v>25</v>
      </c>
      <c r="H905" t="s">
        <v>16</v>
      </c>
      <c r="I905">
        <v>910.52</v>
      </c>
    </row>
    <row r="906" spans="1:9" hidden="1" x14ac:dyDescent="0.25">
      <c r="A906">
        <v>763</v>
      </c>
      <c r="B906">
        <v>63</v>
      </c>
      <c r="C906" t="s">
        <v>12</v>
      </c>
      <c r="D906">
        <v>115204</v>
      </c>
      <c r="E906">
        <v>12</v>
      </c>
      <c r="F906">
        <v>2</v>
      </c>
      <c r="G906">
        <v>19</v>
      </c>
      <c r="H906" t="s">
        <v>13</v>
      </c>
      <c r="I906">
        <v>910.59</v>
      </c>
    </row>
    <row r="907" spans="1:9" hidden="1" x14ac:dyDescent="0.25">
      <c r="A907">
        <v>244</v>
      </c>
      <c r="B907">
        <v>47</v>
      </c>
      <c r="C907" t="s">
        <v>18</v>
      </c>
      <c r="D907">
        <v>108356</v>
      </c>
      <c r="E907">
        <v>84</v>
      </c>
      <c r="F907">
        <v>6</v>
      </c>
      <c r="G907">
        <v>19</v>
      </c>
      <c r="H907" t="s">
        <v>13</v>
      </c>
      <c r="I907">
        <v>911</v>
      </c>
    </row>
    <row r="908" spans="1:9" hidden="1" x14ac:dyDescent="0.25">
      <c r="A908">
        <v>349</v>
      </c>
      <c r="B908">
        <v>44</v>
      </c>
      <c r="C908" t="s">
        <v>12</v>
      </c>
      <c r="D908">
        <v>32030</v>
      </c>
      <c r="E908">
        <v>38</v>
      </c>
      <c r="F908">
        <v>2</v>
      </c>
      <c r="G908">
        <v>19</v>
      </c>
      <c r="H908" t="s">
        <v>15</v>
      </c>
      <c r="I908">
        <v>912.15</v>
      </c>
    </row>
    <row r="909" spans="1:9" hidden="1" x14ac:dyDescent="0.25">
      <c r="A909">
        <v>721</v>
      </c>
      <c r="B909">
        <v>27</v>
      </c>
      <c r="C909" t="s">
        <v>12</v>
      </c>
      <c r="D909">
        <v>114848</v>
      </c>
      <c r="E909">
        <v>66</v>
      </c>
      <c r="F909">
        <v>10</v>
      </c>
      <c r="G909">
        <v>38</v>
      </c>
      <c r="H909" t="s">
        <v>16</v>
      </c>
      <c r="I909">
        <v>912.58</v>
      </c>
    </row>
    <row r="910" spans="1:9" hidden="1" x14ac:dyDescent="0.25">
      <c r="A910">
        <v>673</v>
      </c>
      <c r="B910">
        <v>47</v>
      </c>
      <c r="C910" t="s">
        <v>18</v>
      </c>
      <c r="D910">
        <v>40790</v>
      </c>
      <c r="E910">
        <v>36</v>
      </c>
      <c r="F910">
        <v>1</v>
      </c>
      <c r="G910">
        <v>4</v>
      </c>
      <c r="H910" t="s">
        <v>17</v>
      </c>
      <c r="I910">
        <v>913.84</v>
      </c>
    </row>
    <row r="911" spans="1:9" hidden="1" x14ac:dyDescent="0.25">
      <c r="A911">
        <v>666</v>
      </c>
      <c r="B911">
        <v>31</v>
      </c>
      <c r="C911" t="s">
        <v>45</v>
      </c>
      <c r="D911">
        <v>85972</v>
      </c>
      <c r="E911">
        <v>62</v>
      </c>
      <c r="F911">
        <v>9</v>
      </c>
      <c r="G911">
        <v>25</v>
      </c>
      <c r="H911" t="s">
        <v>15</v>
      </c>
      <c r="I911">
        <v>914.63</v>
      </c>
    </row>
    <row r="912" spans="1:9" hidden="1" x14ac:dyDescent="0.25">
      <c r="A912">
        <v>131</v>
      </c>
      <c r="B912">
        <v>51</v>
      </c>
      <c r="C912" t="s">
        <v>12</v>
      </c>
      <c r="D912">
        <v>42337</v>
      </c>
      <c r="E912">
        <v>70</v>
      </c>
      <c r="F912">
        <v>9</v>
      </c>
      <c r="G912">
        <v>28</v>
      </c>
      <c r="H912" t="s">
        <v>15</v>
      </c>
      <c r="I912">
        <v>914.97</v>
      </c>
    </row>
    <row r="913" spans="1:9" hidden="1" x14ac:dyDescent="0.25">
      <c r="A913">
        <v>223</v>
      </c>
      <c r="B913">
        <v>53</v>
      </c>
      <c r="C913" t="s">
        <v>18</v>
      </c>
      <c r="D913">
        <v>146546</v>
      </c>
      <c r="E913">
        <v>12</v>
      </c>
      <c r="F913">
        <v>6</v>
      </c>
      <c r="G913">
        <v>45</v>
      </c>
      <c r="H913" t="s">
        <v>15</v>
      </c>
      <c r="I913">
        <v>915.02</v>
      </c>
    </row>
    <row r="914" spans="1:9" hidden="1" x14ac:dyDescent="0.25">
      <c r="A914">
        <v>952</v>
      </c>
      <c r="B914">
        <v>29</v>
      </c>
      <c r="C914" t="s">
        <v>18</v>
      </c>
      <c r="D914">
        <v>45164</v>
      </c>
      <c r="E914">
        <v>54</v>
      </c>
      <c r="F914">
        <v>8</v>
      </c>
      <c r="G914">
        <v>45</v>
      </c>
      <c r="H914" t="s">
        <v>16</v>
      </c>
      <c r="I914">
        <v>915.62</v>
      </c>
    </row>
    <row r="915" spans="1:9" hidden="1" x14ac:dyDescent="0.25">
      <c r="A915">
        <v>15</v>
      </c>
      <c r="B915">
        <v>33</v>
      </c>
      <c r="C915" t="s">
        <v>12</v>
      </c>
      <c r="D915">
        <v>112260</v>
      </c>
      <c r="E915">
        <v>17</v>
      </c>
      <c r="F915">
        <v>5</v>
      </c>
      <c r="G915">
        <v>8</v>
      </c>
      <c r="H915" t="s">
        <v>13</v>
      </c>
      <c r="I915">
        <v>915.89</v>
      </c>
    </row>
    <row r="916" spans="1:9" hidden="1" x14ac:dyDescent="0.25">
      <c r="A916">
        <v>634</v>
      </c>
      <c r="B916">
        <v>51</v>
      </c>
      <c r="C916" t="s">
        <v>45</v>
      </c>
      <c r="D916">
        <v>143678</v>
      </c>
      <c r="E916">
        <v>50</v>
      </c>
      <c r="F916">
        <v>8</v>
      </c>
      <c r="G916">
        <v>23</v>
      </c>
      <c r="H916" t="s">
        <v>14</v>
      </c>
      <c r="I916">
        <v>916.04</v>
      </c>
    </row>
    <row r="917" spans="1:9" hidden="1" x14ac:dyDescent="0.25">
      <c r="A917">
        <v>432</v>
      </c>
      <c r="B917">
        <v>29</v>
      </c>
      <c r="C917" t="s">
        <v>18</v>
      </c>
      <c r="D917">
        <v>133291</v>
      </c>
      <c r="E917">
        <v>52</v>
      </c>
      <c r="F917">
        <v>4</v>
      </c>
      <c r="G917">
        <v>42</v>
      </c>
      <c r="H917" t="s">
        <v>17</v>
      </c>
      <c r="I917">
        <v>916.28</v>
      </c>
    </row>
    <row r="918" spans="1:9" hidden="1" x14ac:dyDescent="0.25">
      <c r="A918">
        <v>992</v>
      </c>
      <c r="B918">
        <v>53</v>
      </c>
      <c r="C918" t="s">
        <v>45</v>
      </c>
      <c r="D918">
        <v>83578</v>
      </c>
      <c r="E918">
        <v>97</v>
      </c>
      <c r="F918">
        <v>5</v>
      </c>
      <c r="G918">
        <v>50</v>
      </c>
      <c r="H918" t="s">
        <v>15</v>
      </c>
      <c r="I918">
        <v>917.08</v>
      </c>
    </row>
    <row r="919" spans="1:9" hidden="1" x14ac:dyDescent="0.25">
      <c r="A919">
        <v>495</v>
      </c>
      <c r="B919">
        <v>59</v>
      </c>
      <c r="C919" t="s">
        <v>12</v>
      </c>
      <c r="D919">
        <v>140809</v>
      </c>
      <c r="E919">
        <v>45</v>
      </c>
      <c r="F919">
        <v>5</v>
      </c>
      <c r="G919">
        <v>45</v>
      </c>
      <c r="H919" t="s">
        <v>15</v>
      </c>
      <c r="I919">
        <v>917.5</v>
      </c>
    </row>
    <row r="920" spans="1:9" hidden="1" x14ac:dyDescent="0.25">
      <c r="A920">
        <v>827</v>
      </c>
      <c r="B920">
        <v>62</v>
      </c>
      <c r="C920" t="s">
        <v>45</v>
      </c>
      <c r="D920">
        <v>88975</v>
      </c>
      <c r="E920">
        <v>58</v>
      </c>
      <c r="F920">
        <v>6</v>
      </c>
      <c r="G920">
        <v>24</v>
      </c>
      <c r="H920" t="s">
        <v>15</v>
      </c>
      <c r="I920">
        <v>921.21</v>
      </c>
    </row>
    <row r="921" spans="1:9" hidden="1" x14ac:dyDescent="0.25">
      <c r="A921">
        <v>245</v>
      </c>
      <c r="B921">
        <v>28</v>
      </c>
      <c r="C921" t="s">
        <v>45</v>
      </c>
      <c r="D921">
        <v>134414</v>
      </c>
      <c r="E921">
        <v>19</v>
      </c>
      <c r="F921">
        <v>5</v>
      </c>
      <c r="G921">
        <v>15</v>
      </c>
      <c r="H921" t="s">
        <v>13</v>
      </c>
      <c r="I921">
        <v>922.01</v>
      </c>
    </row>
    <row r="922" spans="1:9" hidden="1" x14ac:dyDescent="0.25">
      <c r="A922">
        <v>523</v>
      </c>
      <c r="B922">
        <v>32</v>
      </c>
      <c r="C922" t="s">
        <v>18</v>
      </c>
      <c r="D922">
        <v>58144</v>
      </c>
      <c r="E922">
        <v>4</v>
      </c>
      <c r="F922">
        <v>5</v>
      </c>
      <c r="G922">
        <v>16</v>
      </c>
      <c r="H922" t="s">
        <v>14</v>
      </c>
      <c r="I922">
        <v>923.37</v>
      </c>
    </row>
    <row r="923" spans="1:9" hidden="1" x14ac:dyDescent="0.25">
      <c r="A923">
        <v>243</v>
      </c>
      <c r="B923">
        <v>25</v>
      </c>
      <c r="C923" t="s">
        <v>45</v>
      </c>
      <c r="D923">
        <v>109583</v>
      </c>
      <c r="E923">
        <v>6</v>
      </c>
      <c r="F923">
        <v>4</v>
      </c>
      <c r="G923">
        <v>30</v>
      </c>
      <c r="H923" t="s">
        <v>14</v>
      </c>
      <c r="I923">
        <v>923.64</v>
      </c>
    </row>
    <row r="924" spans="1:9" hidden="1" x14ac:dyDescent="0.25">
      <c r="A924">
        <v>239</v>
      </c>
      <c r="B924">
        <v>64</v>
      </c>
      <c r="C924" t="s">
        <v>18</v>
      </c>
      <c r="D924">
        <v>124599</v>
      </c>
      <c r="E924">
        <v>41</v>
      </c>
      <c r="F924">
        <v>9</v>
      </c>
      <c r="G924">
        <v>41</v>
      </c>
      <c r="H924" t="s">
        <v>16</v>
      </c>
      <c r="I924">
        <v>924.18</v>
      </c>
    </row>
    <row r="925" spans="1:9" hidden="1" x14ac:dyDescent="0.25">
      <c r="A925">
        <v>519</v>
      </c>
      <c r="B925">
        <v>45</v>
      </c>
      <c r="C925" t="s">
        <v>18</v>
      </c>
      <c r="D925">
        <v>67753</v>
      </c>
      <c r="E925">
        <v>64</v>
      </c>
      <c r="F925">
        <v>4</v>
      </c>
      <c r="G925">
        <v>48</v>
      </c>
      <c r="H925" t="s">
        <v>15</v>
      </c>
      <c r="I925">
        <v>926.69</v>
      </c>
    </row>
    <row r="926" spans="1:9" hidden="1" x14ac:dyDescent="0.25">
      <c r="A926">
        <v>92</v>
      </c>
      <c r="B926">
        <v>39</v>
      </c>
      <c r="C926" t="s">
        <v>45</v>
      </c>
      <c r="D926">
        <v>104031</v>
      </c>
      <c r="E926">
        <v>67</v>
      </c>
      <c r="F926">
        <v>6</v>
      </c>
      <c r="G926">
        <v>28</v>
      </c>
      <c r="H926" t="s">
        <v>13</v>
      </c>
      <c r="I926">
        <v>930.36</v>
      </c>
    </row>
    <row r="927" spans="1:9" hidden="1" x14ac:dyDescent="0.25">
      <c r="A927">
        <v>112</v>
      </c>
      <c r="B927">
        <v>64</v>
      </c>
      <c r="C927" t="s">
        <v>12</v>
      </c>
      <c r="D927">
        <v>87006</v>
      </c>
      <c r="E927">
        <v>85</v>
      </c>
      <c r="F927">
        <v>7</v>
      </c>
      <c r="G927">
        <v>20</v>
      </c>
      <c r="H927" t="s">
        <v>17</v>
      </c>
      <c r="I927">
        <v>930.73</v>
      </c>
    </row>
    <row r="928" spans="1:9" hidden="1" x14ac:dyDescent="0.25">
      <c r="A928">
        <v>597</v>
      </c>
      <c r="B928">
        <v>50</v>
      </c>
      <c r="C928" t="s">
        <v>12</v>
      </c>
      <c r="D928">
        <v>132598</v>
      </c>
      <c r="E928">
        <v>57</v>
      </c>
      <c r="F928">
        <v>7</v>
      </c>
      <c r="G928">
        <v>21</v>
      </c>
      <c r="H928" t="s">
        <v>13</v>
      </c>
      <c r="I928">
        <v>930.91</v>
      </c>
    </row>
    <row r="929" spans="1:9" hidden="1" x14ac:dyDescent="0.25">
      <c r="A929">
        <v>373</v>
      </c>
      <c r="B929">
        <v>30</v>
      </c>
      <c r="C929" t="s">
        <v>45</v>
      </c>
      <c r="D929">
        <v>80320</v>
      </c>
      <c r="E929">
        <v>91</v>
      </c>
      <c r="F929">
        <v>1</v>
      </c>
      <c r="G929">
        <v>31</v>
      </c>
      <c r="H929" t="s">
        <v>14</v>
      </c>
      <c r="I929">
        <v>930.97</v>
      </c>
    </row>
    <row r="930" spans="1:9" hidden="1" x14ac:dyDescent="0.25">
      <c r="A930">
        <v>194</v>
      </c>
      <c r="B930">
        <v>69</v>
      </c>
      <c r="C930" t="s">
        <v>12</v>
      </c>
      <c r="D930">
        <v>74519</v>
      </c>
      <c r="E930">
        <v>95</v>
      </c>
      <c r="F930">
        <v>10</v>
      </c>
      <c r="G930">
        <v>42</v>
      </c>
      <c r="H930" t="s">
        <v>17</v>
      </c>
      <c r="I930">
        <v>931.51</v>
      </c>
    </row>
    <row r="931" spans="1:9" hidden="1" x14ac:dyDescent="0.25">
      <c r="A931">
        <v>699</v>
      </c>
      <c r="B931">
        <v>55</v>
      </c>
      <c r="C931" t="s">
        <v>45</v>
      </c>
      <c r="D931">
        <v>53164</v>
      </c>
      <c r="E931">
        <v>64</v>
      </c>
      <c r="F931">
        <v>2</v>
      </c>
      <c r="G931">
        <v>19</v>
      </c>
      <c r="H931" t="s">
        <v>17</v>
      </c>
      <c r="I931">
        <v>932.41</v>
      </c>
    </row>
    <row r="932" spans="1:9" hidden="1" x14ac:dyDescent="0.25">
      <c r="A932">
        <v>912</v>
      </c>
      <c r="B932">
        <v>54</v>
      </c>
      <c r="C932" t="s">
        <v>12</v>
      </c>
      <c r="D932">
        <v>69676</v>
      </c>
      <c r="E932">
        <v>9</v>
      </c>
      <c r="F932">
        <v>7</v>
      </c>
      <c r="G932">
        <v>30</v>
      </c>
      <c r="H932" t="s">
        <v>17</v>
      </c>
      <c r="I932">
        <v>932.68</v>
      </c>
    </row>
    <row r="933" spans="1:9" hidden="1" x14ac:dyDescent="0.25">
      <c r="A933">
        <v>536</v>
      </c>
      <c r="B933">
        <v>62</v>
      </c>
      <c r="C933" t="s">
        <v>18</v>
      </c>
      <c r="D933">
        <v>74474</v>
      </c>
      <c r="E933">
        <v>49</v>
      </c>
      <c r="F933">
        <v>2</v>
      </c>
      <c r="G933">
        <v>18</v>
      </c>
      <c r="H933" t="s">
        <v>15</v>
      </c>
      <c r="I933">
        <v>933.65</v>
      </c>
    </row>
    <row r="934" spans="1:9" hidden="1" x14ac:dyDescent="0.25">
      <c r="A934">
        <v>154</v>
      </c>
      <c r="B934">
        <v>30</v>
      </c>
      <c r="C934" t="s">
        <v>45</v>
      </c>
      <c r="D934">
        <v>78653</v>
      </c>
      <c r="E934">
        <v>43</v>
      </c>
      <c r="F934">
        <v>4</v>
      </c>
      <c r="G934">
        <v>2</v>
      </c>
      <c r="H934" t="s">
        <v>14</v>
      </c>
      <c r="I934">
        <v>933.73</v>
      </c>
    </row>
    <row r="935" spans="1:9" hidden="1" x14ac:dyDescent="0.25">
      <c r="A935">
        <v>291</v>
      </c>
      <c r="B935">
        <v>45</v>
      </c>
      <c r="C935" t="s">
        <v>18</v>
      </c>
      <c r="D935">
        <v>57845</v>
      </c>
      <c r="E935">
        <v>32</v>
      </c>
      <c r="F935">
        <v>6</v>
      </c>
      <c r="G935">
        <v>41</v>
      </c>
      <c r="H935" t="s">
        <v>17</v>
      </c>
      <c r="I935">
        <v>934.34</v>
      </c>
    </row>
    <row r="936" spans="1:9" hidden="1" x14ac:dyDescent="0.25">
      <c r="A936">
        <v>263</v>
      </c>
      <c r="B936">
        <v>64</v>
      </c>
      <c r="C936" t="s">
        <v>45</v>
      </c>
      <c r="D936">
        <v>115366</v>
      </c>
      <c r="E936">
        <v>68</v>
      </c>
      <c r="F936">
        <v>9</v>
      </c>
      <c r="G936">
        <v>28</v>
      </c>
      <c r="H936" t="s">
        <v>14</v>
      </c>
      <c r="I936">
        <v>934.88</v>
      </c>
    </row>
    <row r="937" spans="1:9" hidden="1" x14ac:dyDescent="0.25">
      <c r="A937">
        <v>838</v>
      </c>
      <c r="B937">
        <v>57</v>
      </c>
      <c r="C937" t="s">
        <v>12</v>
      </c>
      <c r="D937">
        <v>98928</v>
      </c>
      <c r="E937">
        <v>80</v>
      </c>
      <c r="F937">
        <v>3</v>
      </c>
      <c r="G937">
        <v>33</v>
      </c>
      <c r="H937" t="s">
        <v>14</v>
      </c>
      <c r="I937">
        <v>934.98</v>
      </c>
    </row>
    <row r="938" spans="1:9" hidden="1" x14ac:dyDescent="0.25">
      <c r="A938">
        <v>257</v>
      </c>
      <c r="B938">
        <v>26</v>
      </c>
      <c r="C938" t="s">
        <v>12</v>
      </c>
      <c r="D938">
        <v>134203</v>
      </c>
      <c r="E938">
        <v>19</v>
      </c>
      <c r="F938">
        <v>3</v>
      </c>
      <c r="G938">
        <v>28</v>
      </c>
      <c r="H938" t="s">
        <v>15</v>
      </c>
      <c r="I938">
        <v>935.64</v>
      </c>
    </row>
    <row r="939" spans="1:9" hidden="1" x14ac:dyDescent="0.25">
      <c r="A939">
        <v>975</v>
      </c>
      <c r="B939">
        <v>49</v>
      </c>
      <c r="C939" t="s">
        <v>18</v>
      </c>
      <c r="D939">
        <v>79546</v>
      </c>
      <c r="E939">
        <v>26</v>
      </c>
      <c r="F939">
        <v>5</v>
      </c>
      <c r="G939">
        <v>12</v>
      </c>
      <c r="H939" t="s">
        <v>13</v>
      </c>
      <c r="I939">
        <v>935.73</v>
      </c>
    </row>
    <row r="940" spans="1:9" hidden="1" x14ac:dyDescent="0.25">
      <c r="A940">
        <v>599</v>
      </c>
      <c r="B940">
        <v>41</v>
      </c>
      <c r="C940" t="s">
        <v>45</v>
      </c>
      <c r="D940">
        <v>69204</v>
      </c>
      <c r="E940">
        <v>95</v>
      </c>
      <c r="F940">
        <v>4</v>
      </c>
      <c r="G940">
        <v>28</v>
      </c>
      <c r="H940" t="s">
        <v>17</v>
      </c>
      <c r="I940">
        <v>936.04</v>
      </c>
    </row>
    <row r="941" spans="1:9" hidden="1" x14ac:dyDescent="0.25">
      <c r="A941">
        <v>324</v>
      </c>
      <c r="B941">
        <v>30</v>
      </c>
      <c r="C941" t="s">
        <v>12</v>
      </c>
      <c r="D941">
        <v>119162</v>
      </c>
      <c r="E941">
        <v>15</v>
      </c>
      <c r="F941">
        <v>9</v>
      </c>
      <c r="G941">
        <v>38</v>
      </c>
      <c r="H941" t="s">
        <v>13</v>
      </c>
      <c r="I941">
        <v>937.85</v>
      </c>
    </row>
    <row r="942" spans="1:9" hidden="1" x14ac:dyDescent="0.25">
      <c r="A942">
        <v>467</v>
      </c>
      <c r="B942">
        <v>25</v>
      </c>
      <c r="C942" t="s">
        <v>12</v>
      </c>
      <c r="D942">
        <v>99668</v>
      </c>
      <c r="E942">
        <v>1</v>
      </c>
      <c r="F942">
        <v>1</v>
      </c>
      <c r="G942">
        <v>50</v>
      </c>
      <c r="H942" t="s">
        <v>16</v>
      </c>
      <c r="I942">
        <v>937.86</v>
      </c>
    </row>
    <row r="943" spans="1:9" hidden="1" x14ac:dyDescent="0.25">
      <c r="A943">
        <v>412</v>
      </c>
      <c r="B943">
        <v>61</v>
      </c>
      <c r="C943" t="s">
        <v>45</v>
      </c>
      <c r="D943">
        <v>80988</v>
      </c>
      <c r="E943">
        <v>34</v>
      </c>
      <c r="F943">
        <v>8</v>
      </c>
      <c r="G943">
        <v>14</v>
      </c>
      <c r="H943" t="s">
        <v>17</v>
      </c>
      <c r="I943">
        <v>937.86</v>
      </c>
    </row>
    <row r="944" spans="1:9" hidden="1" x14ac:dyDescent="0.25">
      <c r="A944">
        <v>887</v>
      </c>
      <c r="B944">
        <v>60</v>
      </c>
      <c r="C944" t="s">
        <v>12</v>
      </c>
      <c r="D944">
        <v>98882</v>
      </c>
      <c r="E944">
        <v>38</v>
      </c>
      <c r="F944">
        <v>2</v>
      </c>
      <c r="G944">
        <v>28</v>
      </c>
      <c r="H944" t="s">
        <v>16</v>
      </c>
      <c r="I944">
        <v>940.14</v>
      </c>
    </row>
    <row r="945" spans="1:9" hidden="1" x14ac:dyDescent="0.25">
      <c r="A945">
        <v>189</v>
      </c>
      <c r="B945">
        <v>45</v>
      </c>
      <c r="C945" t="s">
        <v>12</v>
      </c>
      <c r="D945">
        <v>108335</v>
      </c>
      <c r="E945">
        <v>62</v>
      </c>
      <c r="F945">
        <v>1</v>
      </c>
      <c r="G945">
        <v>35</v>
      </c>
      <c r="H945" t="s">
        <v>14</v>
      </c>
      <c r="I945">
        <v>940.93</v>
      </c>
    </row>
    <row r="946" spans="1:9" hidden="1" x14ac:dyDescent="0.25">
      <c r="A946">
        <v>106</v>
      </c>
      <c r="B946">
        <v>55</v>
      </c>
      <c r="C946" t="s">
        <v>18</v>
      </c>
      <c r="D946">
        <v>147187</v>
      </c>
      <c r="E946">
        <v>37</v>
      </c>
      <c r="F946">
        <v>7</v>
      </c>
      <c r="G946">
        <v>27</v>
      </c>
      <c r="H946" t="s">
        <v>14</v>
      </c>
      <c r="I946">
        <v>941.67</v>
      </c>
    </row>
    <row r="947" spans="1:9" hidden="1" x14ac:dyDescent="0.25">
      <c r="A947">
        <v>972</v>
      </c>
      <c r="B947">
        <v>41</v>
      </c>
      <c r="C947" t="s">
        <v>12</v>
      </c>
      <c r="D947">
        <v>120294</v>
      </c>
      <c r="E947">
        <v>79</v>
      </c>
      <c r="F947">
        <v>5</v>
      </c>
      <c r="G947">
        <v>44</v>
      </c>
      <c r="H947" t="s">
        <v>17</v>
      </c>
      <c r="I947">
        <v>942.03</v>
      </c>
    </row>
    <row r="948" spans="1:9" hidden="1" x14ac:dyDescent="0.25">
      <c r="A948">
        <v>501</v>
      </c>
      <c r="B948">
        <v>42</v>
      </c>
      <c r="C948" t="s">
        <v>12</v>
      </c>
      <c r="D948">
        <v>129999</v>
      </c>
      <c r="E948">
        <v>73</v>
      </c>
      <c r="F948">
        <v>5</v>
      </c>
      <c r="G948">
        <v>2</v>
      </c>
      <c r="H948" t="s">
        <v>17</v>
      </c>
      <c r="I948">
        <v>942.97</v>
      </c>
    </row>
    <row r="949" spans="1:9" hidden="1" x14ac:dyDescent="0.25">
      <c r="A949">
        <v>616</v>
      </c>
      <c r="B949">
        <v>43</v>
      </c>
      <c r="C949" t="s">
        <v>12</v>
      </c>
      <c r="D949">
        <v>38012</v>
      </c>
      <c r="E949">
        <v>55</v>
      </c>
      <c r="F949">
        <v>3</v>
      </c>
      <c r="G949">
        <v>24</v>
      </c>
      <c r="H949" t="s">
        <v>16</v>
      </c>
      <c r="I949">
        <v>943.37</v>
      </c>
    </row>
    <row r="950" spans="1:9" hidden="1" x14ac:dyDescent="0.25">
      <c r="A950">
        <v>678</v>
      </c>
      <c r="B950">
        <v>63</v>
      </c>
      <c r="C950" t="s">
        <v>45</v>
      </c>
      <c r="D950">
        <v>56374</v>
      </c>
      <c r="E950">
        <v>60</v>
      </c>
      <c r="F950">
        <v>4</v>
      </c>
      <c r="G950">
        <v>45</v>
      </c>
      <c r="H950" t="s">
        <v>13</v>
      </c>
      <c r="I950">
        <v>943.5</v>
      </c>
    </row>
    <row r="951" spans="1:9" hidden="1" x14ac:dyDescent="0.25">
      <c r="A951">
        <v>518</v>
      </c>
      <c r="B951">
        <v>45</v>
      </c>
      <c r="C951" t="s">
        <v>18</v>
      </c>
      <c r="D951">
        <v>110280</v>
      </c>
      <c r="E951">
        <v>85</v>
      </c>
      <c r="F951">
        <v>4</v>
      </c>
      <c r="G951">
        <v>21</v>
      </c>
      <c r="H951" t="s">
        <v>16</v>
      </c>
      <c r="I951">
        <v>944.07</v>
      </c>
    </row>
    <row r="952" spans="1:9" hidden="1" x14ac:dyDescent="0.25">
      <c r="A952">
        <v>206</v>
      </c>
      <c r="B952">
        <v>34</v>
      </c>
      <c r="C952" t="s">
        <v>12</v>
      </c>
      <c r="D952">
        <v>97962</v>
      </c>
      <c r="E952">
        <v>18</v>
      </c>
      <c r="F952">
        <v>3</v>
      </c>
      <c r="G952">
        <v>19</v>
      </c>
      <c r="H952" t="s">
        <v>14</v>
      </c>
      <c r="I952">
        <v>947.73</v>
      </c>
    </row>
    <row r="953" spans="1:9" hidden="1" x14ac:dyDescent="0.25">
      <c r="A953">
        <v>242</v>
      </c>
      <c r="B953">
        <v>31</v>
      </c>
      <c r="C953" t="s">
        <v>18</v>
      </c>
      <c r="D953">
        <v>125501</v>
      </c>
      <c r="E953">
        <v>74</v>
      </c>
      <c r="F953">
        <v>3</v>
      </c>
      <c r="G953">
        <v>18</v>
      </c>
      <c r="H953" t="s">
        <v>14</v>
      </c>
      <c r="I953">
        <v>947.76</v>
      </c>
    </row>
    <row r="954" spans="1:9" hidden="1" x14ac:dyDescent="0.25">
      <c r="A954">
        <v>238</v>
      </c>
      <c r="B954">
        <v>64</v>
      </c>
      <c r="C954" t="s">
        <v>45</v>
      </c>
      <c r="D954">
        <v>148368</v>
      </c>
      <c r="E954">
        <v>19</v>
      </c>
      <c r="F954">
        <v>4</v>
      </c>
      <c r="G954">
        <v>23</v>
      </c>
      <c r="H954" t="s">
        <v>16</v>
      </c>
      <c r="I954">
        <v>949.32</v>
      </c>
    </row>
    <row r="955" spans="1:9" hidden="1" x14ac:dyDescent="0.25">
      <c r="A955">
        <v>30</v>
      </c>
      <c r="B955">
        <v>23</v>
      </c>
      <c r="C955" t="s">
        <v>12</v>
      </c>
      <c r="D955">
        <v>104106</v>
      </c>
      <c r="E955">
        <v>30</v>
      </c>
      <c r="F955">
        <v>4</v>
      </c>
      <c r="G955">
        <v>20</v>
      </c>
      <c r="H955" t="s">
        <v>14</v>
      </c>
      <c r="I955">
        <v>950.56</v>
      </c>
    </row>
    <row r="956" spans="1:9" hidden="1" x14ac:dyDescent="0.25">
      <c r="A956">
        <v>9</v>
      </c>
      <c r="B956">
        <v>53</v>
      </c>
      <c r="C956" t="s">
        <v>12</v>
      </c>
      <c r="D956">
        <v>34424</v>
      </c>
      <c r="E956">
        <v>29</v>
      </c>
      <c r="F956">
        <v>6</v>
      </c>
      <c r="G956">
        <v>7</v>
      </c>
      <c r="H956" t="s">
        <v>15</v>
      </c>
      <c r="I956">
        <v>951.71</v>
      </c>
    </row>
    <row r="957" spans="1:9" hidden="1" x14ac:dyDescent="0.25">
      <c r="A957">
        <v>896</v>
      </c>
      <c r="B957">
        <v>53</v>
      </c>
      <c r="C957" t="s">
        <v>12</v>
      </c>
      <c r="D957">
        <v>137307</v>
      </c>
      <c r="E957">
        <v>34</v>
      </c>
      <c r="F957">
        <v>1</v>
      </c>
      <c r="G957">
        <v>26</v>
      </c>
      <c r="H957" t="s">
        <v>15</v>
      </c>
      <c r="I957">
        <v>952.12</v>
      </c>
    </row>
    <row r="958" spans="1:9" hidden="1" x14ac:dyDescent="0.25">
      <c r="A958">
        <v>409</v>
      </c>
      <c r="B958">
        <v>63</v>
      </c>
      <c r="C958" t="s">
        <v>18</v>
      </c>
      <c r="D958">
        <v>70967</v>
      </c>
      <c r="E958">
        <v>59</v>
      </c>
      <c r="F958">
        <v>6</v>
      </c>
      <c r="G958">
        <v>10</v>
      </c>
      <c r="H958" t="s">
        <v>13</v>
      </c>
      <c r="I958">
        <v>954.05</v>
      </c>
    </row>
    <row r="959" spans="1:9" hidden="1" x14ac:dyDescent="0.25">
      <c r="A959">
        <v>671</v>
      </c>
      <c r="B959">
        <v>34</v>
      </c>
      <c r="C959" t="s">
        <v>12</v>
      </c>
      <c r="D959">
        <v>54274</v>
      </c>
      <c r="E959">
        <v>27</v>
      </c>
      <c r="F959">
        <v>2</v>
      </c>
      <c r="G959">
        <v>17</v>
      </c>
      <c r="H959" t="s">
        <v>13</v>
      </c>
      <c r="I959">
        <v>954.46</v>
      </c>
    </row>
    <row r="960" spans="1:9" hidden="1" x14ac:dyDescent="0.25">
      <c r="A960">
        <v>543</v>
      </c>
      <c r="B960">
        <v>68</v>
      </c>
      <c r="C960" t="s">
        <v>18</v>
      </c>
      <c r="D960">
        <v>40478</v>
      </c>
      <c r="E960">
        <v>22</v>
      </c>
      <c r="F960">
        <v>4</v>
      </c>
      <c r="G960">
        <v>46</v>
      </c>
      <c r="H960" t="s">
        <v>16</v>
      </c>
      <c r="I960">
        <v>954.91</v>
      </c>
    </row>
    <row r="961" spans="1:9" hidden="1" x14ac:dyDescent="0.25">
      <c r="A961">
        <v>214</v>
      </c>
      <c r="B961">
        <v>33</v>
      </c>
      <c r="C961" t="s">
        <v>12</v>
      </c>
      <c r="D961">
        <v>84883</v>
      </c>
      <c r="E961">
        <v>43</v>
      </c>
      <c r="F961">
        <v>2</v>
      </c>
      <c r="G961">
        <v>49</v>
      </c>
      <c r="H961" t="s">
        <v>13</v>
      </c>
      <c r="I961">
        <v>956.03</v>
      </c>
    </row>
    <row r="962" spans="1:9" hidden="1" x14ac:dyDescent="0.25">
      <c r="A962">
        <v>44</v>
      </c>
      <c r="B962">
        <v>28</v>
      </c>
      <c r="C962" t="s">
        <v>45</v>
      </c>
      <c r="D962">
        <v>62405</v>
      </c>
      <c r="E962">
        <v>79</v>
      </c>
      <c r="F962">
        <v>5</v>
      </c>
      <c r="G962">
        <v>50</v>
      </c>
      <c r="H962" t="s">
        <v>13</v>
      </c>
      <c r="I962">
        <v>956.73</v>
      </c>
    </row>
    <row r="963" spans="1:9" hidden="1" x14ac:dyDescent="0.25">
      <c r="A963">
        <v>129</v>
      </c>
      <c r="B963">
        <v>67</v>
      </c>
      <c r="C963" t="s">
        <v>45</v>
      </c>
      <c r="D963">
        <v>40385</v>
      </c>
      <c r="E963">
        <v>64</v>
      </c>
      <c r="F963">
        <v>1</v>
      </c>
      <c r="G963">
        <v>17</v>
      </c>
      <c r="H963" t="s">
        <v>15</v>
      </c>
      <c r="I963">
        <v>957.06</v>
      </c>
    </row>
    <row r="964" spans="1:9" hidden="1" x14ac:dyDescent="0.25">
      <c r="A964">
        <v>960</v>
      </c>
      <c r="B964">
        <v>61</v>
      </c>
      <c r="C964" t="s">
        <v>18</v>
      </c>
      <c r="D964">
        <v>50349</v>
      </c>
      <c r="E964">
        <v>76</v>
      </c>
      <c r="F964">
        <v>9</v>
      </c>
      <c r="G964">
        <v>42</v>
      </c>
      <c r="H964" t="s">
        <v>17</v>
      </c>
      <c r="I964">
        <v>957.5</v>
      </c>
    </row>
    <row r="965" spans="1:9" hidden="1" x14ac:dyDescent="0.25">
      <c r="A965">
        <v>125</v>
      </c>
      <c r="B965">
        <v>66</v>
      </c>
      <c r="C965" t="s">
        <v>45</v>
      </c>
      <c r="D965">
        <v>69362</v>
      </c>
      <c r="E965">
        <v>58</v>
      </c>
      <c r="F965">
        <v>1</v>
      </c>
      <c r="G965">
        <v>23</v>
      </c>
      <c r="H965" t="s">
        <v>17</v>
      </c>
      <c r="I965">
        <v>960.08</v>
      </c>
    </row>
    <row r="966" spans="1:9" hidden="1" x14ac:dyDescent="0.25">
      <c r="A966">
        <v>774</v>
      </c>
      <c r="B966">
        <v>52</v>
      </c>
      <c r="C966" t="s">
        <v>12</v>
      </c>
      <c r="D966">
        <v>52167</v>
      </c>
      <c r="E966">
        <v>19</v>
      </c>
      <c r="F966">
        <v>5</v>
      </c>
      <c r="G966">
        <v>50</v>
      </c>
      <c r="H966" t="s">
        <v>13</v>
      </c>
      <c r="I966">
        <v>961.55</v>
      </c>
    </row>
    <row r="967" spans="1:9" hidden="1" x14ac:dyDescent="0.25">
      <c r="A967">
        <v>575</v>
      </c>
      <c r="B967">
        <v>49</v>
      </c>
      <c r="C967" t="s">
        <v>12</v>
      </c>
      <c r="D967">
        <v>55027</v>
      </c>
      <c r="E967">
        <v>62</v>
      </c>
      <c r="F967">
        <v>2</v>
      </c>
      <c r="G967">
        <v>1</v>
      </c>
      <c r="H967" t="s">
        <v>17</v>
      </c>
      <c r="I967">
        <v>962.9</v>
      </c>
    </row>
    <row r="968" spans="1:9" hidden="1" x14ac:dyDescent="0.25">
      <c r="A968">
        <v>729</v>
      </c>
      <c r="B968">
        <v>50</v>
      </c>
      <c r="C968" t="s">
        <v>12</v>
      </c>
      <c r="D968">
        <v>86985</v>
      </c>
      <c r="E968">
        <v>77</v>
      </c>
      <c r="F968">
        <v>8</v>
      </c>
      <c r="G968">
        <v>11</v>
      </c>
      <c r="H968" t="s">
        <v>15</v>
      </c>
      <c r="I968">
        <v>964.1</v>
      </c>
    </row>
    <row r="969" spans="1:9" hidden="1" x14ac:dyDescent="0.25">
      <c r="A969">
        <v>485</v>
      </c>
      <c r="B969">
        <v>65</v>
      </c>
      <c r="C969" t="s">
        <v>12</v>
      </c>
      <c r="D969">
        <v>39113</v>
      </c>
      <c r="E969">
        <v>85</v>
      </c>
      <c r="F969">
        <v>9</v>
      </c>
      <c r="G969">
        <v>42</v>
      </c>
      <c r="H969" t="s">
        <v>13</v>
      </c>
      <c r="I969">
        <v>964.87</v>
      </c>
    </row>
    <row r="970" spans="1:9" hidden="1" x14ac:dyDescent="0.25">
      <c r="A970">
        <v>994</v>
      </c>
      <c r="B970">
        <v>29</v>
      </c>
      <c r="C970" t="s">
        <v>18</v>
      </c>
      <c r="D970">
        <v>64799</v>
      </c>
      <c r="E970">
        <v>42</v>
      </c>
      <c r="F970">
        <v>5</v>
      </c>
      <c r="G970">
        <v>19</v>
      </c>
      <c r="H970" t="s">
        <v>14</v>
      </c>
      <c r="I970">
        <v>967.26</v>
      </c>
    </row>
    <row r="971" spans="1:9" hidden="1" x14ac:dyDescent="0.25">
      <c r="A971">
        <v>38</v>
      </c>
      <c r="B971">
        <v>48</v>
      </c>
      <c r="C971" t="s">
        <v>45</v>
      </c>
      <c r="D971">
        <v>81794</v>
      </c>
      <c r="E971">
        <v>89</v>
      </c>
      <c r="F971">
        <v>7</v>
      </c>
      <c r="G971">
        <v>50</v>
      </c>
      <c r="H971" t="s">
        <v>14</v>
      </c>
      <c r="I971">
        <v>967.99</v>
      </c>
    </row>
    <row r="972" spans="1:9" hidden="1" x14ac:dyDescent="0.25">
      <c r="A972">
        <v>31</v>
      </c>
      <c r="B972">
        <v>36</v>
      </c>
      <c r="C972" t="s">
        <v>45</v>
      </c>
      <c r="D972">
        <v>76756</v>
      </c>
      <c r="E972">
        <v>16</v>
      </c>
      <c r="F972">
        <v>8</v>
      </c>
      <c r="G972">
        <v>27</v>
      </c>
      <c r="H972" t="s">
        <v>17</v>
      </c>
      <c r="I972">
        <v>970.06</v>
      </c>
    </row>
    <row r="973" spans="1:9" hidden="1" x14ac:dyDescent="0.25">
      <c r="A973">
        <v>364</v>
      </c>
      <c r="B973">
        <v>63</v>
      </c>
      <c r="C973" t="s">
        <v>45</v>
      </c>
      <c r="D973">
        <v>145117</v>
      </c>
      <c r="E973">
        <v>66</v>
      </c>
      <c r="F973">
        <v>7</v>
      </c>
      <c r="G973">
        <v>12</v>
      </c>
      <c r="H973" t="s">
        <v>15</v>
      </c>
      <c r="I973">
        <v>971.02</v>
      </c>
    </row>
    <row r="974" spans="1:9" hidden="1" x14ac:dyDescent="0.25">
      <c r="A974">
        <v>202</v>
      </c>
      <c r="B974">
        <v>25</v>
      </c>
      <c r="C974" t="s">
        <v>12</v>
      </c>
      <c r="D974">
        <v>30570</v>
      </c>
      <c r="E974">
        <v>16</v>
      </c>
      <c r="F974">
        <v>8</v>
      </c>
      <c r="G974">
        <v>44</v>
      </c>
      <c r="H974" t="s">
        <v>15</v>
      </c>
      <c r="I974">
        <v>971.09</v>
      </c>
    </row>
    <row r="975" spans="1:9" hidden="1" x14ac:dyDescent="0.25">
      <c r="A975">
        <v>762</v>
      </c>
      <c r="B975">
        <v>57</v>
      </c>
      <c r="C975" t="s">
        <v>12</v>
      </c>
      <c r="D975">
        <v>145190</v>
      </c>
      <c r="E975">
        <v>42</v>
      </c>
      <c r="F975">
        <v>9</v>
      </c>
      <c r="G975">
        <v>8</v>
      </c>
      <c r="H975" t="s">
        <v>15</v>
      </c>
      <c r="I975">
        <v>971.83</v>
      </c>
    </row>
    <row r="976" spans="1:9" hidden="1" x14ac:dyDescent="0.25">
      <c r="A976">
        <v>629</v>
      </c>
      <c r="B976">
        <v>65</v>
      </c>
      <c r="C976" t="s">
        <v>12</v>
      </c>
      <c r="D976">
        <v>84223</v>
      </c>
      <c r="E976">
        <v>83</v>
      </c>
      <c r="F976">
        <v>7</v>
      </c>
      <c r="G976">
        <v>46</v>
      </c>
      <c r="H976" t="s">
        <v>16</v>
      </c>
      <c r="I976">
        <v>971.93</v>
      </c>
    </row>
    <row r="977" spans="1:9" hidden="1" x14ac:dyDescent="0.25">
      <c r="A977">
        <v>170</v>
      </c>
      <c r="B977">
        <v>37</v>
      </c>
      <c r="C977" t="s">
        <v>12</v>
      </c>
      <c r="D977">
        <v>33987</v>
      </c>
      <c r="E977">
        <v>60</v>
      </c>
      <c r="F977">
        <v>8</v>
      </c>
      <c r="G977">
        <v>39</v>
      </c>
      <c r="H977" t="s">
        <v>16</v>
      </c>
      <c r="I977">
        <v>975.1</v>
      </c>
    </row>
    <row r="978" spans="1:9" hidden="1" x14ac:dyDescent="0.25">
      <c r="A978">
        <v>668</v>
      </c>
      <c r="B978">
        <v>27</v>
      </c>
      <c r="C978" t="s">
        <v>18</v>
      </c>
      <c r="D978">
        <v>48576</v>
      </c>
      <c r="E978">
        <v>29</v>
      </c>
      <c r="F978">
        <v>7</v>
      </c>
      <c r="G978">
        <v>29</v>
      </c>
      <c r="H978" t="s">
        <v>15</v>
      </c>
      <c r="I978">
        <v>976.83</v>
      </c>
    </row>
    <row r="979" spans="1:9" hidden="1" x14ac:dyDescent="0.25">
      <c r="A979">
        <v>520</v>
      </c>
      <c r="B979">
        <v>38</v>
      </c>
      <c r="C979" t="s">
        <v>12</v>
      </c>
      <c r="D979">
        <v>54918</v>
      </c>
      <c r="E979">
        <v>1</v>
      </c>
      <c r="F979">
        <v>6</v>
      </c>
      <c r="G979">
        <v>6</v>
      </c>
      <c r="H979" t="s">
        <v>14</v>
      </c>
      <c r="I979">
        <v>979.26</v>
      </c>
    </row>
    <row r="980" spans="1:9" hidden="1" x14ac:dyDescent="0.25">
      <c r="A980">
        <v>736</v>
      </c>
      <c r="B980">
        <v>52</v>
      </c>
      <c r="C980" t="s">
        <v>18</v>
      </c>
      <c r="D980">
        <v>130875</v>
      </c>
      <c r="E980">
        <v>76</v>
      </c>
      <c r="F980">
        <v>10</v>
      </c>
      <c r="G980">
        <v>14</v>
      </c>
      <c r="H980" t="s">
        <v>17</v>
      </c>
      <c r="I980">
        <v>979.39</v>
      </c>
    </row>
    <row r="981" spans="1:9" hidden="1" x14ac:dyDescent="0.25">
      <c r="A981">
        <v>148</v>
      </c>
      <c r="B981">
        <v>47</v>
      </c>
      <c r="C981" t="s">
        <v>18</v>
      </c>
      <c r="D981">
        <v>104517</v>
      </c>
      <c r="E981">
        <v>91</v>
      </c>
      <c r="F981">
        <v>2</v>
      </c>
      <c r="G981">
        <v>6</v>
      </c>
      <c r="H981" t="s">
        <v>13</v>
      </c>
      <c r="I981">
        <v>979.41</v>
      </c>
    </row>
    <row r="982" spans="1:9" hidden="1" x14ac:dyDescent="0.25">
      <c r="A982">
        <v>593</v>
      </c>
      <c r="B982">
        <v>62</v>
      </c>
      <c r="C982" t="s">
        <v>18</v>
      </c>
      <c r="D982">
        <v>148501</v>
      </c>
      <c r="E982">
        <v>41</v>
      </c>
      <c r="F982">
        <v>9</v>
      </c>
      <c r="G982">
        <v>32</v>
      </c>
      <c r="H982" t="s">
        <v>15</v>
      </c>
      <c r="I982">
        <v>980.47</v>
      </c>
    </row>
    <row r="983" spans="1:9" hidden="1" x14ac:dyDescent="0.25">
      <c r="A983">
        <v>674</v>
      </c>
      <c r="B983">
        <v>32</v>
      </c>
      <c r="C983" t="s">
        <v>45</v>
      </c>
      <c r="D983">
        <v>41072</v>
      </c>
      <c r="E983">
        <v>14</v>
      </c>
      <c r="F983">
        <v>5</v>
      </c>
      <c r="G983">
        <v>39</v>
      </c>
      <c r="H983" t="s">
        <v>14</v>
      </c>
      <c r="I983">
        <v>981.04</v>
      </c>
    </row>
    <row r="984" spans="1:9" hidden="1" x14ac:dyDescent="0.25">
      <c r="A984">
        <v>746</v>
      </c>
      <c r="B984">
        <v>60</v>
      </c>
      <c r="C984" t="s">
        <v>12</v>
      </c>
      <c r="D984">
        <v>34657</v>
      </c>
      <c r="E984">
        <v>99</v>
      </c>
      <c r="F984">
        <v>10</v>
      </c>
      <c r="G984">
        <v>3</v>
      </c>
      <c r="H984" t="s">
        <v>14</v>
      </c>
      <c r="I984">
        <v>983.3</v>
      </c>
    </row>
    <row r="985" spans="1:9" hidden="1" x14ac:dyDescent="0.25">
      <c r="A985">
        <v>867</v>
      </c>
      <c r="B985">
        <v>68</v>
      </c>
      <c r="C985" t="s">
        <v>45</v>
      </c>
      <c r="D985">
        <v>35122</v>
      </c>
      <c r="E985">
        <v>72</v>
      </c>
      <c r="F985">
        <v>6</v>
      </c>
      <c r="G985">
        <v>33</v>
      </c>
      <c r="H985" t="s">
        <v>15</v>
      </c>
      <c r="I985">
        <v>983.84</v>
      </c>
    </row>
    <row r="986" spans="1:9" hidden="1" x14ac:dyDescent="0.25">
      <c r="A986">
        <v>700</v>
      </c>
      <c r="B986">
        <v>31</v>
      </c>
      <c r="C986" t="s">
        <v>12</v>
      </c>
      <c r="D986">
        <v>33604</v>
      </c>
      <c r="E986">
        <v>8</v>
      </c>
      <c r="F986">
        <v>5</v>
      </c>
      <c r="G986">
        <v>2</v>
      </c>
      <c r="H986" t="s">
        <v>14</v>
      </c>
      <c r="I986">
        <v>984.15</v>
      </c>
    </row>
    <row r="987" spans="1:9" hidden="1" x14ac:dyDescent="0.25">
      <c r="A987">
        <v>434</v>
      </c>
      <c r="B987">
        <v>57</v>
      </c>
      <c r="C987" t="s">
        <v>12</v>
      </c>
      <c r="D987">
        <v>60668</v>
      </c>
      <c r="E987">
        <v>66</v>
      </c>
      <c r="F987">
        <v>6</v>
      </c>
      <c r="G987">
        <v>28</v>
      </c>
      <c r="H987" t="s">
        <v>14</v>
      </c>
      <c r="I987">
        <v>984.6</v>
      </c>
    </row>
    <row r="988" spans="1:9" hidden="1" x14ac:dyDescent="0.25">
      <c r="A988">
        <v>386</v>
      </c>
      <c r="B988">
        <v>69</v>
      </c>
      <c r="C988" t="s">
        <v>12</v>
      </c>
      <c r="D988">
        <v>105810</v>
      </c>
      <c r="E988">
        <v>57</v>
      </c>
      <c r="F988">
        <v>6</v>
      </c>
      <c r="G988">
        <v>28</v>
      </c>
      <c r="H988" t="s">
        <v>16</v>
      </c>
      <c r="I988">
        <v>985.94</v>
      </c>
    </row>
    <row r="989" spans="1:9" hidden="1" x14ac:dyDescent="0.25">
      <c r="A989">
        <v>995</v>
      </c>
      <c r="B989">
        <v>60</v>
      </c>
      <c r="C989" t="s">
        <v>12</v>
      </c>
      <c r="D989">
        <v>71923</v>
      </c>
      <c r="E989">
        <v>25</v>
      </c>
      <c r="F989">
        <v>2</v>
      </c>
      <c r="G989">
        <v>40</v>
      </c>
      <c r="H989" t="s">
        <v>17</v>
      </c>
      <c r="I989">
        <v>986.97</v>
      </c>
    </row>
    <row r="990" spans="1:9" hidden="1" x14ac:dyDescent="0.25">
      <c r="A990">
        <v>77</v>
      </c>
      <c r="B990">
        <v>49</v>
      </c>
      <c r="C990" t="s">
        <v>12</v>
      </c>
      <c r="D990">
        <v>30708</v>
      </c>
      <c r="E990">
        <v>4</v>
      </c>
      <c r="F990">
        <v>1</v>
      </c>
      <c r="G990">
        <v>36</v>
      </c>
      <c r="H990" t="s">
        <v>16</v>
      </c>
      <c r="I990">
        <v>990</v>
      </c>
    </row>
    <row r="991" spans="1:9" ht="12.75" customHeight="1" x14ac:dyDescent="0.25">
      <c r="A991">
        <v>795</v>
      </c>
      <c r="B991">
        <v>33</v>
      </c>
      <c r="C991" t="s">
        <v>18</v>
      </c>
      <c r="D991">
        <v>45432</v>
      </c>
      <c r="E991">
        <v>11</v>
      </c>
      <c r="F991">
        <v>4</v>
      </c>
      <c r="G991">
        <v>42</v>
      </c>
      <c r="H991" t="s">
        <v>14</v>
      </c>
      <c r="I991">
        <v>990.34</v>
      </c>
    </row>
    <row r="992" spans="1:9" x14ac:dyDescent="0.25">
      <c r="A992">
        <v>984</v>
      </c>
      <c r="B992">
        <v>51</v>
      </c>
      <c r="C992" t="s">
        <v>45</v>
      </c>
      <c r="D992">
        <v>91682</v>
      </c>
      <c r="E992">
        <v>27</v>
      </c>
      <c r="F992">
        <v>9</v>
      </c>
      <c r="G992">
        <v>49</v>
      </c>
      <c r="H992" t="s">
        <v>14</v>
      </c>
      <c r="I992">
        <v>990.87</v>
      </c>
    </row>
    <row r="993" spans="1:9" x14ac:dyDescent="0.25">
      <c r="A993">
        <v>4</v>
      </c>
      <c r="B993">
        <v>40</v>
      </c>
      <c r="C993" t="s">
        <v>45</v>
      </c>
      <c r="D993">
        <v>47099</v>
      </c>
      <c r="E993">
        <v>74</v>
      </c>
      <c r="F993">
        <v>9</v>
      </c>
      <c r="G993">
        <v>5</v>
      </c>
      <c r="H993" t="s">
        <v>13</v>
      </c>
      <c r="I993">
        <v>991.93</v>
      </c>
    </row>
    <row r="994" spans="1:9" x14ac:dyDescent="0.25">
      <c r="A994">
        <v>802</v>
      </c>
      <c r="B994">
        <v>51</v>
      </c>
      <c r="C994" t="s">
        <v>12</v>
      </c>
      <c r="D994">
        <v>107033</v>
      </c>
      <c r="E994">
        <v>96</v>
      </c>
      <c r="F994">
        <v>3</v>
      </c>
      <c r="G994">
        <v>42</v>
      </c>
      <c r="H994" t="s">
        <v>16</v>
      </c>
      <c r="I994">
        <v>992.17</v>
      </c>
    </row>
    <row r="995" spans="1:9" x14ac:dyDescent="0.25">
      <c r="A995">
        <v>454</v>
      </c>
      <c r="B995">
        <v>27</v>
      </c>
      <c r="C995" t="s">
        <v>12</v>
      </c>
      <c r="D995">
        <v>143992</v>
      </c>
      <c r="E995">
        <v>31</v>
      </c>
      <c r="F995">
        <v>2</v>
      </c>
      <c r="G995">
        <v>32</v>
      </c>
      <c r="H995" t="s">
        <v>13</v>
      </c>
      <c r="I995">
        <v>994.1</v>
      </c>
    </row>
    <row r="996" spans="1:9" x14ac:dyDescent="0.25">
      <c r="A996">
        <v>796</v>
      </c>
      <c r="B996">
        <v>47</v>
      </c>
      <c r="C996" t="s">
        <v>12</v>
      </c>
      <c r="D996">
        <v>92114</v>
      </c>
      <c r="E996">
        <v>17</v>
      </c>
      <c r="F996">
        <v>7</v>
      </c>
      <c r="G996">
        <v>8</v>
      </c>
      <c r="H996" t="s">
        <v>13</v>
      </c>
      <c r="I996">
        <v>997.15</v>
      </c>
    </row>
    <row r="997" spans="1:9" x14ac:dyDescent="0.25">
      <c r="A997">
        <v>277</v>
      </c>
      <c r="B997">
        <v>53</v>
      </c>
      <c r="C997" t="s">
        <v>45</v>
      </c>
      <c r="D997">
        <v>94392</v>
      </c>
      <c r="E997">
        <v>38</v>
      </c>
      <c r="F997">
        <v>5</v>
      </c>
      <c r="G997">
        <v>11</v>
      </c>
      <c r="H997" t="s">
        <v>17</v>
      </c>
      <c r="I997">
        <v>997.24</v>
      </c>
    </row>
    <row r="998" spans="1:9" x14ac:dyDescent="0.25">
      <c r="A998">
        <v>845</v>
      </c>
      <c r="B998">
        <v>45</v>
      </c>
      <c r="C998" t="s">
        <v>18</v>
      </c>
      <c r="D998">
        <v>57615</v>
      </c>
      <c r="E998">
        <v>30</v>
      </c>
      <c r="F998">
        <v>5</v>
      </c>
      <c r="G998">
        <v>15</v>
      </c>
      <c r="H998" t="s">
        <v>14</v>
      </c>
      <c r="I998">
        <v>998.09</v>
      </c>
    </row>
    <row r="999" spans="1:9" x14ac:dyDescent="0.25">
      <c r="A999">
        <v>541</v>
      </c>
      <c r="B999">
        <v>33</v>
      </c>
      <c r="C999" t="s">
        <v>18</v>
      </c>
      <c r="D999">
        <v>103063</v>
      </c>
      <c r="E999">
        <v>16</v>
      </c>
      <c r="F999">
        <v>3</v>
      </c>
      <c r="G999">
        <v>4</v>
      </c>
      <c r="H999" t="s">
        <v>14</v>
      </c>
      <c r="I999">
        <v>998.51</v>
      </c>
    </row>
    <row r="1000" spans="1:9" x14ac:dyDescent="0.25">
      <c r="A1000">
        <v>381</v>
      </c>
      <c r="B1000">
        <v>67</v>
      </c>
      <c r="C1000" t="s">
        <v>18</v>
      </c>
      <c r="D1000">
        <v>104036</v>
      </c>
      <c r="E1000">
        <v>56</v>
      </c>
      <c r="F1000">
        <v>10</v>
      </c>
      <c r="G1000">
        <v>37</v>
      </c>
      <c r="H1000" t="s">
        <v>15</v>
      </c>
      <c r="I1000">
        <v>998.98</v>
      </c>
    </row>
    <row r="1001" spans="1:9" x14ac:dyDescent="0.25">
      <c r="A1001">
        <v>267</v>
      </c>
      <c r="B1001">
        <v>57</v>
      </c>
      <c r="C1001" t="s">
        <v>18</v>
      </c>
      <c r="D1001">
        <v>114972</v>
      </c>
      <c r="E1001">
        <v>42</v>
      </c>
      <c r="F1001">
        <v>9</v>
      </c>
      <c r="G1001">
        <v>12</v>
      </c>
      <c r="H1001" t="s">
        <v>13</v>
      </c>
      <c r="I1001">
        <v>999.74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F00C27-DB14-4D60-BDD0-36EA638742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MORE</vt:lpstr>
      <vt:lpstr>gender_breakdown</vt:lpstr>
      <vt:lpstr>Preferred Categories</vt:lpstr>
      <vt:lpstr>KPI's</vt:lpstr>
      <vt:lpstr>Age Distribution</vt:lpstr>
      <vt:lpstr>Income_vs_spending score</vt:lpstr>
      <vt:lpstr>Spending_score_segments</vt:lpstr>
      <vt:lpstr>Income_vs_Last Purchase Amount</vt:lpstr>
      <vt:lpstr>Purchase Frequency Distribution</vt:lpstr>
      <vt:lpstr>Top 10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Abolarin</dc:creator>
  <cp:lastModifiedBy>Isaac Abolarin</cp:lastModifiedBy>
  <dcterms:created xsi:type="dcterms:W3CDTF">2025-12-03T12:22:26Z</dcterms:created>
  <dcterms:modified xsi:type="dcterms:W3CDTF">2025-12-15T20:27:36Z</dcterms:modified>
</cp:coreProperties>
</file>